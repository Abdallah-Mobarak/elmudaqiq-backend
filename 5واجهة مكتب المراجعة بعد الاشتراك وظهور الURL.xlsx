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b6b925f76f2c2ae2/Desktop/كل ما يتعلق ببرنامج المدقق الجديد/ترتيبات الارسال/"/>
    </mc:Choice>
  </mc:AlternateContent>
  <xr:revisionPtr revIDLastSave="136" documentId="8_{CD4B1C1A-0A3D-4852-9D18-B9DBFDBA9E67}" xr6:coauthVersionLast="47" xr6:coauthVersionMax="47" xr10:uidLastSave="{4C8ACAB1-34A1-4EEC-BDF1-852102CD15E2}"/>
  <bookViews>
    <workbookView xWindow="1665" yWindow="360" windowWidth="21600" windowHeight="11295" tabRatio="746" firstSheet="2" activeTab="4" xr2:uid="{3AE34C25-6CA2-4EBE-A8D8-2D631786211E}"/>
  </bookViews>
  <sheets>
    <sheet name="ع1-ن18" sheetId="23" r:id="rId1"/>
    <sheet name="Sheet6" sheetId="25" r:id="rId2"/>
    <sheet name="Sheet2" sheetId="21" r:id="rId3"/>
    <sheet name="برنامج الملاك" sheetId="1" r:id="rId4"/>
    <sheet name="برنامج المشترك" sheetId="4" r:id="rId5"/>
    <sheet name="دليل الحسابات" sheetId="5" r:id="rId6"/>
    <sheet name="دليل المراجعة" sheetId="26" r:id="rId7"/>
    <sheet name="دليل مراحل الملف" sheetId="6" r:id="rId8"/>
    <sheet name="دليل اهداف المراجعة" sheetId="10" r:id="rId9"/>
    <sheet name="المستخدمين" sheetId="18" r:id="rId10"/>
    <sheet name="فهرس علامات المراجعه" sheetId="24" r:id="rId11"/>
    <sheet name="الفروع" sheetId="19" r:id="rId12"/>
  </sheets>
  <externalReferences>
    <externalReference r:id="rId13"/>
  </externalReferences>
  <definedNames>
    <definedName name="_xlnm._FilterDatabase" localSheetId="4" hidden="1">'برنامج المشترك'!$A$1:$T$195</definedName>
    <definedName name="_xlnm._FilterDatabase" localSheetId="3" hidden="1">'برنامج الملاك'!$A$1:$M$87</definedName>
    <definedName name="_xlnm._FilterDatabase" localSheetId="5" hidden="1">'دليل الحسابات'!$A$1:$V$175</definedName>
    <definedName name="_xlnm._FilterDatabase" localSheetId="8" hidden="1">'دليل اهداف المراجعة'!$A$1:$F$61</definedName>
    <definedName name="_xlnm._FilterDatabase" localSheetId="7" hidden="1">'دليل مراحل الملف'!$A$1:$W$53</definedName>
    <definedName name="_xlnm._FilterDatabase" localSheetId="0" hidden="1">'ع1-ن18'!$A$5:$AZ$578</definedName>
    <definedName name="_xlnm._FilterDatabase" localSheetId="10" hidden="1">'فهرس علامات المراجعه'!$A$2:$M$36</definedName>
    <definedName name="wrn.قوائم._.المركز._.المالي."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wrn.قوائم._.المركز._.المالي."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ءؤء"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ايمن"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عم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فبراير"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كنكنكنكنكنك"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ارس"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صروفات"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localSheetId="0"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 name="ميزان2006" hidden="1">{"ميزان مراجعة",#N/A,FALSE,"ميزان مراجعة";"حساب التشغيل",#N/A,FALSE,"ميزان مراجعة";"حساب المتاجرة",#N/A,FALSE,"ميزان مراجعة";"حساب الارباح و الخسائر",#N/A,FALSE,"ميزان مراجعة";"ميزانية عمومية",#N/A,FALSE,"ميزان مراجعة"}</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24" l="1"/>
  <c r="M35" i="24"/>
  <c r="M34" i="24"/>
  <c r="M33" i="24"/>
  <c r="M32" i="24"/>
  <c r="M31" i="24"/>
  <c r="M30" i="24"/>
  <c r="M29" i="24"/>
  <c r="M28" i="24"/>
  <c r="M27" i="24"/>
  <c r="M26" i="24"/>
  <c r="M25" i="24"/>
  <c r="M24" i="24"/>
  <c r="M23" i="24"/>
  <c r="M22" i="24"/>
  <c r="M21" i="24"/>
  <c r="M20" i="24"/>
  <c r="M19" i="24"/>
  <c r="M18" i="24"/>
  <c r="M17" i="24"/>
  <c r="M16" i="24"/>
  <c r="M15" i="24"/>
  <c r="M14" i="24"/>
  <c r="M13" i="24"/>
  <c r="M12" i="24"/>
  <c r="M11" i="24"/>
  <c r="M10" i="24"/>
  <c r="M9" i="24"/>
  <c r="M8" i="24"/>
  <c r="M7" i="24"/>
  <c r="M6" i="24"/>
  <c r="M5" i="24"/>
  <c r="M4" i="24"/>
  <c r="M3" i="24"/>
  <c r="L12" i="26"/>
  <c r="L14" i="26"/>
  <c r="L16" i="26"/>
  <c r="J19" i="18"/>
  <c r="I19" i="18"/>
  <c r="H19" i="18"/>
  <c r="G19" i="18"/>
  <c r="F19" i="18"/>
  <c r="E19" i="18"/>
  <c r="D19" i="18"/>
  <c r="C19" i="18"/>
  <c r="L14" i="18"/>
  <c r="K14" i="18"/>
  <c r="J14" i="18"/>
  <c r="I14" i="18"/>
  <c r="H14" i="18"/>
  <c r="G14" i="18"/>
  <c r="F14" i="18"/>
  <c r="E14" i="18"/>
  <c r="D14" i="18"/>
  <c r="C14" i="18"/>
  <c r="B14" i="18"/>
  <c r="D549" i="23"/>
  <c r="D546" i="23"/>
  <c r="D543" i="23"/>
  <c r="D534" i="23"/>
  <c r="D531" i="23"/>
  <c r="D520" i="23"/>
  <c r="D517" i="23"/>
  <c r="C516" i="23"/>
  <c r="C517" i="23" s="1"/>
  <c r="C518" i="23" s="1"/>
  <c r="C519" i="23" s="1"/>
  <c r="C520" i="23" s="1"/>
  <c r="C521" i="23" s="1"/>
  <c r="C522" i="23" s="1"/>
  <c r="C523" i="23" s="1"/>
  <c r="C524" i="23" s="1"/>
  <c r="C525" i="23" s="1"/>
  <c r="C526" i="23" s="1"/>
  <c r="C527" i="23" s="1"/>
  <c r="C528" i="23" s="1"/>
  <c r="C529" i="23" s="1"/>
  <c r="C530" i="23" s="1"/>
  <c r="C531" i="23" s="1"/>
  <c r="C532" i="23" s="1"/>
  <c r="C533" i="23" s="1"/>
  <c r="C534" i="23" s="1"/>
  <c r="C535" i="23" s="1"/>
  <c r="C536" i="23" s="1"/>
  <c r="C537" i="23" s="1"/>
  <c r="C538" i="23" s="1"/>
  <c r="C539" i="23" s="1"/>
  <c r="C540" i="23" s="1"/>
  <c r="C541" i="23" s="1"/>
  <c r="C542" i="23" s="1"/>
  <c r="C543" i="23" s="1"/>
  <c r="C544" i="23" s="1"/>
  <c r="C545" i="23" s="1"/>
  <c r="C546" i="23" s="1"/>
  <c r="C547" i="23" s="1"/>
  <c r="C548" i="23" s="1"/>
  <c r="C549" i="23" s="1"/>
  <c r="C550" i="23" s="1"/>
  <c r="C551" i="23" s="1"/>
  <c r="C552" i="23" s="1"/>
  <c r="C553" i="23" s="1"/>
  <c r="C554" i="23" s="1"/>
  <c r="C555" i="23" s="1"/>
  <c r="C556" i="23" s="1"/>
  <c r="C557" i="23" s="1"/>
  <c r="G511" i="23"/>
  <c r="G510" i="23"/>
  <c r="G509" i="23"/>
  <c r="G507" i="23"/>
  <c r="G506" i="23"/>
  <c r="G505" i="23"/>
  <c r="G504" i="23"/>
  <c r="G503" i="23"/>
  <c r="G501" i="23"/>
  <c r="G500" i="23"/>
  <c r="G499" i="23"/>
  <c r="G498" i="23"/>
  <c r="G497" i="23"/>
  <c r="G496" i="23"/>
  <c r="G495" i="23"/>
  <c r="G494" i="23"/>
  <c r="G492" i="23"/>
  <c r="G491" i="23"/>
  <c r="G490" i="23"/>
  <c r="G489" i="23"/>
  <c r="G488" i="23"/>
  <c r="G487" i="23"/>
  <c r="G486" i="23"/>
  <c r="G484" i="23"/>
  <c r="G483" i="23"/>
  <c r="G482" i="23"/>
  <c r="G481" i="23"/>
  <c r="G480" i="23"/>
  <c r="G479" i="23"/>
  <c r="G477" i="23"/>
  <c r="G476" i="23"/>
  <c r="G475" i="23"/>
  <c r="G474" i="23"/>
  <c r="G473" i="23"/>
  <c r="G472" i="23"/>
  <c r="G471" i="23"/>
  <c r="G470" i="23"/>
  <c r="G469" i="23"/>
  <c r="G468" i="23"/>
  <c r="G467" i="23"/>
  <c r="G466" i="23"/>
  <c r="G465" i="23"/>
  <c r="G464" i="23"/>
  <c r="G463" i="23"/>
  <c r="G462" i="23"/>
  <c r="G461" i="23"/>
  <c r="G460" i="23"/>
  <c r="G459" i="23"/>
  <c r="G458" i="23"/>
  <c r="G457" i="23"/>
  <c r="G456" i="23"/>
  <c r="G455" i="23"/>
  <c r="G454" i="23"/>
  <c r="G453" i="23"/>
  <c r="G452" i="23"/>
  <c r="G451" i="23"/>
  <c r="G450" i="23"/>
  <c r="G449" i="23"/>
  <c r="G448" i="23"/>
  <c r="G447" i="23"/>
  <c r="G446" i="23"/>
  <c r="G444" i="23"/>
  <c r="G443" i="23"/>
  <c r="G442" i="23"/>
  <c r="G441" i="23"/>
  <c r="G440" i="23"/>
  <c r="G439" i="23"/>
  <c r="G438" i="23"/>
  <c r="G437" i="23"/>
  <c r="G436" i="23"/>
  <c r="G435" i="23"/>
  <c r="G434" i="23"/>
  <c r="G433" i="23"/>
  <c r="G432" i="23"/>
  <c r="G431" i="23"/>
  <c r="G430" i="23"/>
  <c r="G429" i="23"/>
  <c r="G428" i="23"/>
  <c r="G427" i="23"/>
  <c r="G426" i="23"/>
  <c r="G425" i="23"/>
  <c r="G424" i="23"/>
  <c r="G423" i="23"/>
  <c r="G422" i="23"/>
  <c r="G421" i="23"/>
  <c r="E420" i="23"/>
  <c r="E421" i="23" s="1"/>
  <c r="E422" i="23" s="1"/>
  <c r="E423" i="23" s="1"/>
  <c r="E424" i="23" s="1"/>
  <c r="E425" i="23" s="1"/>
  <c r="E426" i="23" s="1"/>
  <c r="E427" i="23" s="1"/>
  <c r="E428" i="23" s="1"/>
  <c r="E429" i="23" s="1"/>
  <c r="E430" i="23" s="1"/>
  <c r="E431" i="23" s="1"/>
  <c r="E432" i="23" s="1"/>
  <c r="E433" i="23" s="1"/>
  <c r="E434" i="23" s="1"/>
  <c r="D419" i="23"/>
  <c r="D420" i="23" s="1"/>
  <c r="D421" i="23" s="1"/>
  <c r="D422" i="23" s="1"/>
  <c r="D423" i="23" s="1"/>
  <c r="D424" i="23" s="1"/>
  <c r="D425" i="23" s="1"/>
  <c r="D426" i="23" s="1"/>
  <c r="D427" i="23" s="1"/>
  <c r="D428" i="23" s="1"/>
  <c r="D429" i="23" s="1"/>
  <c r="D430" i="23" s="1"/>
  <c r="D431" i="23" s="1"/>
  <c r="D432" i="23" s="1"/>
  <c r="D433" i="23" s="1"/>
  <c r="D434" i="23" s="1"/>
  <c r="C418" i="23"/>
  <c r="C419" i="23" s="1"/>
  <c r="C420" i="23" s="1"/>
  <c r="C421" i="23" s="1"/>
  <c r="C422" i="23" s="1"/>
  <c r="C423" i="23" s="1"/>
  <c r="C424" i="23" s="1"/>
  <c r="C425" i="23" s="1"/>
  <c r="C426" i="23" s="1"/>
  <c r="C427" i="23" s="1"/>
  <c r="C428" i="23" s="1"/>
  <c r="C429" i="23" s="1"/>
  <c r="C430" i="23" s="1"/>
  <c r="C431" i="23" s="1"/>
  <c r="C432" i="23" s="1"/>
  <c r="C433" i="23" s="1"/>
  <c r="C434" i="23" s="1"/>
  <c r="C435" i="23" s="1"/>
  <c r="C436" i="23" s="1"/>
  <c r="C437" i="23" s="1"/>
  <c r="C438" i="23" s="1"/>
  <c r="C439" i="23" s="1"/>
  <c r="C440" i="23" s="1"/>
  <c r="C441" i="23" s="1"/>
  <c r="C442" i="23" s="1"/>
  <c r="C443" i="23" s="1"/>
  <c r="C444" i="23" s="1"/>
  <c r="C445" i="23" s="1"/>
  <c r="C446" i="23" s="1"/>
  <c r="C447" i="23" s="1"/>
  <c r="C448" i="23" s="1"/>
  <c r="C449" i="23" s="1"/>
  <c r="C450" i="23" s="1"/>
  <c r="C451" i="23" s="1"/>
  <c r="C452" i="23" s="1"/>
  <c r="C453" i="23" s="1"/>
  <c r="C454" i="23" s="1"/>
  <c r="C455" i="23" s="1"/>
  <c r="C456" i="23" s="1"/>
  <c r="C457" i="23" s="1"/>
  <c r="C458" i="23" s="1"/>
  <c r="C459" i="23" s="1"/>
  <c r="C460" i="23" s="1"/>
  <c r="C461" i="23" s="1"/>
  <c r="C462" i="23" s="1"/>
  <c r="C463" i="23" s="1"/>
  <c r="C464" i="23" s="1"/>
  <c r="C465" i="23" s="1"/>
  <c r="C466" i="23" s="1"/>
  <c r="C467" i="23" s="1"/>
  <c r="C468" i="23" s="1"/>
  <c r="C469" i="23" s="1"/>
  <c r="C470" i="23" s="1"/>
  <c r="C471" i="23" s="1"/>
  <c r="C472" i="23" s="1"/>
  <c r="C473" i="23" s="1"/>
  <c r="C474" i="23" s="1"/>
  <c r="C475" i="23" s="1"/>
  <c r="C476" i="23" s="1"/>
  <c r="C477" i="23" s="1"/>
  <c r="C478" i="23" s="1"/>
  <c r="C479" i="23" s="1"/>
  <c r="C480" i="23" s="1"/>
  <c r="C481" i="23" s="1"/>
  <c r="C482" i="23" s="1"/>
  <c r="C483" i="23" s="1"/>
  <c r="C484" i="23" s="1"/>
  <c r="C485" i="23" s="1"/>
  <c r="C486" i="23" s="1"/>
  <c r="C487" i="23" s="1"/>
  <c r="C488" i="23" s="1"/>
  <c r="C489" i="23" s="1"/>
  <c r="C490" i="23" s="1"/>
  <c r="C491" i="23" s="1"/>
  <c r="C492" i="23" s="1"/>
  <c r="C493" i="23" s="1"/>
  <c r="C494" i="23" s="1"/>
  <c r="C495" i="23" s="1"/>
  <c r="C496" i="23" s="1"/>
  <c r="C497" i="23" s="1"/>
  <c r="C498" i="23" s="1"/>
  <c r="C499" i="23" s="1"/>
  <c r="C500" i="23" s="1"/>
  <c r="C501" i="23" s="1"/>
  <c r="C502" i="23" s="1"/>
  <c r="C503" i="23" s="1"/>
  <c r="C504" i="23" s="1"/>
  <c r="C505" i="23" s="1"/>
  <c r="C506" i="23" s="1"/>
  <c r="C507" i="23" s="1"/>
  <c r="C508" i="23" s="1"/>
  <c r="C509" i="23" s="1"/>
  <c r="C510" i="23" s="1"/>
  <c r="C511" i="23" s="1"/>
  <c r="C512" i="23" s="1"/>
  <c r="C513" i="23" s="1"/>
  <c r="C514" i="23" s="1"/>
  <c r="E411" i="23"/>
  <c r="E412" i="23" s="1"/>
  <c r="E413" i="23" s="1"/>
  <c r="E414" i="23" s="1"/>
  <c r="E415" i="23" s="1"/>
  <c r="E416" i="23" s="1"/>
  <c r="D410" i="23"/>
  <c r="D411" i="23" s="1"/>
  <c r="D412" i="23" s="1"/>
  <c r="D413" i="23" s="1"/>
  <c r="D414" i="23" s="1"/>
  <c r="D415" i="23" s="1"/>
  <c r="D416" i="23" s="1"/>
  <c r="E393" i="23"/>
  <c r="E394" i="23" s="1"/>
  <c r="E395" i="23" s="1"/>
  <c r="E396" i="23" s="1"/>
  <c r="E397" i="23" s="1"/>
  <c r="E398" i="23" s="1"/>
  <c r="E399" i="23" s="1"/>
  <c r="E400" i="23" s="1"/>
  <c r="E401" i="23" s="1"/>
  <c r="E402" i="23" s="1"/>
  <c r="E403" i="23" s="1"/>
  <c r="E404" i="23" s="1"/>
  <c r="E405" i="23" s="1"/>
  <c r="E406" i="23" s="1"/>
  <c r="E407" i="23" s="1"/>
  <c r="E408" i="23" s="1"/>
  <c r="D392" i="23"/>
  <c r="D393" i="23" s="1"/>
  <c r="D394" i="23" s="1"/>
  <c r="D395" i="23" s="1"/>
  <c r="D396" i="23" s="1"/>
  <c r="D397" i="23" s="1"/>
  <c r="D398" i="23" s="1"/>
  <c r="D399" i="23" s="1"/>
  <c r="D400" i="23" s="1"/>
  <c r="D401" i="23" s="1"/>
  <c r="D402" i="23" s="1"/>
  <c r="D403" i="23" s="1"/>
  <c r="D404" i="23" s="1"/>
  <c r="D405" i="23" s="1"/>
  <c r="D406" i="23" s="1"/>
  <c r="D407" i="23" s="1"/>
  <c r="D408" i="23" s="1"/>
  <c r="G388" i="23"/>
  <c r="F388" i="23"/>
  <c r="E388" i="23"/>
  <c r="D388" i="23"/>
  <c r="G387" i="23"/>
  <c r="F387" i="23"/>
  <c r="E387" i="23"/>
  <c r="D387" i="23"/>
  <c r="G386" i="23"/>
  <c r="F386" i="23"/>
  <c r="E386" i="23"/>
  <c r="D386" i="23"/>
  <c r="G385" i="23"/>
  <c r="F385" i="23"/>
  <c r="E385" i="23"/>
  <c r="D385" i="23"/>
  <c r="D383" i="23"/>
  <c r="E378" i="23"/>
  <c r="E379" i="23" s="1"/>
  <c r="E380" i="23" s="1"/>
  <c r="E381" i="23" s="1"/>
  <c r="G373" i="23"/>
  <c r="G372" i="23"/>
  <c r="G371" i="23"/>
  <c r="G370" i="23"/>
  <c r="G369" i="23"/>
  <c r="G368" i="23"/>
  <c r="E367" i="23"/>
  <c r="E368" i="23" s="1"/>
  <c r="E369" i="23" s="1"/>
  <c r="E370" i="23" s="1"/>
  <c r="E371" i="23" s="1"/>
  <c r="E372" i="23" s="1"/>
  <c r="E373" i="23" s="1"/>
  <c r="E374" i="23" s="1"/>
  <c r="E375" i="23" s="1"/>
  <c r="E376" i="23" s="1"/>
  <c r="M349" i="23"/>
  <c r="M348" i="23"/>
  <c r="M347" i="23"/>
  <c r="M346" i="23"/>
  <c r="M345" i="23"/>
  <c r="M344" i="23"/>
  <c r="M343" i="23"/>
  <c r="U332" i="23"/>
  <c r="T332" i="23"/>
  <c r="AA331" i="23"/>
  <c r="Z331" i="23"/>
  <c r="U320" i="23"/>
  <c r="T320" i="23"/>
  <c r="S308" i="23"/>
  <c r="Q308" i="23"/>
  <c r="E306" i="23"/>
  <c r="E307" i="23" s="1"/>
  <c r="E308" i="23" s="1"/>
  <c r="E309" i="23" s="1"/>
  <c r="E310" i="23" s="1"/>
  <c r="E311" i="23" s="1"/>
  <c r="E312" i="23" s="1"/>
  <c r="E313" i="23" s="1"/>
  <c r="E314" i="23" s="1"/>
  <c r="E315" i="23" s="1"/>
  <c r="E316" i="23" s="1"/>
  <c r="E317" i="23" s="1"/>
  <c r="E318" i="23" s="1"/>
  <c r="E319" i="23" s="1"/>
  <c r="E320" i="23" s="1"/>
  <c r="E321" i="23" s="1"/>
  <c r="E322" i="23" s="1"/>
  <c r="E323" i="23" s="1"/>
  <c r="E324" i="23" s="1"/>
  <c r="E325" i="23" s="1"/>
  <c r="E326" i="23" s="1"/>
  <c r="E327" i="23" s="1"/>
  <c r="E328" i="23" s="1"/>
  <c r="E329" i="23" s="1"/>
  <c r="E330" i="23" s="1"/>
  <c r="E331" i="23" s="1"/>
  <c r="E332" i="23" s="1"/>
  <c r="E333" i="23" s="1"/>
  <c r="E334" i="23" s="1"/>
  <c r="E335" i="23" s="1"/>
  <c r="E336" i="23" s="1"/>
  <c r="E337" i="23" s="1"/>
  <c r="E338" i="23" s="1"/>
  <c r="E339" i="23" s="1"/>
  <c r="E340" i="23" s="1"/>
  <c r="E341" i="23" s="1"/>
  <c r="E342" i="23" s="1"/>
  <c r="E343" i="23" s="1"/>
  <c r="E344" i="23" s="1"/>
  <c r="E345" i="23" s="1"/>
  <c r="E346" i="23" s="1"/>
  <c r="E347" i="23" s="1"/>
  <c r="E348" i="23" s="1"/>
  <c r="E349" i="23" s="1"/>
  <c r="E350" i="23" s="1"/>
  <c r="E351" i="23" s="1"/>
  <c r="E352" i="23" s="1"/>
  <c r="E353" i="23" s="1"/>
  <c r="E354" i="23" s="1"/>
  <c r="E355" i="23" s="1"/>
  <c r="E356" i="23" s="1"/>
  <c r="E357" i="23" s="1"/>
  <c r="E358" i="23" s="1"/>
  <c r="E359" i="23" s="1"/>
  <c r="E360" i="23" s="1"/>
  <c r="E361" i="23" s="1"/>
  <c r="E362" i="23" s="1"/>
  <c r="E363" i="23" s="1"/>
  <c r="E364" i="23" s="1"/>
  <c r="E365" i="23" s="1"/>
  <c r="E295" i="23"/>
  <c r="E296" i="23" s="1"/>
  <c r="E297" i="23" s="1"/>
  <c r="E298" i="23" s="1"/>
  <c r="E299" i="23" s="1"/>
  <c r="E300" i="23" s="1"/>
  <c r="E301" i="23" s="1"/>
  <c r="E302" i="23" s="1"/>
  <c r="E303" i="23" s="1"/>
  <c r="E304" i="23" s="1"/>
  <c r="E287" i="23"/>
  <c r="E288" i="23" s="1"/>
  <c r="E289" i="23" s="1"/>
  <c r="E290" i="23" s="1"/>
  <c r="E291" i="23" s="1"/>
  <c r="E292" i="23" s="1"/>
  <c r="E293" i="23" s="1"/>
  <c r="E281" i="23"/>
  <c r="E282" i="23" s="1"/>
  <c r="E283" i="23" s="1"/>
  <c r="E284" i="23" s="1"/>
  <c r="E285" i="23" s="1"/>
  <c r="E278" i="23"/>
  <c r="E279" i="23" s="1"/>
  <c r="E275" i="23"/>
  <c r="E276" i="23" s="1"/>
  <c r="E272" i="23"/>
  <c r="E273" i="23" s="1"/>
  <c r="E269" i="23"/>
  <c r="E270" i="23" s="1"/>
  <c r="D268" i="23"/>
  <c r="D269" i="23" s="1"/>
  <c r="D270" i="23" s="1"/>
  <c r="D271" i="23" s="1"/>
  <c r="D272" i="23" s="1"/>
  <c r="D273" i="23" s="1"/>
  <c r="D274" i="23" s="1"/>
  <c r="D275" i="23" s="1"/>
  <c r="D276" i="23" s="1"/>
  <c r="D277" i="23" s="1"/>
  <c r="D278" i="23" s="1"/>
  <c r="D279" i="23" s="1"/>
  <c r="D280" i="23" s="1"/>
  <c r="D281" i="23" s="1"/>
  <c r="D282" i="23" s="1"/>
  <c r="D283" i="23" s="1"/>
  <c r="D284" i="23" s="1"/>
  <c r="D285" i="23" s="1"/>
  <c r="D286" i="23" s="1"/>
  <c r="D287" i="23" s="1"/>
  <c r="D288" i="23" s="1"/>
  <c r="D289" i="23" s="1"/>
  <c r="D290" i="23" s="1"/>
  <c r="D291" i="23" s="1"/>
  <c r="D292" i="23" s="1"/>
  <c r="D293" i="23" s="1"/>
  <c r="D294" i="23" s="1"/>
  <c r="D295" i="23" s="1"/>
  <c r="D296" i="23" s="1"/>
  <c r="D297" i="23" s="1"/>
  <c r="D298" i="23" s="1"/>
  <c r="D299" i="23" s="1"/>
  <c r="D300" i="23" s="1"/>
  <c r="D301" i="23" s="1"/>
  <c r="D302" i="23" s="1"/>
  <c r="D303" i="23" s="1"/>
  <c r="D304" i="23" s="1"/>
  <c r="D305" i="23" s="1"/>
  <c r="D306" i="23" s="1"/>
  <c r="D307" i="23" s="1"/>
  <c r="D308" i="23" s="1"/>
  <c r="D309" i="23" s="1"/>
  <c r="D310" i="23" s="1"/>
  <c r="D311" i="23" s="1"/>
  <c r="D312" i="23" s="1"/>
  <c r="D313" i="23" s="1"/>
  <c r="D314" i="23" s="1"/>
  <c r="D315" i="23" s="1"/>
  <c r="D316" i="23" s="1"/>
  <c r="D317" i="23" s="1"/>
  <c r="D318" i="23" s="1"/>
  <c r="D319" i="23" s="1"/>
  <c r="D320" i="23" s="1"/>
  <c r="D321" i="23" s="1"/>
  <c r="D322" i="23" s="1"/>
  <c r="D323" i="23" s="1"/>
  <c r="D324" i="23" s="1"/>
  <c r="D325" i="23" s="1"/>
  <c r="D326" i="23" s="1"/>
  <c r="D327" i="23" s="1"/>
  <c r="D328" i="23" s="1"/>
  <c r="D329" i="23" s="1"/>
  <c r="D330" i="23" s="1"/>
  <c r="D331" i="23" s="1"/>
  <c r="D332" i="23" s="1"/>
  <c r="D333" i="23" s="1"/>
  <c r="D334" i="23" s="1"/>
  <c r="D335" i="23" s="1"/>
  <c r="D336" i="23" s="1"/>
  <c r="D337" i="23" s="1"/>
  <c r="D338" i="23" s="1"/>
  <c r="D339" i="23" s="1"/>
  <c r="D340" i="23" s="1"/>
  <c r="D341" i="23" s="1"/>
  <c r="D342" i="23" s="1"/>
  <c r="D343" i="23" s="1"/>
  <c r="D344" i="23" s="1"/>
  <c r="D345" i="23" s="1"/>
  <c r="D346" i="23" s="1"/>
  <c r="D347" i="23" s="1"/>
  <c r="D348" i="23" s="1"/>
  <c r="D349" i="23" s="1"/>
  <c r="D350" i="23" s="1"/>
  <c r="D351" i="23" s="1"/>
  <c r="D352" i="23" s="1"/>
  <c r="D353" i="23" s="1"/>
  <c r="D354" i="23" s="1"/>
  <c r="D355" i="23" s="1"/>
  <c r="D356" i="23" s="1"/>
  <c r="D357" i="23" s="1"/>
  <c r="D358" i="23" s="1"/>
  <c r="D359" i="23" s="1"/>
  <c r="D360" i="23" s="1"/>
  <c r="D361" i="23" s="1"/>
  <c r="D362" i="23" s="1"/>
  <c r="D363" i="23" s="1"/>
  <c r="D364" i="23" s="1"/>
  <c r="D365" i="23" s="1"/>
  <c r="D366" i="23" s="1"/>
  <c r="D367" i="23" s="1"/>
  <c r="D368" i="23" s="1"/>
  <c r="D369" i="23" s="1"/>
  <c r="D370" i="23" s="1"/>
  <c r="D371" i="23" s="1"/>
  <c r="D372" i="23" s="1"/>
  <c r="D373" i="23" s="1"/>
  <c r="D374" i="23" s="1"/>
  <c r="D375" i="23" s="1"/>
  <c r="D376" i="23" s="1"/>
  <c r="D377" i="23" s="1"/>
  <c r="D378" i="23" s="1"/>
  <c r="D379" i="23" s="1"/>
  <c r="D380" i="23" s="1"/>
  <c r="D381" i="23" s="1"/>
  <c r="E256" i="23"/>
  <c r="E257" i="23" s="1"/>
  <c r="E258" i="23" s="1"/>
  <c r="E259" i="23" s="1"/>
  <c r="E260" i="23" s="1"/>
  <c r="E261" i="23" s="1"/>
  <c r="E262" i="23" s="1"/>
  <c r="E263" i="23" s="1"/>
  <c r="E264" i="23" s="1"/>
  <c r="E265" i="23" s="1"/>
  <c r="E266" i="23" s="1"/>
  <c r="D255" i="23"/>
  <c r="D256" i="23" s="1"/>
  <c r="D257" i="23" s="1"/>
  <c r="D258" i="23" s="1"/>
  <c r="D259" i="23" s="1"/>
  <c r="D260" i="23" s="1"/>
  <c r="D261" i="23" s="1"/>
  <c r="D262" i="23" s="1"/>
  <c r="D263" i="23" s="1"/>
  <c r="D264" i="23" s="1"/>
  <c r="D265" i="23" s="1"/>
  <c r="D266" i="23" s="1"/>
  <c r="C254" i="23"/>
  <c r="C255" i="23" s="1"/>
  <c r="C256" i="23" s="1"/>
  <c r="C257" i="23" s="1"/>
  <c r="C258" i="23" s="1"/>
  <c r="C259" i="23" s="1"/>
  <c r="C260" i="23" s="1"/>
  <c r="C261" i="23" s="1"/>
  <c r="C262" i="23" s="1"/>
  <c r="C263" i="23" s="1"/>
  <c r="C264" i="23" s="1"/>
  <c r="C265" i="23" s="1"/>
  <c r="C266" i="23" s="1"/>
  <c r="C267" i="23" s="1"/>
  <c r="C268" i="23" s="1"/>
  <c r="C269" i="23" s="1"/>
  <c r="C270" i="23" s="1"/>
  <c r="C271" i="23" s="1"/>
  <c r="C272" i="23" s="1"/>
  <c r="C273" i="23" s="1"/>
  <c r="C274" i="23" s="1"/>
  <c r="C275" i="23" s="1"/>
  <c r="C276" i="23" s="1"/>
  <c r="C277" i="23" s="1"/>
  <c r="C278" i="23" s="1"/>
  <c r="C279" i="23" s="1"/>
  <c r="C280" i="23" s="1"/>
  <c r="C281" i="23" s="1"/>
  <c r="C282" i="23" s="1"/>
  <c r="C283" i="23" s="1"/>
  <c r="C284" i="23" s="1"/>
  <c r="C285" i="23" s="1"/>
  <c r="C286" i="23" s="1"/>
  <c r="C287" i="23" s="1"/>
  <c r="C288" i="23" s="1"/>
  <c r="C289" i="23" s="1"/>
  <c r="C290" i="23" s="1"/>
  <c r="C291" i="23" s="1"/>
  <c r="C292" i="23" s="1"/>
  <c r="C293" i="23" s="1"/>
  <c r="C294" i="23" s="1"/>
  <c r="C295" i="23" s="1"/>
  <c r="C296" i="23" s="1"/>
  <c r="C297" i="23" s="1"/>
  <c r="C298" i="23" s="1"/>
  <c r="C299" i="23" s="1"/>
  <c r="C300" i="23" s="1"/>
  <c r="C301" i="23" s="1"/>
  <c r="C302" i="23" s="1"/>
  <c r="C303" i="23" s="1"/>
  <c r="C304" i="23" s="1"/>
  <c r="C305" i="23" s="1"/>
  <c r="C306" i="23" s="1"/>
  <c r="C307" i="23" s="1"/>
  <c r="C308" i="23" s="1"/>
  <c r="C309" i="23" s="1"/>
  <c r="C310" i="23" s="1"/>
  <c r="C311" i="23" s="1"/>
  <c r="C312" i="23" s="1"/>
  <c r="C313" i="23" s="1"/>
  <c r="C314" i="23" s="1"/>
  <c r="C315" i="23" s="1"/>
  <c r="C316" i="23" s="1"/>
  <c r="C317" i="23" s="1"/>
  <c r="C318" i="23" s="1"/>
  <c r="C319" i="23" s="1"/>
  <c r="C320" i="23" s="1"/>
  <c r="C321" i="23" s="1"/>
  <c r="C322" i="23" s="1"/>
  <c r="C323" i="23" s="1"/>
  <c r="C324" i="23" s="1"/>
  <c r="C325" i="23" s="1"/>
  <c r="C326" i="23" s="1"/>
  <c r="C327" i="23" s="1"/>
  <c r="C328" i="23" s="1"/>
  <c r="C329" i="23" s="1"/>
  <c r="C330" i="23" s="1"/>
  <c r="C331" i="23" s="1"/>
  <c r="C332" i="23" s="1"/>
  <c r="C333" i="23" s="1"/>
  <c r="C334" i="23" s="1"/>
  <c r="C335" i="23" s="1"/>
  <c r="C336" i="23" s="1"/>
  <c r="C337" i="23" s="1"/>
  <c r="C338" i="23" s="1"/>
  <c r="C339" i="23" s="1"/>
  <c r="C340" i="23" s="1"/>
  <c r="C341" i="23" s="1"/>
  <c r="C342" i="23" s="1"/>
  <c r="C343" i="23" s="1"/>
  <c r="C344" i="23" s="1"/>
  <c r="C345" i="23" s="1"/>
  <c r="C346" i="23" s="1"/>
  <c r="C347" i="23" s="1"/>
  <c r="C348" i="23" s="1"/>
  <c r="C349" i="23" s="1"/>
  <c r="C350" i="23" s="1"/>
  <c r="C351" i="23" s="1"/>
  <c r="C352" i="23" s="1"/>
  <c r="C353" i="23" s="1"/>
  <c r="C354" i="23" s="1"/>
  <c r="C355" i="23" s="1"/>
  <c r="C356" i="23" s="1"/>
  <c r="C357" i="23" s="1"/>
  <c r="C358" i="23" s="1"/>
  <c r="C359" i="23" s="1"/>
  <c r="C360" i="23" s="1"/>
  <c r="C361" i="23" s="1"/>
  <c r="C362" i="23" s="1"/>
  <c r="C363" i="23" s="1"/>
  <c r="C364" i="23" s="1"/>
  <c r="C365" i="23" s="1"/>
  <c r="C366" i="23" s="1"/>
  <c r="C367" i="23" s="1"/>
  <c r="C368" i="23" s="1"/>
  <c r="C369" i="23" s="1"/>
  <c r="C370" i="23" s="1"/>
  <c r="C371" i="23" s="1"/>
  <c r="C372" i="23" s="1"/>
  <c r="C373" i="23" s="1"/>
  <c r="C374" i="23" s="1"/>
  <c r="C375" i="23" s="1"/>
  <c r="C376" i="23" s="1"/>
  <c r="C377" i="23" s="1"/>
  <c r="C378" i="23" s="1"/>
  <c r="C379" i="23" s="1"/>
  <c r="C380" i="23" s="1"/>
  <c r="C381" i="23" s="1"/>
  <c r="C382" i="23" s="1"/>
  <c r="C383" i="23" s="1"/>
  <c r="C384" i="23" s="1"/>
  <c r="C385" i="23" s="1"/>
  <c r="C386" i="23" s="1"/>
  <c r="C387" i="23" s="1"/>
  <c r="C388" i="23" s="1"/>
  <c r="C389" i="23" s="1"/>
  <c r="C390" i="23" s="1"/>
  <c r="C391" i="23" s="1"/>
  <c r="C392" i="23" s="1"/>
  <c r="C393" i="23" s="1"/>
  <c r="C394" i="23" s="1"/>
  <c r="C395" i="23" s="1"/>
  <c r="C396" i="23" s="1"/>
  <c r="C397" i="23" s="1"/>
  <c r="C398" i="23" s="1"/>
  <c r="C399" i="23" s="1"/>
  <c r="C400" i="23" s="1"/>
  <c r="C401" i="23" s="1"/>
  <c r="C402" i="23" s="1"/>
  <c r="C403" i="23" s="1"/>
  <c r="C404" i="23" s="1"/>
  <c r="C405" i="23" s="1"/>
  <c r="C406" i="23" s="1"/>
  <c r="C407" i="23" s="1"/>
  <c r="C408" i="23" s="1"/>
  <c r="C409" i="23" s="1"/>
  <c r="C410" i="23" s="1"/>
  <c r="C411" i="23" s="1"/>
  <c r="C412" i="23" s="1"/>
  <c r="C413" i="23" s="1"/>
  <c r="C414" i="23" s="1"/>
  <c r="C415" i="23" s="1"/>
  <c r="C416" i="23" s="1"/>
  <c r="E245" i="23"/>
  <c r="E246" i="23" s="1"/>
  <c r="E247" i="23" s="1"/>
  <c r="E248" i="23" s="1"/>
  <c r="E249" i="23" s="1"/>
  <c r="E250" i="23" s="1"/>
  <c r="E251" i="23" s="1"/>
  <c r="E252" i="23" s="1"/>
  <c r="E235" i="23"/>
  <c r="E236" i="23" s="1"/>
  <c r="E237" i="23" s="1"/>
  <c r="E238" i="23" s="1"/>
  <c r="E239" i="23" s="1"/>
  <c r="E240" i="23" s="1"/>
  <c r="E241" i="23" s="1"/>
  <c r="E242" i="23" s="1"/>
  <c r="E243" i="23" s="1"/>
  <c r="D234" i="23"/>
  <c r="D235" i="23" s="1"/>
  <c r="D236" i="23" s="1"/>
  <c r="D237" i="23" s="1"/>
  <c r="D238" i="23" s="1"/>
  <c r="D239" i="23" s="1"/>
  <c r="D240" i="23" s="1"/>
  <c r="D241" i="23" s="1"/>
  <c r="D242" i="23" s="1"/>
  <c r="D243" i="23" s="1"/>
  <c r="D244" i="23" s="1"/>
  <c r="D245" i="23" s="1"/>
  <c r="D246" i="23" s="1"/>
  <c r="D247" i="23" s="1"/>
  <c r="D248" i="23" s="1"/>
  <c r="D249" i="23" s="1"/>
  <c r="D250" i="23" s="1"/>
  <c r="D251" i="23" s="1"/>
  <c r="D252" i="23" s="1"/>
  <c r="G226" i="23"/>
  <c r="E222" i="23"/>
  <c r="E223" i="23" s="1"/>
  <c r="E224" i="23" s="1"/>
  <c r="E225" i="23" s="1"/>
  <c r="E226" i="23" s="1"/>
  <c r="E227" i="23" s="1"/>
  <c r="E228" i="23" s="1"/>
  <c r="E229" i="23" s="1"/>
  <c r="E230" i="23" s="1"/>
  <c r="E231" i="23" s="1"/>
  <c r="E232" i="23" s="1"/>
  <c r="D221" i="23"/>
  <c r="D222" i="23" s="1"/>
  <c r="D223" i="23" s="1"/>
  <c r="D224" i="23" s="1"/>
  <c r="D225" i="23" s="1"/>
  <c r="D226" i="23" s="1"/>
  <c r="D227" i="23" s="1"/>
  <c r="D228" i="23" s="1"/>
  <c r="D229" i="23" s="1"/>
  <c r="D230" i="23" s="1"/>
  <c r="D231" i="23" s="1"/>
  <c r="D232" i="23" s="1"/>
  <c r="E207" i="23"/>
  <c r="E208" i="23" s="1"/>
  <c r="E209" i="23" s="1"/>
  <c r="E210" i="23" s="1"/>
  <c r="E211" i="23" s="1"/>
  <c r="E212" i="23" s="1"/>
  <c r="E213" i="23" s="1"/>
  <c r="E214" i="23" s="1"/>
  <c r="E215" i="23" s="1"/>
  <c r="E216" i="23" s="1"/>
  <c r="E217" i="23" s="1"/>
  <c r="E218" i="23" s="1"/>
  <c r="E219" i="23" s="1"/>
  <c r="E186" i="23"/>
  <c r="E187" i="23" s="1"/>
  <c r="E188" i="23" s="1"/>
  <c r="E189" i="23" s="1"/>
  <c r="E190" i="23" s="1"/>
  <c r="E191" i="23" s="1"/>
  <c r="E192" i="23" s="1"/>
  <c r="E193" i="23" s="1"/>
  <c r="E194" i="23" s="1"/>
  <c r="E195" i="23" s="1"/>
  <c r="E196" i="23" s="1"/>
  <c r="E197" i="23" s="1"/>
  <c r="E198" i="23" s="1"/>
  <c r="E199" i="23" s="1"/>
  <c r="E200" i="23" s="1"/>
  <c r="E201" i="23" s="1"/>
  <c r="E202" i="23" s="1"/>
  <c r="E203" i="23" s="1"/>
  <c r="E204" i="23" s="1"/>
  <c r="E205" i="23" s="1"/>
  <c r="D185" i="23"/>
  <c r="D186" i="23" s="1"/>
  <c r="D187" i="23" s="1"/>
  <c r="D188" i="23" s="1"/>
  <c r="D189" i="23" s="1"/>
  <c r="D190" i="23" s="1"/>
  <c r="D191" i="23" s="1"/>
  <c r="D192" i="23" s="1"/>
  <c r="D193" i="23" s="1"/>
  <c r="D194" i="23" s="1"/>
  <c r="D195" i="23" s="1"/>
  <c r="D196" i="23" s="1"/>
  <c r="D197" i="23" s="1"/>
  <c r="D198" i="23" s="1"/>
  <c r="D199" i="23" s="1"/>
  <c r="D200" i="23" s="1"/>
  <c r="D201" i="23" s="1"/>
  <c r="D202" i="23" s="1"/>
  <c r="D203" i="23" s="1"/>
  <c r="D204" i="23" s="1"/>
  <c r="D205" i="23" s="1"/>
  <c r="D206" i="23" s="1"/>
  <c r="D207" i="23" s="1"/>
  <c r="D208" i="23" s="1"/>
  <c r="D209" i="23" s="1"/>
  <c r="D210" i="23" s="1"/>
  <c r="D211" i="23" s="1"/>
  <c r="D212" i="23" s="1"/>
  <c r="D213" i="23" s="1"/>
  <c r="D214" i="23" s="1"/>
  <c r="D215" i="23" s="1"/>
  <c r="D216" i="23" s="1"/>
  <c r="D217" i="23" s="1"/>
  <c r="D218" i="23" s="1"/>
  <c r="D219" i="23" s="1"/>
  <c r="E157" i="23"/>
  <c r="E158" i="23" s="1"/>
  <c r="E159" i="23" s="1"/>
  <c r="E160" i="23" s="1"/>
  <c r="E161" i="23" s="1"/>
  <c r="E162" i="23" s="1"/>
  <c r="E163" i="23" s="1"/>
  <c r="E164" i="23" s="1"/>
  <c r="E165" i="23" s="1"/>
  <c r="E166" i="23" s="1"/>
  <c r="E167" i="23" s="1"/>
  <c r="E168" i="23" s="1"/>
  <c r="E169" i="23" s="1"/>
  <c r="E170" i="23" s="1"/>
  <c r="E171" i="23" s="1"/>
  <c r="E172" i="23" s="1"/>
  <c r="E173" i="23" s="1"/>
  <c r="E174" i="23" s="1"/>
  <c r="E175" i="23" s="1"/>
  <c r="E176" i="23" s="1"/>
  <c r="E177" i="23" s="1"/>
  <c r="E178" i="23" s="1"/>
  <c r="E179" i="23" s="1"/>
  <c r="E180" i="23" s="1"/>
  <c r="E181" i="23" s="1"/>
  <c r="E182" i="23" s="1"/>
  <c r="E183" i="23" s="1"/>
  <c r="D156" i="23"/>
  <c r="D157" i="23" s="1"/>
  <c r="D158" i="23" s="1"/>
  <c r="D159" i="23" s="1"/>
  <c r="D160" i="23" s="1"/>
  <c r="D161" i="23" s="1"/>
  <c r="D162" i="23" s="1"/>
  <c r="D163" i="23" s="1"/>
  <c r="D164" i="23" s="1"/>
  <c r="D165" i="23" s="1"/>
  <c r="D166" i="23" s="1"/>
  <c r="D167" i="23" s="1"/>
  <c r="D168" i="23" s="1"/>
  <c r="D169" i="23" s="1"/>
  <c r="D170" i="23" s="1"/>
  <c r="D171" i="23" s="1"/>
  <c r="D172" i="23" s="1"/>
  <c r="D173" i="23" s="1"/>
  <c r="D174" i="23" s="1"/>
  <c r="D175" i="23" s="1"/>
  <c r="D176" i="23" s="1"/>
  <c r="D177" i="23" s="1"/>
  <c r="D178" i="23" s="1"/>
  <c r="D179" i="23" s="1"/>
  <c r="D180" i="23" s="1"/>
  <c r="D181" i="23" s="1"/>
  <c r="D182" i="23" s="1"/>
  <c r="D183" i="23" s="1"/>
  <c r="C155" i="23"/>
  <c r="C156" i="23" s="1"/>
  <c r="C157" i="23" s="1"/>
  <c r="C158" i="23" s="1"/>
  <c r="C159" i="23" s="1"/>
  <c r="C160" i="23" s="1"/>
  <c r="C161" i="23" s="1"/>
  <c r="C162" i="23" s="1"/>
  <c r="C163" i="23" s="1"/>
  <c r="C164" i="23" s="1"/>
  <c r="C165" i="23" s="1"/>
  <c r="C166" i="23" s="1"/>
  <c r="C167" i="23" s="1"/>
  <c r="C168" i="23" s="1"/>
  <c r="C169" i="23" s="1"/>
  <c r="C170" i="23" s="1"/>
  <c r="C171" i="23" s="1"/>
  <c r="C172" i="23" s="1"/>
  <c r="C173" i="23" s="1"/>
  <c r="C174" i="23" s="1"/>
  <c r="C175" i="23" s="1"/>
  <c r="C176" i="23" s="1"/>
  <c r="C177" i="23" s="1"/>
  <c r="C178" i="23" s="1"/>
  <c r="C179" i="23" s="1"/>
  <c r="C180" i="23" s="1"/>
  <c r="C181" i="23" s="1"/>
  <c r="C182" i="23" s="1"/>
  <c r="C183" i="23" s="1"/>
  <c r="C184" i="23" s="1"/>
  <c r="C185" i="23" s="1"/>
  <c r="C186" i="23" s="1"/>
  <c r="C187" i="23" s="1"/>
  <c r="C188" i="23" s="1"/>
  <c r="C189" i="23" s="1"/>
  <c r="C190" i="23" s="1"/>
  <c r="C191" i="23" s="1"/>
  <c r="C192" i="23" s="1"/>
  <c r="C193" i="23" s="1"/>
  <c r="C194" i="23" s="1"/>
  <c r="C195" i="23" s="1"/>
  <c r="C196" i="23" s="1"/>
  <c r="C197" i="23" s="1"/>
  <c r="C198" i="23" s="1"/>
  <c r="C199" i="23" s="1"/>
  <c r="C200" i="23" s="1"/>
  <c r="C201" i="23" s="1"/>
  <c r="C202" i="23" s="1"/>
  <c r="C203" i="23" s="1"/>
  <c r="C204" i="23" s="1"/>
  <c r="C205" i="23" s="1"/>
  <c r="C206" i="23" s="1"/>
  <c r="C207" i="23" s="1"/>
  <c r="C208" i="23" s="1"/>
  <c r="C209" i="23" s="1"/>
  <c r="C210" i="23" s="1"/>
  <c r="C211" i="23" s="1"/>
  <c r="C212" i="23" s="1"/>
  <c r="C213" i="23" s="1"/>
  <c r="C214" i="23" s="1"/>
  <c r="C215" i="23" s="1"/>
  <c r="C216" i="23" s="1"/>
  <c r="C217" i="23" s="1"/>
  <c r="C218" i="23" s="1"/>
  <c r="C219" i="23" s="1"/>
  <c r="C220" i="23" s="1"/>
  <c r="C221" i="23" s="1"/>
  <c r="C222" i="23" s="1"/>
  <c r="C223" i="23" s="1"/>
  <c r="C224" i="23" s="1"/>
  <c r="C225" i="23" s="1"/>
  <c r="C226" i="23" s="1"/>
  <c r="C227" i="23" s="1"/>
  <c r="C228" i="23" s="1"/>
  <c r="C229" i="23" s="1"/>
  <c r="C230" i="23" s="1"/>
  <c r="C231" i="23" s="1"/>
  <c r="C232" i="23" s="1"/>
  <c r="C233" i="23" s="1"/>
  <c r="C234" i="23" s="1"/>
  <c r="C235" i="23" s="1"/>
  <c r="C236" i="23" s="1"/>
  <c r="C237" i="23" s="1"/>
  <c r="C238" i="23" s="1"/>
  <c r="C239" i="23" s="1"/>
  <c r="C240" i="23" s="1"/>
  <c r="C241" i="23" s="1"/>
  <c r="C242" i="23" s="1"/>
  <c r="C243" i="23" s="1"/>
  <c r="C244" i="23" s="1"/>
  <c r="C245" i="23" s="1"/>
  <c r="C246" i="23" s="1"/>
  <c r="C247" i="23" s="1"/>
  <c r="C248" i="23" s="1"/>
  <c r="C249" i="23" s="1"/>
  <c r="C250" i="23" s="1"/>
  <c r="C251" i="23" s="1"/>
  <c r="C252" i="23" s="1"/>
  <c r="B154" i="23"/>
  <c r="B155" i="23" s="1"/>
  <c r="B156" i="23" s="1"/>
  <c r="B157" i="23" s="1"/>
  <c r="B158" i="23" s="1"/>
  <c r="B159" i="23" s="1"/>
  <c r="B160" i="23" s="1"/>
  <c r="B161" i="23" s="1"/>
  <c r="B162" i="23" s="1"/>
  <c r="B163" i="23" s="1"/>
  <c r="B164" i="23" s="1"/>
  <c r="B165" i="23" s="1"/>
  <c r="B166" i="23" s="1"/>
  <c r="B167" i="23" s="1"/>
  <c r="B168" i="23" s="1"/>
  <c r="B169" i="23" s="1"/>
  <c r="B170" i="23" s="1"/>
  <c r="B171" i="23" s="1"/>
  <c r="B172" i="23" s="1"/>
  <c r="B173" i="23" s="1"/>
  <c r="B174" i="23" s="1"/>
  <c r="B175" i="23" s="1"/>
  <c r="B176" i="23" s="1"/>
  <c r="B177" i="23" s="1"/>
  <c r="B178" i="23" s="1"/>
  <c r="B179" i="23" s="1"/>
  <c r="B180" i="23" s="1"/>
  <c r="B181" i="23" s="1"/>
  <c r="B182" i="23" s="1"/>
  <c r="B183" i="23" s="1"/>
  <c r="B184" i="23" s="1"/>
  <c r="B185" i="23" s="1"/>
  <c r="B186" i="23" s="1"/>
  <c r="B187" i="23" s="1"/>
  <c r="B188" i="23" s="1"/>
  <c r="B189" i="23" s="1"/>
  <c r="B190" i="23" s="1"/>
  <c r="B191" i="23" s="1"/>
  <c r="B192" i="23" s="1"/>
  <c r="B193" i="23" s="1"/>
  <c r="B194" i="23" s="1"/>
  <c r="B195" i="23" s="1"/>
  <c r="B196" i="23" s="1"/>
  <c r="B197" i="23" s="1"/>
  <c r="B198" i="23" s="1"/>
  <c r="B199" i="23" s="1"/>
  <c r="B200" i="23" s="1"/>
  <c r="B201" i="23" s="1"/>
  <c r="B202" i="23" s="1"/>
  <c r="B203" i="23" s="1"/>
  <c r="B204" i="23" s="1"/>
  <c r="B205" i="23" s="1"/>
  <c r="B206" i="23" s="1"/>
  <c r="B207" i="23" s="1"/>
  <c r="B208" i="23" s="1"/>
  <c r="B209" i="23" s="1"/>
  <c r="B210" i="23" s="1"/>
  <c r="B211" i="23" s="1"/>
  <c r="B212" i="23" s="1"/>
  <c r="B213" i="23" s="1"/>
  <c r="B214" i="23" s="1"/>
  <c r="B215" i="23" s="1"/>
  <c r="B216" i="23" s="1"/>
  <c r="B217" i="23" s="1"/>
  <c r="B218" i="23" s="1"/>
  <c r="B219" i="23" s="1"/>
  <c r="B220" i="23" s="1"/>
  <c r="B221" i="23" s="1"/>
  <c r="B222" i="23" s="1"/>
  <c r="B223" i="23" s="1"/>
  <c r="B224" i="23" s="1"/>
  <c r="B225" i="23" s="1"/>
  <c r="B226" i="23" s="1"/>
  <c r="B227" i="23" s="1"/>
  <c r="B228" i="23" s="1"/>
  <c r="B229" i="23" s="1"/>
  <c r="B230" i="23" s="1"/>
  <c r="B231" i="23" s="1"/>
  <c r="B232" i="23" s="1"/>
  <c r="B233" i="23" s="1"/>
  <c r="B234" i="23" s="1"/>
  <c r="B235" i="23" s="1"/>
  <c r="B236" i="23" s="1"/>
  <c r="B237" i="23" s="1"/>
  <c r="B238" i="23" s="1"/>
  <c r="B239" i="23" s="1"/>
  <c r="B240" i="23" s="1"/>
  <c r="B241" i="23" s="1"/>
  <c r="B242" i="23" s="1"/>
  <c r="B243" i="23" s="1"/>
  <c r="B244" i="23" s="1"/>
  <c r="B245" i="23" s="1"/>
  <c r="B246" i="23" s="1"/>
  <c r="B247" i="23" s="1"/>
  <c r="B248" i="23" s="1"/>
  <c r="B249" i="23" s="1"/>
  <c r="B250" i="23" s="1"/>
  <c r="B251" i="23" s="1"/>
  <c r="B252" i="23" s="1"/>
  <c r="B253" i="23" s="1"/>
  <c r="B254" i="23" s="1"/>
  <c r="B255" i="23" s="1"/>
  <c r="B256" i="23" s="1"/>
  <c r="B257" i="23" s="1"/>
  <c r="B258" i="23" s="1"/>
  <c r="B259" i="23" s="1"/>
  <c r="B260" i="23" s="1"/>
  <c r="B261" i="23" s="1"/>
  <c r="B262" i="23" s="1"/>
  <c r="B263" i="23" s="1"/>
  <c r="B264" i="23" s="1"/>
  <c r="B265" i="23" s="1"/>
  <c r="B266" i="23" s="1"/>
  <c r="B267" i="23" s="1"/>
  <c r="B268" i="23" s="1"/>
  <c r="B269" i="23" s="1"/>
  <c r="B270" i="23" s="1"/>
  <c r="B271" i="23" s="1"/>
  <c r="B272" i="23" s="1"/>
  <c r="B273" i="23" s="1"/>
  <c r="B274" i="23" s="1"/>
  <c r="B275" i="23" s="1"/>
  <c r="B276" i="23" s="1"/>
  <c r="B277" i="23" s="1"/>
  <c r="B278" i="23" s="1"/>
  <c r="B279" i="23" s="1"/>
  <c r="B280" i="23" s="1"/>
  <c r="B281" i="23" s="1"/>
  <c r="B282" i="23" s="1"/>
  <c r="B283" i="23" s="1"/>
  <c r="B284" i="23" s="1"/>
  <c r="B285" i="23" s="1"/>
  <c r="B286" i="23" s="1"/>
  <c r="B287" i="23" s="1"/>
  <c r="B288" i="23" s="1"/>
  <c r="B289" i="23" s="1"/>
  <c r="B290" i="23" s="1"/>
  <c r="B291" i="23" s="1"/>
  <c r="B292" i="23" s="1"/>
  <c r="B293" i="23" s="1"/>
  <c r="B294" i="23" s="1"/>
  <c r="B295" i="23" s="1"/>
  <c r="B296" i="23" s="1"/>
  <c r="B297" i="23" s="1"/>
  <c r="B298" i="23" s="1"/>
  <c r="B299" i="23" s="1"/>
  <c r="B300" i="23" s="1"/>
  <c r="B301" i="23" s="1"/>
  <c r="B302" i="23" s="1"/>
  <c r="B303" i="23" s="1"/>
  <c r="B304" i="23" s="1"/>
  <c r="B305" i="23" s="1"/>
  <c r="B306" i="23" s="1"/>
  <c r="B307" i="23" s="1"/>
  <c r="B308" i="23" s="1"/>
  <c r="B309" i="23" s="1"/>
  <c r="B310" i="23" s="1"/>
  <c r="B311" i="23" s="1"/>
  <c r="B312" i="23" s="1"/>
  <c r="B313" i="23" s="1"/>
  <c r="B314" i="23" s="1"/>
  <c r="B315" i="23" s="1"/>
  <c r="B316" i="23" s="1"/>
  <c r="B317" i="23" s="1"/>
  <c r="B318" i="23" s="1"/>
  <c r="B319" i="23" s="1"/>
  <c r="B320" i="23" s="1"/>
  <c r="B321" i="23" s="1"/>
  <c r="B322" i="23" s="1"/>
  <c r="B323" i="23" s="1"/>
  <c r="B324" i="23" s="1"/>
  <c r="B325" i="23" s="1"/>
  <c r="B326" i="23" s="1"/>
  <c r="B327" i="23" s="1"/>
  <c r="B328" i="23" s="1"/>
  <c r="B329" i="23" s="1"/>
  <c r="B330" i="23" s="1"/>
  <c r="B331" i="23" s="1"/>
  <c r="B332" i="23" s="1"/>
  <c r="B333" i="23" s="1"/>
  <c r="B334" i="23" s="1"/>
  <c r="B335" i="23" s="1"/>
  <c r="B336" i="23" s="1"/>
  <c r="B337" i="23" s="1"/>
  <c r="B338" i="23" s="1"/>
  <c r="B339" i="23" s="1"/>
  <c r="B340" i="23" s="1"/>
  <c r="B341" i="23" s="1"/>
  <c r="B342" i="23" s="1"/>
  <c r="B343" i="23" s="1"/>
  <c r="B344" i="23" s="1"/>
  <c r="B345" i="23" s="1"/>
  <c r="B346" i="23" s="1"/>
  <c r="B347" i="23" s="1"/>
  <c r="B348" i="23" s="1"/>
  <c r="B349" i="23" s="1"/>
  <c r="B350" i="23" s="1"/>
  <c r="B351" i="23" s="1"/>
  <c r="B352" i="23" s="1"/>
  <c r="B353" i="23" s="1"/>
  <c r="B354" i="23" s="1"/>
  <c r="B355" i="23" s="1"/>
  <c r="B356" i="23" s="1"/>
  <c r="B357" i="23" s="1"/>
  <c r="B358" i="23" s="1"/>
  <c r="B359" i="23" s="1"/>
  <c r="B360" i="23" s="1"/>
  <c r="B361" i="23" s="1"/>
  <c r="B362" i="23" s="1"/>
  <c r="B363" i="23" s="1"/>
  <c r="B364" i="23" s="1"/>
  <c r="B365" i="23" s="1"/>
  <c r="B366" i="23" s="1"/>
  <c r="B367" i="23" s="1"/>
  <c r="B368" i="23" s="1"/>
  <c r="B369" i="23" s="1"/>
  <c r="B370" i="23" s="1"/>
  <c r="B371" i="23" s="1"/>
  <c r="B372" i="23" s="1"/>
  <c r="B373" i="23" s="1"/>
  <c r="B374" i="23" s="1"/>
  <c r="B375" i="23" s="1"/>
  <c r="B376" i="23" s="1"/>
  <c r="B377" i="23" s="1"/>
  <c r="B378" i="23" s="1"/>
  <c r="B379" i="23" s="1"/>
  <c r="B380" i="23" s="1"/>
  <c r="B381" i="23" s="1"/>
  <c r="B382" i="23" s="1"/>
  <c r="B383" i="23" s="1"/>
  <c r="B384" i="23" s="1"/>
  <c r="B385" i="23" s="1"/>
  <c r="B386" i="23" s="1"/>
  <c r="B387" i="23" s="1"/>
  <c r="B388" i="23" s="1"/>
  <c r="B389" i="23" s="1"/>
  <c r="B390" i="23" s="1"/>
  <c r="B391" i="23" s="1"/>
  <c r="B392" i="23" s="1"/>
  <c r="B393" i="23" s="1"/>
  <c r="B394" i="23" s="1"/>
  <c r="B395" i="23" s="1"/>
  <c r="B396" i="23" s="1"/>
  <c r="B397" i="23" s="1"/>
  <c r="B398" i="23" s="1"/>
  <c r="B399" i="23" s="1"/>
  <c r="B400" i="23" s="1"/>
  <c r="B401" i="23" s="1"/>
  <c r="B402" i="23" s="1"/>
  <c r="B403" i="23" s="1"/>
  <c r="B404" i="23" s="1"/>
  <c r="B405" i="23" s="1"/>
  <c r="B406" i="23" s="1"/>
  <c r="B407" i="23" s="1"/>
  <c r="B408" i="23" s="1"/>
  <c r="B409" i="23" s="1"/>
  <c r="B410" i="23" s="1"/>
  <c r="B411" i="23" s="1"/>
  <c r="B412" i="23" s="1"/>
  <c r="B413" i="23" s="1"/>
  <c r="B414" i="23" s="1"/>
  <c r="B415" i="23" s="1"/>
  <c r="B416" i="23" s="1"/>
  <c r="B417" i="23" s="1"/>
  <c r="B418" i="23" s="1"/>
  <c r="B419" i="23" s="1"/>
  <c r="B420" i="23" s="1"/>
  <c r="B421" i="23" s="1"/>
  <c r="B422" i="23" s="1"/>
  <c r="B423" i="23" s="1"/>
  <c r="B424" i="23" s="1"/>
  <c r="B425" i="23" s="1"/>
  <c r="B426" i="23" s="1"/>
  <c r="B427" i="23" s="1"/>
  <c r="B428" i="23" s="1"/>
  <c r="B429" i="23" s="1"/>
  <c r="B430" i="23" s="1"/>
  <c r="B431" i="23" s="1"/>
  <c r="B432" i="23" s="1"/>
  <c r="B433" i="23" s="1"/>
  <c r="B434" i="23" s="1"/>
  <c r="B435" i="23" s="1"/>
  <c r="B436" i="23" s="1"/>
  <c r="B437" i="23" s="1"/>
  <c r="B438" i="23" s="1"/>
  <c r="B439" i="23" s="1"/>
  <c r="B440" i="23" s="1"/>
  <c r="B441" i="23" s="1"/>
  <c r="B442" i="23" s="1"/>
  <c r="B443" i="23" s="1"/>
  <c r="B444" i="23" s="1"/>
  <c r="B445" i="23" s="1"/>
  <c r="B446" i="23" s="1"/>
  <c r="B447" i="23" s="1"/>
  <c r="B448" i="23" s="1"/>
  <c r="B449" i="23" s="1"/>
  <c r="B450" i="23" s="1"/>
  <c r="B451" i="23" s="1"/>
  <c r="B452" i="23" s="1"/>
  <c r="B453" i="23" s="1"/>
  <c r="B454" i="23" s="1"/>
  <c r="B455" i="23" s="1"/>
  <c r="B456" i="23" s="1"/>
  <c r="B457" i="23" s="1"/>
  <c r="B458" i="23" s="1"/>
  <c r="B459" i="23" s="1"/>
  <c r="B460" i="23" s="1"/>
  <c r="B461" i="23" s="1"/>
  <c r="B462" i="23" s="1"/>
  <c r="B463" i="23" s="1"/>
  <c r="B464" i="23" s="1"/>
  <c r="B465" i="23" s="1"/>
  <c r="B466" i="23" s="1"/>
  <c r="B467" i="23" s="1"/>
  <c r="B468" i="23" s="1"/>
  <c r="B469" i="23" s="1"/>
  <c r="B470" i="23" s="1"/>
  <c r="B471" i="23" s="1"/>
  <c r="B472" i="23" s="1"/>
  <c r="B473" i="23" s="1"/>
  <c r="B474" i="23" s="1"/>
  <c r="B475" i="23" s="1"/>
  <c r="B476" i="23" s="1"/>
  <c r="B477" i="23" s="1"/>
  <c r="B478" i="23" s="1"/>
  <c r="B479" i="23" s="1"/>
  <c r="B480" i="23" s="1"/>
  <c r="B481" i="23" s="1"/>
  <c r="B482" i="23" s="1"/>
  <c r="B483" i="23" s="1"/>
  <c r="B484" i="23" s="1"/>
  <c r="B485" i="23" s="1"/>
  <c r="B486" i="23" s="1"/>
  <c r="B487" i="23" s="1"/>
  <c r="B488" i="23" s="1"/>
  <c r="B489" i="23" s="1"/>
  <c r="B490" i="23" s="1"/>
  <c r="B491" i="23" s="1"/>
  <c r="B492" i="23" s="1"/>
  <c r="B493" i="23" s="1"/>
  <c r="B494" i="23" s="1"/>
  <c r="B495" i="23" s="1"/>
  <c r="B496" i="23" s="1"/>
  <c r="B497" i="23" s="1"/>
  <c r="B498" i="23" s="1"/>
  <c r="B499" i="23" s="1"/>
  <c r="B500" i="23" s="1"/>
  <c r="B501" i="23" s="1"/>
  <c r="B502" i="23" s="1"/>
  <c r="B503" i="23" s="1"/>
  <c r="B504" i="23" s="1"/>
  <c r="B505" i="23" s="1"/>
  <c r="B506" i="23" s="1"/>
  <c r="B507" i="23" s="1"/>
  <c r="B508" i="23" s="1"/>
  <c r="B509" i="23" s="1"/>
  <c r="B510" i="23" s="1"/>
  <c r="B511" i="23" s="1"/>
  <c r="B512" i="23" s="1"/>
  <c r="B513" i="23" s="1"/>
  <c r="B514" i="23" s="1"/>
  <c r="B515" i="23" s="1"/>
  <c r="B516" i="23" s="1"/>
  <c r="B517" i="23" s="1"/>
  <c r="B518" i="23" s="1"/>
  <c r="B519" i="23" s="1"/>
  <c r="B520" i="23" s="1"/>
  <c r="B521" i="23" s="1"/>
  <c r="B522" i="23" s="1"/>
  <c r="B523" i="23" s="1"/>
  <c r="B524" i="23" s="1"/>
  <c r="B525" i="23" s="1"/>
  <c r="B526" i="23" s="1"/>
  <c r="B527" i="23" s="1"/>
  <c r="B528" i="23" s="1"/>
  <c r="B529" i="23" s="1"/>
  <c r="B530" i="23" s="1"/>
  <c r="B531" i="23" s="1"/>
  <c r="B532" i="23" s="1"/>
  <c r="B533" i="23" s="1"/>
  <c r="B534" i="23" s="1"/>
  <c r="B535" i="23" s="1"/>
  <c r="B536" i="23" s="1"/>
  <c r="B537" i="23" s="1"/>
  <c r="B538" i="23" s="1"/>
  <c r="B539" i="23" s="1"/>
  <c r="B540" i="23" s="1"/>
  <c r="B541" i="23" s="1"/>
  <c r="B542" i="23" s="1"/>
  <c r="B543" i="23" s="1"/>
  <c r="B544" i="23" s="1"/>
  <c r="B545" i="23" s="1"/>
  <c r="B546" i="23" s="1"/>
  <c r="B547" i="23" s="1"/>
  <c r="B548" i="23" s="1"/>
  <c r="B549" i="23" s="1"/>
  <c r="B550" i="23" s="1"/>
  <c r="B551" i="23" s="1"/>
  <c r="B552" i="23" s="1"/>
  <c r="B553" i="23" s="1"/>
  <c r="B554" i="23" s="1"/>
  <c r="B555" i="23" s="1"/>
  <c r="B556" i="23" s="1"/>
  <c r="B557" i="23" s="1"/>
  <c r="E144" i="23"/>
  <c r="E145" i="23" s="1"/>
  <c r="E146" i="23" s="1"/>
  <c r="E147" i="23" s="1"/>
  <c r="E148" i="23" s="1"/>
  <c r="E149" i="23" s="1"/>
  <c r="E150" i="23" s="1"/>
  <c r="E151" i="23" s="1"/>
  <c r="E152" i="23" s="1"/>
  <c r="E139" i="23"/>
  <c r="E140" i="23" s="1"/>
  <c r="E141" i="23" s="1"/>
  <c r="E142" i="23" s="1"/>
  <c r="E134" i="23"/>
  <c r="E135" i="23" s="1"/>
  <c r="E136" i="23" s="1"/>
  <c r="E137" i="23" s="1"/>
  <c r="E128" i="23"/>
  <c r="E129" i="23" s="1"/>
  <c r="E130" i="23" s="1"/>
  <c r="E131" i="23" s="1"/>
  <c r="E132" i="23" s="1"/>
  <c r="D127" i="23"/>
  <c r="D128" i="23" s="1"/>
  <c r="D129" i="23" s="1"/>
  <c r="D130" i="23" s="1"/>
  <c r="D131" i="23" s="1"/>
  <c r="D132" i="23" s="1"/>
  <c r="D133" i="23" s="1"/>
  <c r="D134" i="23" s="1"/>
  <c r="D135" i="23" s="1"/>
  <c r="D136" i="23" s="1"/>
  <c r="D137" i="23" s="1"/>
  <c r="D138" i="23" s="1"/>
  <c r="D139" i="23" s="1"/>
  <c r="D140" i="23" s="1"/>
  <c r="D141" i="23" s="1"/>
  <c r="D142" i="23" s="1"/>
  <c r="D143" i="23" s="1"/>
  <c r="D144" i="23" s="1"/>
  <c r="D145" i="23" s="1"/>
  <c r="D146" i="23" s="1"/>
  <c r="D147" i="23" s="1"/>
  <c r="D148" i="23" s="1"/>
  <c r="D149" i="23" s="1"/>
  <c r="D150" i="23" s="1"/>
  <c r="D151" i="23" s="1"/>
  <c r="D152" i="23" s="1"/>
  <c r="E119" i="23"/>
  <c r="E120" i="23" s="1"/>
  <c r="E121" i="23" s="1"/>
  <c r="E122" i="23" s="1"/>
  <c r="E123" i="23" s="1"/>
  <c r="E124" i="23" s="1"/>
  <c r="E125" i="23" s="1"/>
  <c r="D118" i="23"/>
  <c r="D119" i="23" s="1"/>
  <c r="D120" i="23" s="1"/>
  <c r="D121" i="23" s="1"/>
  <c r="D122" i="23" s="1"/>
  <c r="D123" i="23" s="1"/>
  <c r="D124" i="23" s="1"/>
  <c r="D125" i="23" s="1"/>
  <c r="E114" i="23"/>
  <c r="E115" i="23" s="1"/>
  <c r="E116" i="23" s="1"/>
  <c r="E111" i="23"/>
  <c r="E112" i="23" s="1"/>
  <c r="E108" i="23"/>
  <c r="E109" i="23" s="1"/>
  <c r="E100" i="23"/>
  <c r="E101" i="23" s="1"/>
  <c r="E102" i="23" s="1"/>
  <c r="E103" i="23" s="1"/>
  <c r="E104" i="23" s="1"/>
  <c r="E105" i="23" s="1"/>
  <c r="E106" i="23" s="1"/>
  <c r="D99" i="23"/>
  <c r="D100" i="23" s="1"/>
  <c r="D101" i="23" s="1"/>
  <c r="D102" i="23" s="1"/>
  <c r="D103" i="23" s="1"/>
  <c r="D104" i="23" s="1"/>
  <c r="D105" i="23" s="1"/>
  <c r="D106" i="23" s="1"/>
  <c r="D107" i="23" s="1"/>
  <c r="D108" i="23" s="1"/>
  <c r="D109" i="23" s="1"/>
  <c r="D110" i="23" s="1"/>
  <c r="D111" i="23" s="1"/>
  <c r="D112" i="23" s="1"/>
  <c r="D113" i="23" s="1"/>
  <c r="D114" i="23" s="1"/>
  <c r="D115" i="23" s="1"/>
  <c r="D116" i="23" s="1"/>
  <c r="E80" i="23"/>
  <c r="E81" i="23" s="1"/>
  <c r="E82" i="23" s="1"/>
  <c r="E83" i="23" s="1"/>
  <c r="E84" i="23" s="1"/>
  <c r="E85" i="23" s="1"/>
  <c r="E86" i="23" s="1"/>
  <c r="E87" i="23" s="1"/>
  <c r="E88" i="23" s="1"/>
  <c r="E89" i="23" s="1"/>
  <c r="E90" i="23" s="1"/>
  <c r="E91" i="23" s="1"/>
  <c r="E92" i="23" s="1"/>
  <c r="E93" i="23" s="1"/>
  <c r="E94" i="23" s="1"/>
  <c r="E95" i="23" s="1"/>
  <c r="E96" i="23" s="1"/>
  <c r="E97" i="23" s="1"/>
  <c r="D79" i="23"/>
  <c r="D80" i="23" s="1"/>
  <c r="D81" i="23" s="1"/>
  <c r="D82" i="23" s="1"/>
  <c r="D83" i="23" s="1"/>
  <c r="D84" i="23" s="1"/>
  <c r="D85" i="23" s="1"/>
  <c r="D86" i="23" s="1"/>
  <c r="D87" i="23" s="1"/>
  <c r="D88" i="23" s="1"/>
  <c r="D89" i="23" s="1"/>
  <c r="D90" i="23" s="1"/>
  <c r="D91" i="23" s="1"/>
  <c r="D92" i="23" s="1"/>
  <c r="D93" i="23" s="1"/>
  <c r="D94" i="23" s="1"/>
  <c r="D95" i="23" s="1"/>
  <c r="D96" i="23" s="1"/>
  <c r="D97" i="23" s="1"/>
  <c r="E72" i="23"/>
  <c r="E73" i="23" s="1"/>
  <c r="E74" i="23" s="1"/>
  <c r="E75" i="23" s="1"/>
  <c r="E76" i="23" s="1"/>
  <c r="E77" i="23" s="1"/>
  <c r="E64" i="23"/>
  <c r="E65" i="23" s="1"/>
  <c r="E66" i="23" s="1"/>
  <c r="E67" i="23" s="1"/>
  <c r="E68" i="23" s="1"/>
  <c r="E69" i="23" s="1"/>
  <c r="E70" i="23" s="1"/>
  <c r="E55" i="23"/>
  <c r="E56" i="23" s="1"/>
  <c r="E57" i="23" s="1"/>
  <c r="E58" i="23" s="1"/>
  <c r="E59" i="23" s="1"/>
  <c r="E60" i="23" s="1"/>
  <c r="E61" i="23" s="1"/>
  <c r="E62" i="23" s="1"/>
  <c r="E44" i="23"/>
  <c r="E45" i="23" s="1"/>
  <c r="E46" i="23" s="1"/>
  <c r="E47" i="23" s="1"/>
  <c r="E48" i="23" s="1"/>
  <c r="E49" i="23" s="1"/>
  <c r="E50" i="23" s="1"/>
  <c r="E51" i="23" s="1"/>
  <c r="E52" i="23" s="1"/>
  <c r="E53" i="23" s="1"/>
  <c r="E38" i="23"/>
  <c r="E39" i="23" s="1"/>
  <c r="E40" i="23" s="1"/>
  <c r="E41" i="23" s="1"/>
  <c r="E42" i="23" s="1"/>
  <c r="E28" i="23"/>
  <c r="E29" i="23" s="1"/>
  <c r="E30" i="23" s="1"/>
  <c r="E31" i="23" s="1"/>
  <c r="E32" i="23" s="1"/>
  <c r="E33" i="23" s="1"/>
  <c r="E34" i="23" s="1"/>
  <c r="E35" i="23" s="1"/>
  <c r="E36" i="23" s="1"/>
  <c r="D27" i="23"/>
  <c r="D28" i="23" s="1"/>
  <c r="D29" i="23" s="1"/>
  <c r="D30" i="23" s="1"/>
  <c r="D31" i="23" s="1"/>
  <c r="D32" i="23" s="1"/>
  <c r="D33" i="23" s="1"/>
  <c r="D34" i="23" s="1"/>
  <c r="D35" i="23" s="1"/>
  <c r="D36" i="23" s="1"/>
  <c r="D37" i="23" s="1"/>
  <c r="D38" i="23" s="1"/>
  <c r="D39" i="23" s="1"/>
  <c r="D40" i="23" s="1"/>
  <c r="D41" i="23" s="1"/>
  <c r="D42" i="23" s="1"/>
  <c r="D43" i="23" s="1"/>
  <c r="D44" i="23" s="1"/>
  <c r="D45" i="23" s="1"/>
  <c r="D46" i="23" s="1"/>
  <c r="D47" i="23" s="1"/>
  <c r="D48" i="23" s="1"/>
  <c r="D49" i="23" s="1"/>
  <c r="D50" i="23" s="1"/>
  <c r="D51" i="23" s="1"/>
  <c r="D52" i="23" s="1"/>
  <c r="D53" i="23" s="1"/>
  <c r="D54" i="23" s="1"/>
  <c r="D55" i="23" s="1"/>
  <c r="D56" i="23" s="1"/>
  <c r="D57" i="23" s="1"/>
  <c r="D58" i="23" s="1"/>
  <c r="D59" i="23" s="1"/>
  <c r="D60" i="23" s="1"/>
  <c r="D61" i="23" s="1"/>
  <c r="D62" i="23" s="1"/>
  <c r="D63" i="23" s="1"/>
  <c r="D64" i="23" s="1"/>
  <c r="D65" i="23" s="1"/>
  <c r="D66" i="23" s="1"/>
  <c r="D67" i="23" s="1"/>
  <c r="D68" i="23" s="1"/>
  <c r="D69" i="23" s="1"/>
  <c r="D70" i="23" s="1"/>
  <c r="D71" i="23" s="1"/>
  <c r="D72" i="23" s="1"/>
  <c r="D73" i="23" s="1"/>
  <c r="D74" i="23" s="1"/>
  <c r="D75" i="23" s="1"/>
  <c r="D76" i="23" s="1"/>
  <c r="D77" i="23" s="1"/>
  <c r="C26" i="23"/>
  <c r="C27" i="23" s="1"/>
  <c r="C28" i="23" s="1"/>
  <c r="C29" i="23" s="1"/>
  <c r="C30" i="23" s="1"/>
  <c r="C31" i="23" s="1"/>
  <c r="C32" i="23" s="1"/>
  <c r="C33" i="23" s="1"/>
  <c r="C34" i="23" s="1"/>
  <c r="C35" i="23" s="1"/>
  <c r="C36" i="23" s="1"/>
  <c r="C37" i="23" s="1"/>
  <c r="C38" i="23" s="1"/>
  <c r="C39" i="23" s="1"/>
  <c r="C40" i="23" s="1"/>
  <c r="C41" i="23" s="1"/>
  <c r="C42" i="23" s="1"/>
  <c r="C43" i="23" s="1"/>
  <c r="C44" i="23" s="1"/>
  <c r="C45" i="23" s="1"/>
  <c r="C46" i="23" s="1"/>
  <c r="C47" i="23" s="1"/>
  <c r="C48" i="23" s="1"/>
  <c r="C49" i="23" s="1"/>
  <c r="C50" i="23" s="1"/>
  <c r="C51" i="23" s="1"/>
  <c r="C52" i="23" s="1"/>
  <c r="C53" i="23" s="1"/>
  <c r="C54" i="23" s="1"/>
  <c r="C55" i="23" s="1"/>
  <c r="C56" i="23" s="1"/>
  <c r="C57" i="23" s="1"/>
  <c r="C58" i="23" s="1"/>
  <c r="C59" i="23" s="1"/>
  <c r="C60" i="23" s="1"/>
  <c r="C61" i="23" s="1"/>
  <c r="C62" i="23" s="1"/>
  <c r="C63" i="23" s="1"/>
  <c r="C64" i="23" s="1"/>
  <c r="C65" i="23" s="1"/>
  <c r="C66" i="23" s="1"/>
  <c r="C67" i="23" s="1"/>
  <c r="C68" i="23" s="1"/>
  <c r="C69" i="23" s="1"/>
  <c r="C70" i="23" s="1"/>
  <c r="C71" i="23" s="1"/>
  <c r="C72" i="23" s="1"/>
  <c r="C73" i="23" s="1"/>
  <c r="C74" i="23" s="1"/>
  <c r="C75" i="23" s="1"/>
  <c r="C76" i="23" s="1"/>
  <c r="C77" i="23" s="1"/>
  <c r="C78" i="23" s="1"/>
  <c r="C79" i="23" s="1"/>
  <c r="C80" i="23" s="1"/>
  <c r="C81" i="23" s="1"/>
  <c r="C82" i="23" s="1"/>
  <c r="C83" i="23" s="1"/>
  <c r="C84" i="23" s="1"/>
  <c r="C85" i="23" s="1"/>
  <c r="C86" i="23" s="1"/>
  <c r="C87" i="23" s="1"/>
  <c r="C88" i="23" s="1"/>
  <c r="C89" i="23" s="1"/>
  <c r="C90" i="23" s="1"/>
  <c r="C91" i="23" s="1"/>
  <c r="C92" i="23" s="1"/>
  <c r="C93" i="23" s="1"/>
  <c r="C94" i="23" s="1"/>
  <c r="C95" i="23" s="1"/>
  <c r="C96" i="23" s="1"/>
  <c r="C97" i="23" s="1"/>
  <c r="C98" i="23" s="1"/>
  <c r="C99" i="23" s="1"/>
  <c r="C100" i="23" s="1"/>
  <c r="C101" i="23" s="1"/>
  <c r="C102" i="23" s="1"/>
  <c r="C103" i="23" s="1"/>
  <c r="C104" i="23" s="1"/>
  <c r="C105" i="23" s="1"/>
  <c r="C106" i="23" s="1"/>
  <c r="C107" i="23" s="1"/>
  <c r="C108" i="23" s="1"/>
  <c r="C109" i="23" s="1"/>
  <c r="C110" i="23" s="1"/>
  <c r="C111" i="23" s="1"/>
  <c r="C112" i="23" s="1"/>
  <c r="C113" i="23" s="1"/>
  <c r="C114" i="23" s="1"/>
  <c r="C115" i="23" s="1"/>
  <c r="C116" i="23" s="1"/>
  <c r="C117" i="23" s="1"/>
  <c r="C118" i="23" s="1"/>
  <c r="C119" i="23" s="1"/>
  <c r="C120" i="23" s="1"/>
  <c r="C121" i="23" s="1"/>
  <c r="C122" i="23" s="1"/>
  <c r="C123" i="23" s="1"/>
  <c r="C124" i="23" s="1"/>
  <c r="C125" i="23" s="1"/>
  <c r="C126" i="23" s="1"/>
  <c r="C127" i="23" s="1"/>
  <c r="C128" i="23" s="1"/>
  <c r="C129" i="23" s="1"/>
  <c r="C130" i="23" s="1"/>
  <c r="C131" i="23" s="1"/>
  <c r="C132" i="23" s="1"/>
  <c r="C133" i="23" s="1"/>
  <c r="C134" i="23" s="1"/>
  <c r="C135" i="23" s="1"/>
  <c r="C136" i="23" s="1"/>
  <c r="C137" i="23" s="1"/>
  <c r="C138" i="23" s="1"/>
  <c r="C139" i="23" s="1"/>
  <c r="C140" i="23" s="1"/>
  <c r="C141" i="23" s="1"/>
  <c r="C142" i="23" s="1"/>
  <c r="C143" i="23" s="1"/>
  <c r="C144" i="23" s="1"/>
  <c r="C145" i="23" s="1"/>
  <c r="C146" i="23" s="1"/>
  <c r="C147" i="23" s="1"/>
  <c r="C148" i="23" s="1"/>
  <c r="C149" i="23" s="1"/>
  <c r="C150" i="23" s="1"/>
  <c r="C151" i="23" s="1"/>
  <c r="C152" i="23" s="1"/>
  <c r="D11" i="23"/>
  <c r="D12" i="23" s="1"/>
  <c r="D13" i="23" s="1"/>
  <c r="D14" i="23" s="1"/>
  <c r="D15" i="23" s="1"/>
  <c r="D16" i="23" s="1"/>
  <c r="D17" i="23" s="1"/>
  <c r="D18" i="23" s="1"/>
  <c r="D19" i="23" s="1"/>
  <c r="D20" i="23" s="1"/>
  <c r="D21" i="23" s="1"/>
  <c r="D22" i="23" s="1"/>
  <c r="D23" i="23" s="1"/>
  <c r="D24" i="23" s="1"/>
  <c r="C10" i="23"/>
  <c r="C11" i="23" s="1"/>
  <c r="C12" i="23" s="1"/>
  <c r="C13" i="23" s="1"/>
  <c r="C14" i="23" s="1"/>
  <c r="C15" i="23" s="1"/>
  <c r="C16" i="23" s="1"/>
  <c r="C17" i="23" s="1"/>
  <c r="C18" i="23" s="1"/>
  <c r="C19" i="23" s="1"/>
  <c r="C20" i="23" s="1"/>
  <c r="C21" i="23" s="1"/>
  <c r="C22" i="23" s="1"/>
  <c r="C23" i="23" s="1"/>
  <c r="C24" i="23" s="1"/>
  <c r="B9" i="23"/>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47" i="23" s="1"/>
  <c r="B48" i="23" s="1"/>
  <c r="B49" i="23" s="1"/>
  <c r="B50" i="23" s="1"/>
  <c r="B51" i="23" s="1"/>
  <c r="B52" i="23" s="1"/>
  <c r="B53" i="23" s="1"/>
  <c r="B54" i="23" s="1"/>
  <c r="B55" i="23" s="1"/>
  <c r="B56" i="23" s="1"/>
  <c r="B57" i="23" s="1"/>
  <c r="B58" i="23" s="1"/>
  <c r="B59" i="23" s="1"/>
  <c r="B60" i="23" s="1"/>
  <c r="B61" i="23" s="1"/>
  <c r="B62" i="23" s="1"/>
  <c r="B63" i="23" s="1"/>
  <c r="B64" i="23" s="1"/>
  <c r="B65" i="23" s="1"/>
  <c r="B66" i="23" s="1"/>
  <c r="B67" i="23" s="1"/>
  <c r="B68" i="23" s="1"/>
  <c r="B69" i="23" s="1"/>
  <c r="B70" i="23" s="1"/>
  <c r="B71" i="23" s="1"/>
  <c r="B72" i="23" s="1"/>
  <c r="B73" i="23" s="1"/>
  <c r="B74" i="23" s="1"/>
  <c r="B75" i="23" s="1"/>
  <c r="B76" i="23" s="1"/>
  <c r="B77" i="23" s="1"/>
  <c r="B78" i="23" s="1"/>
  <c r="B79" i="23" s="1"/>
  <c r="B80" i="23" s="1"/>
  <c r="B81" i="23" s="1"/>
  <c r="B82" i="23" s="1"/>
  <c r="B83" i="23" s="1"/>
  <c r="B84" i="23" s="1"/>
  <c r="B85" i="23" s="1"/>
  <c r="B86" i="23" s="1"/>
  <c r="B87" i="23" s="1"/>
  <c r="B88" i="23" s="1"/>
  <c r="B89" i="23" s="1"/>
  <c r="B90" i="23" s="1"/>
  <c r="B91" i="23" s="1"/>
  <c r="B92" i="23" s="1"/>
  <c r="B93" i="23" s="1"/>
  <c r="B94" i="23" s="1"/>
  <c r="B95" i="23" s="1"/>
  <c r="B96" i="23" s="1"/>
  <c r="B97" i="23" s="1"/>
  <c r="B98" i="23" s="1"/>
  <c r="B99" i="23" s="1"/>
  <c r="B100" i="23" s="1"/>
  <c r="B101" i="23" s="1"/>
  <c r="B102" i="23" s="1"/>
  <c r="B103" i="23" s="1"/>
  <c r="B104" i="23" s="1"/>
  <c r="B105" i="23" s="1"/>
  <c r="B106" i="23" s="1"/>
  <c r="B107" i="23" s="1"/>
  <c r="B108" i="23" s="1"/>
  <c r="B109" i="23" s="1"/>
  <c r="B110" i="23" s="1"/>
  <c r="B111" i="23" s="1"/>
  <c r="B112" i="23" s="1"/>
  <c r="B113" i="23" s="1"/>
  <c r="B114" i="23" s="1"/>
  <c r="B115" i="23" s="1"/>
  <c r="B116" i="23" s="1"/>
  <c r="B117" i="23" s="1"/>
  <c r="B118" i="23" s="1"/>
  <c r="B119" i="23" s="1"/>
  <c r="B120" i="23" s="1"/>
  <c r="B121" i="23" s="1"/>
  <c r="B122" i="23" s="1"/>
  <c r="B123" i="23" s="1"/>
  <c r="B124" i="23" s="1"/>
  <c r="B125" i="23" s="1"/>
  <c r="B126" i="23" s="1"/>
  <c r="B127" i="23" s="1"/>
  <c r="B128" i="23" s="1"/>
  <c r="B129" i="23" s="1"/>
  <c r="B130" i="23" s="1"/>
  <c r="B131" i="23" s="1"/>
  <c r="B132" i="23" s="1"/>
  <c r="B133" i="23" s="1"/>
  <c r="B134" i="23" s="1"/>
  <c r="B135" i="23" s="1"/>
  <c r="B136" i="23" s="1"/>
  <c r="B137" i="23" s="1"/>
  <c r="B138" i="23" s="1"/>
  <c r="B139" i="23" s="1"/>
  <c r="B140" i="23" s="1"/>
  <c r="B141" i="23" s="1"/>
  <c r="B142" i="23" s="1"/>
  <c r="B143" i="23" s="1"/>
  <c r="B144" i="23" s="1"/>
  <c r="B145" i="23" s="1"/>
  <c r="B146" i="23" s="1"/>
  <c r="B147" i="23" s="1"/>
  <c r="B148" i="23" s="1"/>
  <c r="B149" i="23" s="1"/>
  <c r="B150" i="23" s="1"/>
  <c r="B151" i="23" s="1"/>
  <c r="B152" i="23" s="1"/>
  <c r="U4" i="23"/>
  <c r="O4" i="23"/>
  <c r="J4" i="23"/>
  <c r="B4" i="23"/>
  <c r="U3" i="23"/>
  <c r="O3" i="23"/>
  <c r="J3" i="23"/>
  <c r="B3" i="23"/>
  <c r="U2" i="23"/>
  <c r="O2" i="23"/>
  <c r="J2" i="23"/>
  <c r="B2" i="23"/>
  <c r="U1" i="23"/>
  <c r="O1" i="23"/>
  <c r="J1" i="23"/>
  <c r="B1" i="23"/>
  <c r="A1" i="10"/>
  <c r="B1" i="10"/>
  <c r="A5" i="10"/>
  <c r="B5" i="10"/>
  <c r="E5" i="10"/>
  <c r="G5" i="10"/>
  <c r="H5" i="10"/>
  <c r="I5" i="10"/>
  <c r="J5" i="10"/>
  <c r="K5" i="10"/>
  <c r="L5" i="10"/>
  <c r="A6" i="10"/>
  <c r="B6" i="10"/>
  <c r="E6" i="10"/>
  <c r="G6" i="10"/>
  <c r="H6" i="10"/>
  <c r="I6" i="10"/>
  <c r="J6" i="10"/>
  <c r="K6" i="10"/>
  <c r="L6" i="10"/>
  <c r="A7" i="10"/>
  <c r="B7" i="10"/>
  <c r="E7" i="10"/>
  <c r="G7" i="10"/>
  <c r="H7" i="10"/>
  <c r="I7" i="10"/>
  <c r="J7" i="10"/>
  <c r="K7" i="10"/>
  <c r="L7" i="10"/>
  <c r="A8" i="10"/>
  <c r="B8" i="10"/>
  <c r="E8" i="10"/>
  <c r="G8" i="10"/>
  <c r="H8" i="10"/>
  <c r="I8" i="10"/>
  <c r="J8" i="10"/>
  <c r="K8" i="10"/>
  <c r="L8" i="10"/>
  <c r="A9" i="10"/>
  <c r="B9" i="10"/>
  <c r="E9" i="10"/>
  <c r="G9" i="10"/>
  <c r="H9" i="10"/>
  <c r="I9" i="10"/>
  <c r="J9" i="10"/>
  <c r="K9" i="10"/>
  <c r="L9" i="10"/>
  <c r="A10" i="10"/>
  <c r="B10" i="10"/>
  <c r="E10" i="10"/>
  <c r="G10" i="10"/>
  <c r="H10" i="10"/>
  <c r="I10" i="10"/>
  <c r="J10" i="10"/>
  <c r="K10" i="10"/>
  <c r="L10" i="10"/>
  <c r="A11" i="10"/>
  <c r="B11" i="10"/>
  <c r="E11" i="10"/>
  <c r="G11" i="10"/>
  <c r="H11" i="10"/>
  <c r="I11" i="10"/>
  <c r="J11" i="10"/>
  <c r="K11" i="10"/>
  <c r="L11" i="10"/>
  <c r="A12" i="10"/>
  <c r="B12" i="10"/>
  <c r="E12" i="10"/>
  <c r="G12" i="10"/>
  <c r="H12" i="10"/>
  <c r="I12" i="10"/>
  <c r="J12" i="10"/>
  <c r="K12" i="10"/>
  <c r="L12" i="10"/>
  <c r="A13" i="10"/>
  <c r="B13" i="10"/>
  <c r="E13" i="10"/>
  <c r="G13" i="10"/>
  <c r="H13" i="10"/>
  <c r="I13" i="10"/>
  <c r="J13" i="10"/>
  <c r="K13" i="10"/>
  <c r="L13" i="10"/>
  <c r="A14" i="10"/>
  <c r="B14" i="10"/>
  <c r="E14" i="10"/>
  <c r="G14" i="10"/>
  <c r="H14" i="10"/>
  <c r="I14" i="10"/>
  <c r="J14" i="10"/>
  <c r="K14" i="10"/>
  <c r="L14" i="10"/>
  <c r="A15" i="10"/>
  <c r="B15" i="10"/>
  <c r="E15" i="10"/>
  <c r="G15" i="10"/>
  <c r="H15" i="10"/>
  <c r="I15" i="10"/>
  <c r="J15" i="10"/>
  <c r="K15" i="10"/>
  <c r="L15" i="10"/>
  <c r="A16" i="10"/>
  <c r="B16" i="10"/>
  <c r="E16" i="10"/>
  <c r="G16" i="10"/>
  <c r="H16" i="10"/>
  <c r="I16" i="10"/>
  <c r="J16" i="10"/>
  <c r="K16" i="10"/>
  <c r="L16" i="10"/>
  <c r="A17" i="10"/>
  <c r="B17" i="10"/>
  <c r="E17" i="10"/>
  <c r="G17" i="10"/>
  <c r="H17" i="10"/>
  <c r="I17" i="10"/>
  <c r="J17" i="10"/>
  <c r="K17" i="10"/>
  <c r="L17" i="10"/>
  <c r="A18" i="10"/>
  <c r="B18" i="10"/>
  <c r="E18" i="10"/>
  <c r="G18" i="10"/>
  <c r="H18" i="10"/>
  <c r="I18" i="10"/>
  <c r="J18" i="10"/>
  <c r="K18" i="10"/>
  <c r="L18" i="10"/>
  <c r="A19" i="10"/>
  <c r="B19" i="10"/>
  <c r="E19" i="10"/>
  <c r="G19" i="10"/>
  <c r="H19" i="10"/>
  <c r="I19" i="10"/>
  <c r="J19" i="10"/>
  <c r="K19" i="10"/>
  <c r="L19" i="10"/>
  <c r="A20" i="10"/>
  <c r="B20" i="10"/>
  <c r="E20" i="10"/>
  <c r="G20" i="10"/>
  <c r="H20" i="10"/>
  <c r="I20" i="10"/>
  <c r="J20" i="10"/>
  <c r="K20" i="10"/>
  <c r="L20" i="10"/>
  <c r="A21" i="10"/>
  <c r="B21" i="10"/>
  <c r="E21" i="10"/>
  <c r="G21" i="10"/>
  <c r="H21" i="10"/>
  <c r="I21" i="10"/>
  <c r="J21" i="10"/>
  <c r="K21" i="10"/>
  <c r="L21" i="10"/>
  <c r="A22" i="10"/>
  <c r="B22" i="10"/>
  <c r="E22" i="10"/>
  <c r="G22" i="10"/>
  <c r="H22" i="10"/>
  <c r="I22" i="10"/>
  <c r="J22" i="10"/>
  <c r="K22" i="10"/>
  <c r="L22" i="10"/>
  <c r="A23" i="10"/>
  <c r="B23" i="10"/>
  <c r="E23" i="10"/>
  <c r="G23" i="10"/>
  <c r="H23" i="10"/>
  <c r="I23" i="10"/>
  <c r="J23" i="10"/>
  <c r="K23" i="10"/>
  <c r="L23" i="10"/>
  <c r="A24" i="10"/>
  <c r="B24" i="10"/>
  <c r="E24" i="10"/>
  <c r="G24" i="10"/>
  <c r="H24" i="10"/>
  <c r="I24" i="10"/>
  <c r="J24" i="10"/>
  <c r="K24" i="10"/>
  <c r="L24" i="10"/>
  <c r="A25" i="10"/>
  <c r="B25" i="10"/>
  <c r="E25" i="10"/>
  <c r="G25" i="10"/>
  <c r="H25" i="10"/>
  <c r="I25" i="10"/>
  <c r="J25" i="10"/>
  <c r="K25" i="10"/>
  <c r="L25" i="10"/>
  <c r="A26" i="10"/>
  <c r="B26" i="10"/>
  <c r="E26" i="10"/>
  <c r="G26" i="10"/>
  <c r="H26" i="10"/>
  <c r="I26" i="10"/>
  <c r="J26" i="10"/>
  <c r="K26" i="10"/>
  <c r="L26" i="10"/>
  <c r="A27" i="10"/>
  <c r="B27" i="10"/>
  <c r="E27" i="10"/>
  <c r="G27" i="10"/>
  <c r="H27" i="10"/>
  <c r="I27" i="10"/>
  <c r="J27" i="10"/>
  <c r="K27" i="10"/>
  <c r="L27" i="10"/>
  <c r="A28" i="10"/>
  <c r="B28" i="10"/>
  <c r="E28" i="10"/>
  <c r="G28" i="10"/>
  <c r="H28" i="10"/>
  <c r="I28" i="10"/>
  <c r="J28" i="10"/>
  <c r="K28" i="10"/>
  <c r="L28" i="10"/>
  <c r="A29" i="10"/>
  <c r="B29" i="10"/>
  <c r="E29" i="10"/>
  <c r="G29" i="10"/>
  <c r="H29" i="10"/>
  <c r="I29" i="10"/>
  <c r="J29" i="10"/>
  <c r="K29" i="10"/>
  <c r="L29" i="10"/>
  <c r="A30" i="10"/>
  <c r="B30" i="10"/>
  <c r="E30" i="10"/>
  <c r="G30" i="10"/>
  <c r="H30" i="10"/>
  <c r="I30" i="10"/>
  <c r="J30" i="10"/>
  <c r="K30" i="10"/>
  <c r="L30" i="10"/>
  <c r="A31" i="10"/>
  <c r="B31" i="10"/>
  <c r="E31" i="10"/>
  <c r="G31" i="10"/>
  <c r="H31" i="10"/>
  <c r="I31" i="10"/>
  <c r="J31" i="10"/>
  <c r="K31" i="10"/>
  <c r="L31" i="10"/>
  <c r="A32" i="10"/>
  <c r="B32" i="10"/>
  <c r="E32" i="10"/>
  <c r="G32" i="10"/>
  <c r="H32" i="10"/>
  <c r="I32" i="10"/>
  <c r="J32" i="10"/>
  <c r="K32" i="10"/>
  <c r="L32" i="10"/>
  <c r="A33" i="10"/>
  <c r="B33" i="10"/>
  <c r="E33" i="10"/>
  <c r="G33" i="10"/>
  <c r="H33" i="10"/>
  <c r="I33" i="10"/>
  <c r="J33" i="10"/>
  <c r="K33" i="10"/>
  <c r="L33" i="10"/>
  <c r="A34" i="10"/>
  <c r="B34" i="10"/>
  <c r="E34" i="10"/>
  <c r="G34" i="10"/>
  <c r="H34" i="10"/>
  <c r="I34" i="10"/>
  <c r="J34" i="10"/>
  <c r="K34" i="10"/>
  <c r="L34" i="10"/>
  <c r="A35" i="10"/>
  <c r="B35" i="10"/>
  <c r="E35" i="10"/>
  <c r="G35" i="10"/>
  <c r="H35" i="10"/>
  <c r="I35" i="10"/>
  <c r="J35" i="10"/>
  <c r="K35" i="10"/>
  <c r="L35" i="10"/>
  <c r="A36" i="10"/>
  <c r="B36" i="10"/>
  <c r="E36" i="10"/>
  <c r="G36" i="10"/>
  <c r="H36" i="10"/>
  <c r="I36" i="10"/>
  <c r="J36" i="10"/>
  <c r="K36" i="10"/>
  <c r="L36" i="10"/>
  <c r="A37" i="10"/>
  <c r="B37" i="10"/>
  <c r="E37" i="10"/>
  <c r="G37" i="10"/>
  <c r="H37" i="10"/>
  <c r="I37" i="10"/>
  <c r="J37" i="10"/>
  <c r="K37" i="10"/>
  <c r="L37" i="10"/>
  <c r="A38" i="10"/>
  <c r="B38" i="10"/>
  <c r="E38" i="10"/>
  <c r="G38" i="10"/>
  <c r="H38" i="10"/>
  <c r="I38" i="10"/>
  <c r="J38" i="10"/>
  <c r="K38" i="10"/>
  <c r="L38" i="10"/>
  <c r="A39" i="10"/>
  <c r="B39" i="10"/>
  <c r="E39" i="10"/>
  <c r="G39" i="10"/>
  <c r="H39" i="10"/>
  <c r="I39" i="10"/>
  <c r="J39" i="10"/>
  <c r="K39" i="10"/>
  <c r="L39" i="10"/>
  <c r="A40" i="10"/>
  <c r="B40" i="10"/>
  <c r="E40" i="10"/>
  <c r="G40" i="10"/>
  <c r="H40" i="10"/>
  <c r="I40" i="10"/>
  <c r="J40" i="10"/>
  <c r="K40" i="10"/>
  <c r="L40" i="10"/>
  <c r="A41" i="10"/>
  <c r="B41" i="10"/>
  <c r="E41" i="10"/>
  <c r="G41" i="10"/>
  <c r="H41" i="10"/>
  <c r="I41" i="10"/>
  <c r="J41" i="10"/>
  <c r="K41" i="10"/>
  <c r="L41" i="10"/>
  <c r="A42" i="10"/>
  <c r="B42" i="10"/>
  <c r="E42" i="10"/>
  <c r="G42" i="10"/>
  <c r="H42" i="10"/>
  <c r="I42" i="10"/>
  <c r="J42" i="10"/>
  <c r="K42" i="10"/>
  <c r="L42" i="10"/>
  <c r="A43" i="10"/>
  <c r="B43" i="10"/>
  <c r="E43" i="10"/>
  <c r="G43" i="10"/>
  <c r="H43" i="10"/>
  <c r="I43" i="10"/>
  <c r="J43" i="10"/>
  <c r="K43" i="10"/>
  <c r="L43" i="10"/>
  <c r="A44" i="10"/>
  <c r="B44" i="10"/>
  <c r="E44" i="10"/>
  <c r="G44" i="10"/>
  <c r="H44" i="10"/>
  <c r="I44" i="10"/>
  <c r="J44" i="10"/>
  <c r="K44" i="10"/>
  <c r="L44" i="10"/>
  <c r="A45" i="10"/>
  <c r="B45" i="10"/>
  <c r="E45" i="10"/>
  <c r="G45" i="10"/>
  <c r="H45" i="10"/>
  <c r="I45" i="10"/>
  <c r="J45" i="10"/>
  <c r="K45" i="10"/>
  <c r="L45" i="10"/>
  <c r="A46" i="10"/>
  <c r="B46" i="10"/>
  <c r="E46" i="10"/>
  <c r="G46" i="10"/>
  <c r="H46" i="10"/>
  <c r="I46" i="10"/>
  <c r="J46" i="10"/>
  <c r="K46" i="10"/>
  <c r="L46" i="10"/>
  <c r="A47" i="10"/>
  <c r="B47" i="10"/>
  <c r="E47" i="10"/>
  <c r="G47" i="10"/>
  <c r="H47" i="10"/>
  <c r="I47" i="10"/>
  <c r="J47" i="10"/>
  <c r="K47" i="10"/>
  <c r="L47" i="10"/>
  <c r="A48" i="10"/>
  <c r="B48" i="10"/>
  <c r="E48" i="10"/>
  <c r="G48" i="10"/>
  <c r="H48" i="10"/>
  <c r="I48" i="10"/>
  <c r="J48" i="10"/>
  <c r="K48" i="10"/>
  <c r="L48" i="10"/>
  <c r="A49" i="10"/>
  <c r="B49" i="10"/>
  <c r="E49" i="10"/>
  <c r="G49" i="10"/>
  <c r="H49" i="10"/>
  <c r="I49" i="10"/>
  <c r="J49" i="10"/>
  <c r="K49" i="10"/>
  <c r="L49" i="10"/>
  <c r="A50" i="10"/>
  <c r="B50" i="10"/>
  <c r="E50" i="10"/>
  <c r="G50" i="10"/>
  <c r="H50" i="10"/>
  <c r="I50" i="10"/>
  <c r="J50" i="10"/>
  <c r="K50" i="10"/>
  <c r="L50" i="10"/>
  <c r="A51" i="10"/>
  <c r="B51" i="10"/>
  <c r="E51" i="10"/>
  <c r="G51" i="10"/>
  <c r="H51" i="10"/>
  <c r="I51" i="10"/>
  <c r="J51" i="10"/>
  <c r="K51" i="10"/>
  <c r="L51" i="10"/>
  <c r="A52" i="10"/>
  <c r="B52" i="10"/>
  <c r="E52" i="10"/>
  <c r="G52" i="10"/>
  <c r="H52" i="10"/>
  <c r="I52" i="10"/>
  <c r="J52" i="10"/>
  <c r="K52" i="10"/>
  <c r="L52" i="10"/>
  <c r="A53" i="10"/>
  <c r="B53" i="10"/>
  <c r="E53" i="10"/>
  <c r="G53" i="10"/>
  <c r="H53" i="10"/>
  <c r="I53" i="10"/>
  <c r="J53" i="10"/>
  <c r="K53" i="10"/>
  <c r="L53" i="10"/>
  <c r="A54" i="10"/>
  <c r="B54" i="10"/>
  <c r="E54" i="10"/>
  <c r="G54" i="10"/>
  <c r="H54" i="10"/>
  <c r="I54" i="10"/>
  <c r="J54" i="10"/>
  <c r="K54" i="10"/>
  <c r="L54" i="10"/>
  <c r="A55" i="10"/>
  <c r="B55" i="10"/>
  <c r="E55" i="10"/>
  <c r="G55" i="10"/>
  <c r="H55" i="10"/>
  <c r="I55" i="10"/>
  <c r="J55" i="10"/>
  <c r="K55" i="10"/>
  <c r="L55" i="10"/>
  <c r="E56" i="10"/>
  <c r="G56" i="10"/>
  <c r="H56" i="10"/>
  <c r="I56" i="10"/>
  <c r="J56" i="10"/>
  <c r="K56" i="10"/>
  <c r="L56" i="10"/>
  <c r="E57" i="10"/>
  <c r="G57" i="10"/>
  <c r="H57" i="10"/>
  <c r="I57" i="10"/>
  <c r="J57" i="10"/>
  <c r="K57" i="10"/>
  <c r="L57" i="10"/>
  <c r="E58" i="10"/>
  <c r="G58" i="10"/>
  <c r="H58" i="10"/>
  <c r="I58" i="10"/>
  <c r="J58" i="10"/>
  <c r="K58" i="10"/>
  <c r="L58" i="10"/>
  <c r="E59" i="10"/>
  <c r="G59" i="10"/>
  <c r="H59" i="10"/>
  <c r="I59" i="10"/>
  <c r="J59" i="10"/>
  <c r="K59" i="10"/>
  <c r="L59" i="10"/>
  <c r="E60" i="10"/>
  <c r="G60" i="10"/>
  <c r="H60" i="10"/>
  <c r="I60" i="10"/>
  <c r="J60" i="10"/>
  <c r="K60" i="10"/>
  <c r="L60" i="10"/>
  <c r="A61" i="10"/>
  <c r="B61" i="10"/>
  <c r="E61" i="10"/>
  <c r="G61" i="10"/>
  <c r="H61" i="10"/>
  <c r="I61" i="10"/>
  <c r="J61" i="10"/>
  <c r="K61" i="10"/>
  <c r="L61" i="10"/>
  <c r="D38" i="4"/>
  <c r="F49" i="10" l="1"/>
  <c r="AA332" i="23"/>
  <c r="Z332" i="23"/>
  <c r="Z320" i="23"/>
  <c r="AA320" i="23"/>
  <c r="Z308" i="23"/>
  <c r="AA308" i="23"/>
  <c r="Q349" i="23"/>
  <c r="U349" i="23"/>
  <c r="Q348" i="23"/>
  <c r="U348" i="23"/>
  <c r="U347" i="23"/>
  <c r="Q347" i="23"/>
  <c r="U346" i="23"/>
  <c r="Q346" i="23"/>
  <c r="Q345" i="23"/>
  <c r="U345" i="23"/>
  <c r="Q344" i="23"/>
  <c r="U344" i="23"/>
  <c r="Q343" i="23"/>
  <c r="U343" i="23"/>
  <c r="F17" i="10"/>
  <c r="F6" i="10"/>
  <c r="F11" i="10"/>
  <c r="F13" i="10"/>
  <c r="F28" i="10"/>
  <c r="F29" i="10"/>
  <c r="F30" i="10"/>
  <c r="F33" i="10"/>
  <c r="F35" i="10"/>
  <c r="F61" i="10"/>
  <c r="F8" i="10"/>
  <c r="F22" i="10"/>
  <c r="F24" i="10"/>
  <c r="F32" i="10"/>
  <c r="F10" i="10"/>
  <c r="F16" i="10"/>
  <c r="F15" i="10"/>
  <c r="F18" i="10"/>
  <c r="F38" i="10"/>
  <c r="F40" i="10"/>
  <c r="F5" i="10"/>
  <c r="F7" i="10"/>
  <c r="F9" i="10"/>
  <c r="F12" i="10"/>
  <c r="F19" i="10"/>
  <c r="F20" i="10"/>
  <c r="F42" i="10"/>
  <c r="F43" i="10"/>
  <c r="F45" i="10"/>
  <c r="F48" i="10"/>
  <c r="F52" i="10"/>
  <c r="F53" i="10"/>
  <c r="F54" i="10"/>
  <c r="F55" i="10"/>
  <c r="F21" i="10"/>
  <c r="F23" i="10"/>
  <c r="F27" i="10"/>
  <c r="F34" i="10"/>
  <c r="F36" i="10"/>
  <c r="F37" i="10"/>
  <c r="F39" i="10"/>
  <c r="F44" i="10"/>
  <c r="F46" i="10"/>
  <c r="F51" i="10"/>
  <c r="F60" i="10"/>
  <c r="F14" i="10"/>
  <c r="F25" i="10"/>
  <c r="F26" i="10"/>
  <c r="F31" i="10"/>
  <c r="F41" i="10"/>
  <c r="F47" i="10"/>
  <c r="F50" i="10"/>
  <c r="F56" i="10"/>
  <c r="F57" i="10"/>
  <c r="F58" i="10"/>
  <c r="F5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tc={D34C375C-373C-4951-ACC6-5052188FA384}</author>
    <author>tc={9D315258-0AE0-4FCB-8271-7CD3B0D230F2}</author>
    <author>tc={25C4FAB2-5A36-493C-A574-1946A6C6F7A7}</author>
  </authors>
  <commentList>
    <comment ref="D41" authorId="0" shapeId="0" xr:uid="{D34C375C-373C-4951-ACC6-5052188FA384}">
      <text>
        <t>[Threaded comment]
Your version of Excel allows you to read this threaded comment; however, any edits to it will get removed if the file is opened in a newer version of Excel. Learn more: https://go.microsoft.com/fwlink/?linkid=870924
Comment:
    السنة المالية للمشترك
مثال : اذا كان العام الحالي 2025 واراد المشترك الاشتراك علي ان يكون عام البداية هو العام 2023 لادخال البيانات المالية القديمة لة مما يفيد ذلك بحفظ أرشيف اقدم لة عن العام الحالي ويساهم في زيادة دقة النسب المالية التي سيتم احتسابها لعملاءة بتاء علي ذلك سيتم تمكين الURL الخاص بة من فتح البيانات الخاصة بالعام 2023 بالإضافة لعام المقارنة 2022 السابقة 
Reply:
    khalil</t>
      </text>
    </comment>
    <comment ref="D45" authorId="1" shapeId="0" xr:uid="{9D315258-0AE0-4FCB-8271-7CD3B0D230F2}">
      <text>
        <t>[Threaded comment]
Your version of Excel allows you to read this threaded comment; however, any edits to it will get removed if the file is opened in a newer version of Excel. Learn more: https://go.microsoft.com/fwlink/?linkid=870924
Comment:
    تاريخ الاشتراك هو التاريخ الذي يتم بة اشتراك المشترك والذي علي اساسة يتم تجديد الاشتراك 
Reply:
    خليل</t>
      </text>
    </comment>
    <comment ref="D49" authorId="2" shapeId="0" xr:uid="{25C4FAB2-5A36-493C-A574-1946A6C6F7A7}">
      <text>
        <t>[Threaded comment]
Your version of Excel allows you to read this threaded comment; however, any edits to it will get removed if the file is opened in a newer version of Excel. Learn more: https://go.microsoft.com/fwlink/?linkid=870924
Comment:
    تاريخ بداية الاشتراك يكون هو تاريخ بداية التجديد</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tc={1A929C92-3148-4B9C-B38A-23AC2F3A7117}</author>
  </authors>
  <commentList>
    <comment ref="C50" authorId="0" shapeId="0" xr:uid="{1A929C92-3148-4B9C-B38A-23AC2F3A7117}">
      <text>
        <t xml:space="preserve">[Threaded comment]
Your version of Excel allows you to read this threaded comment; however, any edits to it will get removed if the file is opened in a newer version of Excel. Learn more: https://go.microsoft.com/fwlink/?linkid=870924
Comment:
    يمثل رقم العقد ما يلي 
1- سنة القوائم المالية مثال 2025
2- سنة موسم القوائم المالية مثال 2026 ودائما سنة موسم القوائم المالية تكون اكبر من تاريخ القوائم المالية 
3- رقم السجل التجاري للمنشاءة محل المراجعة او الرقم الموحد 
4- اسم المنشأة محل المراجعة وغالبا متغير 
5- قطاع المنشأة وغالبا متغير 
هذا يعني ان التحقق سيكون فقط علي 1 و2 و3 ولا داعي لوجود 4 و5وهذا ويتم إضافة رقم مسلسل للعقد لأغراض العمل وعلية سيكون رقم العقد هو 
علي سبيل المثال 
0001 - 2025 - 2026 - الرقم الموحد 
وتفسيرة كما يلي رقم مسلسل 0001 تاريخ القوائم المالية محل التعاقد 2025 و تاريخ موسم العمل بالمكتب 2026 
</t>
      </text>
    </comment>
  </commentList>
</comments>
</file>

<file path=xl/sharedStrings.xml><?xml version="1.0" encoding="utf-8"?>
<sst xmlns="http://schemas.openxmlformats.org/spreadsheetml/2006/main" count="11080" uniqueCount="3824">
  <si>
    <t>اسم التابة</t>
  </si>
  <si>
    <t>البيانات المدخلة</t>
  </si>
  <si>
    <t>نوع البيانات المدخلة</t>
  </si>
  <si>
    <t>البيانات المخرجة</t>
  </si>
  <si>
    <t>الوثائق المرفوعة</t>
  </si>
  <si>
    <t>التحقق والتوثيق</t>
  </si>
  <si>
    <t>ملاحظات</t>
  </si>
  <si>
    <t>تسجيل الدخول</t>
  </si>
  <si>
    <t>دخول المستخدمين الملاك / والمطور / وموظفين الدعم الفني للمطور وموظفين الدعم المهني للمدقق ملاك البرنامج</t>
  </si>
  <si>
    <t>اسم المستخدم</t>
  </si>
  <si>
    <t>يتم السماح بالدخول علي الموقع</t>
  </si>
  <si>
    <t xml:space="preserve">لا يوجد </t>
  </si>
  <si>
    <t>تسجيل دخول بتحقق ثنائي</t>
  </si>
  <si>
    <t>كلمة المرور</t>
  </si>
  <si>
    <t xml:space="preserve">في حال تم نسيان او فقدان كلمة المرور يتم إعادة ارسالها مرة اخري في الايميل الخاص بملاك الشركة </t>
  </si>
  <si>
    <t>نسيت كلمة المرور</t>
  </si>
  <si>
    <t xml:space="preserve">مجرد قبول الدخول يتم الانتقال الي واجهة المشترك </t>
  </si>
  <si>
    <t>إعدادات النظام</t>
  </si>
  <si>
    <t>قائمة بلاد العالم</t>
  </si>
  <si>
    <t>قائمة من مواقع الكترونية</t>
  </si>
  <si>
    <t>كل بلد علي حدة</t>
  </si>
  <si>
    <t>لا يوجد وثائق مرفقة</t>
  </si>
  <si>
    <t>لا يوجد تحقق مطلوب</t>
  </si>
  <si>
    <t xml:space="preserve">قائمة بمدن العالم </t>
  </si>
  <si>
    <t xml:space="preserve">كل مدينة خاصة بالبلد المحددة أعلاه </t>
  </si>
  <si>
    <t>قائمة بمناطق العالم</t>
  </si>
  <si>
    <t xml:space="preserve">المناطق المرتبطة بالمدن أعلاه </t>
  </si>
  <si>
    <t>وهكذا عند تحديد المدينة تتلخص القائمة المنسدلة في مناطق تلك المدينة</t>
  </si>
  <si>
    <t>موقع هيئة المحاسبين القانونيين</t>
  </si>
  <si>
    <t>مواقع الهيئة المرتبطة بالبلد والمدينة أعلاه</t>
  </si>
  <si>
    <t>يتحدد ليتم اختيارة عند ادخال بيانات المشترك</t>
  </si>
  <si>
    <t>موقع وزارة التجارة</t>
  </si>
  <si>
    <t>مواقع وزارة التجارة المرتبطة بالبلد أعلاه</t>
  </si>
  <si>
    <t>موقع مصلحة الضرائب والزكاة</t>
  </si>
  <si>
    <t>مواقع هيئة الزكاة والدخل المرتبطة بالبلد أعلاه</t>
  </si>
  <si>
    <t>إضافة مشترك</t>
  </si>
  <si>
    <t>البلد</t>
  </si>
  <si>
    <t>TEXT</t>
  </si>
  <si>
    <t>شرط</t>
  </si>
  <si>
    <t>العنوان الوطني</t>
  </si>
  <si>
    <t>المدينة</t>
  </si>
  <si>
    <t>المنطقة</t>
  </si>
  <si>
    <t>نوع الترخيص</t>
  </si>
  <si>
    <t>Number</t>
  </si>
  <si>
    <t>شهادة الترخيص</t>
  </si>
  <si>
    <t>يتم التحقق من موقع الهيئة</t>
  </si>
  <si>
    <t>رقم الترخيص</t>
  </si>
  <si>
    <t>تاريخ الترخيص</t>
  </si>
  <si>
    <t>DATE</t>
  </si>
  <si>
    <t>يتوفر الميلادي والهجري</t>
  </si>
  <si>
    <t xml:space="preserve">الكيان القانوني للمنشأة </t>
  </si>
  <si>
    <t>عقد التاسيس ان وجد في حالة الشركات و السجل التجاري</t>
  </si>
  <si>
    <t>يتم التحقق من موقع وزارة التجارة</t>
  </si>
  <si>
    <t>نوع الكيان القانوني</t>
  </si>
  <si>
    <t>جنسية الكيان القانوني</t>
  </si>
  <si>
    <t xml:space="preserve">اسم صاحب صاحب / أصحاب المنشأة </t>
  </si>
  <si>
    <t>رقم السجل التجاري</t>
  </si>
  <si>
    <t>الرقم الضريبي</t>
  </si>
  <si>
    <t>شهادة التسجيل في القيمة المضافة</t>
  </si>
  <si>
    <t>يتم التحقق من موقع الزكاة والدخل</t>
  </si>
  <si>
    <t>الرقم الموحد</t>
  </si>
  <si>
    <t>شهادة الرقم الموحد</t>
  </si>
  <si>
    <t>نشاط السجل التجاري</t>
  </si>
  <si>
    <t>ملخص نشاط السجل االتجاي</t>
  </si>
  <si>
    <t>تاريخ السجل التجاري</t>
  </si>
  <si>
    <t>لا يوجد</t>
  </si>
  <si>
    <t>السنة المالية للمشترك</t>
  </si>
  <si>
    <t>بيانات امنية وإدارية</t>
  </si>
  <si>
    <t>البريد الالكتروني للمشترك</t>
  </si>
  <si>
    <t>E.M</t>
  </si>
  <si>
    <t>يتم التحقق</t>
  </si>
  <si>
    <t xml:space="preserve">لربط الحسابات وارسال التنبيهات او استعادة كلمات المرور وستقبال الرسائل من والي المشترك </t>
  </si>
  <si>
    <t>رقم جوال المشترك الأساسي</t>
  </si>
  <si>
    <t>للتواصل او التحقق الثنائي</t>
  </si>
  <si>
    <t>حالة المشترك</t>
  </si>
  <si>
    <t>تقرير إضافي</t>
  </si>
  <si>
    <t>لايوجد</t>
  </si>
  <si>
    <t>نشط-غير نشط-موقوف مؤقتا - تحت التجربة</t>
  </si>
  <si>
    <t>لتتبع وقت التسجيل (المتبقي من الاشتراك / منتهي الاشتراك</t>
  </si>
  <si>
    <t>آخر دخول للنظام</t>
  </si>
  <si>
    <t>لمتابعة التفاعل</t>
  </si>
  <si>
    <t xml:space="preserve">ملاحظات داخلية </t>
  </si>
  <si>
    <t>TEXT + number</t>
  </si>
  <si>
    <t>لادخال تعليقات إدارية لا يراها المشترك</t>
  </si>
  <si>
    <t>بيانات الاشتراك والفوترة</t>
  </si>
  <si>
    <t>نوع الاشتراك</t>
  </si>
  <si>
    <t>الرسوم المدفوعة</t>
  </si>
  <si>
    <t>طريقة الدفع</t>
  </si>
  <si>
    <t>عدد المستخدمين</t>
  </si>
  <si>
    <t>عدد العملاء (الملفات)</t>
  </si>
  <si>
    <t>بيانات التخصيص الفني</t>
  </si>
  <si>
    <t xml:space="preserve">رابط خاص بالمنشأة </t>
  </si>
  <si>
    <t>رابط المنشأة بعد الاشتراك</t>
  </si>
  <si>
    <t>شعار المنشأة</t>
  </si>
  <si>
    <t xml:space="preserve">خانة متوفرة اذا وجد للمشترك شعار </t>
  </si>
  <si>
    <t xml:space="preserve">اعدادات اللغة </t>
  </si>
  <si>
    <t>يجب ان يكون هناك تعدد لللغات</t>
  </si>
  <si>
    <t>اعدادات العملة</t>
  </si>
  <si>
    <t>تقارير</t>
  </si>
  <si>
    <t>لاتوجد بيانات مدخلة</t>
  </si>
  <si>
    <t>سجل النشاطات</t>
  </si>
  <si>
    <t>مؤشرات</t>
  </si>
  <si>
    <t>إدارة الأداء والتحكم</t>
  </si>
  <si>
    <t>عدد الملفات المنشأة</t>
  </si>
  <si>
    <t>حجم الملفات</t>
  </si>
  <si>
    <t>الدعم الفني</t>
  </si>
  <si>
    <t>تذاكر مفتوحة / مغلقة / قيد الانتظار</t>
  </si>
  <si>
    <t xml:space="preserve">اعدادات أساسية لنافذة ملاك البرنامج </t>
  </si>
  <si>
    <t>شرط ملء البيان</t>
  </si>
  <si>
    <t>شرط أساسي</t>
  </si>
  <si>
    <t>المدينة التي تم اختيارها</t>
  </si>
  <si>
    <t>المنطقة التي تم اختيارها</t>
  </si>
  <si>
    <t>النوع الذي تم اختيارة</t>
  </si>
  <si>
    <t xml:space="preserve">الرقم الذي يتم كتابتة </t>
  </si>
  <si>
    <t>يتم التحقق من بيانات العنوان الوطني</t>
  </si>
  <si>
    <t>التاريخ الذي يتم كتابتة</t>
  </si>
  <si>
    <t>ملاحظات إضافية</t>
  </si>
  <si>
    <t>تاريخ الاشتراك</t>
  </si>
  <si>
    <t>تاريخ بداية آخر تجديد للاشتراك</t>
  </si>
  <si>
    <t>تاريخ نهاية اخر تجديد للاشتراك</t>
  </si>
  <si>
    <t>اسم الترخيص</t>
  </si>
  <si>
    <t>الاسم حسب ما موضح بالترخيص</t>
  </si>
  <si>
    <t>اسم الشركة</t>
  </si>
  <si>
    <t>الكيان القانوني للشركة</t>
  </si>
  <si>
    <t>التصنيف</t>
  </si>
  <si>
    <t>القطاع</t>
  </si>
  <si>
    <t>القطاع الفرعي</t>
  </si>
  <si>
    <t>القوائم المالية تتبع التقويم</t>
  </si>
  <si>
    <t>نوع الفترة</t>
  </si>
  <si>
    <t>تاريخ بداية الفترة المالية الحالية</t>
  </si>
  <si>
    <t>تاريخ نهاية الفترة المالية الحالية</t>
  </si>
  <si>
    <t>تاريخ بداية الفترة المالية السابقة</t>
  </si>
  <si>
    <t>تاريخ نهاية الفترة المالية السابقة</t>
  </si>
  <si>
    <t>طبيعة القوائم المالية</t>
  </si>
  <si>
    <t>حالة المراجعة للقوائم المالية</t>
  </si>
  <si>
    <t>وصف عملة العرض</t>
  </si>
  <si>
    <t>مستوي تقريب الأرقام</t>
  </si>
  <si>
    <t xml:space="preserve">الملف منشأ بواسطة </t>
  </si>
  <si>
    <t>هل الشركة تعد القوائم المالية للمرة الاولي منذ تاسيسها</t>
  </si>
  <si>
    <t>طريقة استعراض قائمة الربح والخسارة</t>
  </si>
  <si>
    <t>طريقة استعراض قائمة الدخل الشامل الآخر</t>
  </si>
  <si>
    <t>طريقة استعراض قائمة التدفقات النقدية</t>
  </si>
  <si>
    <t>السكرتارية</t>
  </si>
  <si>
    <t>دليل الحسابات</t>
  </si>
  <si>
    <t>دليل الإجراءات</t>
  </si>
  <si>
    <t>إضافة المستخدمين</t>
  </si>
  <si>
    <t>البيانات النظامية ذات العلاقة</t>
  </si>
  <si>
    <t xml:space="preserve">الإفصاح عن معلومات الوثيقة </t>
  </si>
  <si>
    <t>طريقة استعراض قائمة المركز المالي</t>
  </si>
  <si>
    <t>الرمز البريدي</t>
  </si>
  <si>
    <t>العنوان</t>
  </si>
  <si>
    <t>البريد الالكتروني</t>
  </si>
  <si>
    <t>اسم ضابط اتصال المنشأة</t>
  </si>
  <si>
    <t>جوال التواصل</t>
  </si>
  <si>
    <t>جوال الواتس</t>
  </si>
  <si>
    <t>23-06-2025</t>
  </si>
  <si>
    <t>اسم مكتب مراجع الحسابات  </t>
  </si>
  <si>
    <t>مكتب محمد بن حسن  مراجعون ومحاسبون قانونيون </t>
  </si>
  <si>
    <t>تاريخ ترخيص مكتب مراجع الحسابات </t>
  </si>
  <si>
    <t>02-01-2018 </t>
  </si>
  <si>
    <t>عنوان مراجع الحسابات </t>
  </si>
  <si>
    <t>الرياض </t>
  </si>
  <si>
    <t>بيانات الشريك المسؤول عن توقيع تقرير مراجع الحسابات </t>
  </si>
  <si>
    <t>  </t>
  </si>
  <si>
    <t>اسم الشريك المسؤول عن توقيع تقرير مراجع الحسابات  </t>
  </si>
  <si>
    <t>محمد سعيد بن حسن </t>
  </si>
  <si>
    <t>تاريخ ترخيص الشريك المسؤول عن توقيع تقرير مراجع الحسابات </t>
  </si>
  <si>
    <t>الإفصاح عن تقرير مراجع الحسابات  </t>
  </si>
  <si>
    <t>نعم </t>
  </si>
  <si>
    <t>محتوى تقرير مراجع الحسابات </t>
  </si>
  <si>
    <t>طبيعة رأي مراجع الحسابات </t>
  </si>
  <si>
    <t>رأي متحفظ </t>
  </si>
  <si>
    <t>رأي مراجع الحسابات </t>
  </si>
  <si>
    <t>أساس الرأي </t>
  </si>
  <si>
    <t>شك جوهري حول مبدأ الاستمرارية </t>
  </si>
  <si>
    <t>لا </t>
  </si>
  <si>
    <t>فقرة لفت انتباه </t>
  </si>
  <si>
    <t>أمور المراجعة الرئيسية </t>
  </si>
  <si>
    <t>أمور أخرى </t>
  </si>
  <si>
    <t>مسؤوليات الإدارة والمكلفين بالحوكمة عن القوائم المالية </t>
  </si>
  <si>
    <t>مسؤوليات مراجع الحسابات عن القوائم المالية </t>
  </si>
  <si>
    <t>تقرير مراجع الحسابات حول متطلبات قانونية وتشريعية أخرى </t>
  </si>
  <si>
    <t>تاريخ توقيع التقرير من قبل مراجع الحسابات </t>
  </si>
  <si>
    <t>1.1.1 وظيفة تسجيل دخول الادمن</t>
  </si>
  <si>
    <t>1.1 ادارة الملف الشخصي</t>
  </si>
  <si>
    <t>وظائف مالك النظام 1</t>
  </si>
  <si>
    <t>الأول</t>
  </si>
  <si>
    <t>الثاني</t>
  </si>
  <si>
    <t>الثالث</t>
  </si>
  <si>
    <t>الرابع</t>
  </si>
  <si>
    <t xml:space="preserve">اول مرة كيف يفتح برنامج الملاك هل سيتم إضافة الايميلات وأرقام الجولات في كود البرنامج ام سيتم إعطاء فرصة عند الدخول اول مرة بكتابة الايميل والرقم السري </t>
  </si>
  <si>
    <t>هل سيتم تحديد الدول والمدن والمناطق داخل كود البرنامج حتي يتم قرأئتها اثناء إضافة مشترك ام سيكون هناك إعدادات والأفضل الاولي</t>
  </si>
  <si>
    <t>اعدادات برنامج الملاك (النظام)</t>
  </si>
  <si>
    <t>يجب ان يتيح نظام المشرف إمكانية تكوين وإدارة إعدادات نظاق النظام وتشمل هذه الاعدادات بيانات يتم قراءتها واختيارها من قائمة منسدلة عند إضافة مشترك</t>
  </si>
  <si>
    <t>مستخدمين الدعم الفني</t>
  </si>
  <si>
    <t>مستخدمين الدعم المهني</t>
  </si>
  <si>
    <t>1.2 اعدادات النظام</t>
  </si>
  <si>
    <t>1.3 إدارة لوحة تحكم المشتركين</t>
  </si>
  <si>
    <t>السمات / الوصف</t>
  </si>
  <si>
    <t>فيما يتعلق باعدادات البلد والمدينة والمنطقة والمواقع الوزارية وفي برنامج المشتركين لا يوجد حوجة لوضعها في اعدادات برنامج الملاك لان استعمالها عمليا يكون عند إضافة مشترك وكل مشترك لة بلدة الخاص لذلك اقترح ان تكون في الكود وليس في النوافذ وعند إضافة مشترك توجد الخانة كقائمة منسدلة يتم التحديد ديناميكيا</t>
  </si>
  <si>
    <t xml:space="preserve">يجب إضافة المستخدمين وعلي أسس علمية وضوابط وهذا للملاك والشركة الدعم الفني ومستخدمين الدعم المهني </t>
  </si>
  <si>
    <t>مستخدمين الملاك</t>
  </si>
  <si>
    <t>يتم الإضافة في اعدادات البرنامج</t>
  </si>
  <si>
    <t>البلد التي يتم اختيارها</t>
  </si>
  <si>
    <t xml:space="preserve"> </t>
  </si>
  <si>
    <t>عند تحديد البلد في واجهة إضافة المشترك يجب ان تكون ديناميكية بحيث علي أساس البلد تنحصر المعلومات عند إضافة المشترك بحيث يتم الاختيار من مدن هذه البلد</t>
  </si>
  <si>
    <t>وهكذا عند تحديد المنطقة تتلخص القائمة المنسدلة في مناطق تلك المدينة</t>
  </si>
  <si>
    <t>معلومات الترخيص بيانات الزامية</t>
  </si>
  <si>
    <t>معلومات الموقع بيانات الزامية</t>
  </si>
  <si>
    <t>معلومات الكيان القانوني الزامي</t>
  </si>
  <si>
    <t>قد يكون اسم الترخيص طويلا او معقدا لذلك يجب ان تكون هناك آلية لاختيار اسم محدد كاسم العائلة او الاسم التجاري مثال (مكتب مسعود الرفيدي محاسبون ومراجعون قانونيون واستشاريون يمكن اختصارها في اسم الURL الي الرفيدي فقط</t>
  </si>
  <si>
    <t>يتم الاختيار من قائمة منسدلة الكيان القانوني حسب الدولة (شركة/ مؤسسة/الخخخخ)</t>
  </si>
  <si>
    <t>يتم الاختيار من قائمة منسدلة نوع الكيان القانوني فردية / شخص واحد / ذات مسؤولية محدودة/ مساهمة عامة / تضامنية / الخخخخخخ</t>
  </si>
  <si>
    <t>يتم الاختيار من قائمة منسدلة ( البلد المحدد أعلاه / مختلطة / اجنبية )</t>
  </si>
  <si>
    <t>مثال 1010515969</t>
  </si>
  <si>
    <t>700123456مثال</t>
  </si>
  <si>
    <t xml:space="preserve">ديناميكي وحسب تاريخ </t>
  </si>
  <si>
    <t>البيانات المظللة بالتنقيط من نفس اللون يعني التظليل ان تلك البيانات ستنتقل الي نافذة الURLللمشترك ولا يمكن التعديل عليها فقط للاطلاع علي ان يكون نفس التنقيط بيانات يمكن تعديلها في نافذة المشترك</t>
  </si>
  <si>
    <t>أنواع الاشتراك</t>
  </si>
  <si>
    <t>مراجع قانوني / مكتب استشاري / فرد</t>
  </si>
  <si>
    <t>قائمة منسدلة للاختيار منها</t>
  </si>
  <si>
    <t>*</t>
  </si>
  <si>
    <t xml:space="preserve">الفواتير </t>
  </si>
  <si>
    <t>مؤشر حالة المشترك</t>
  </si>
  <si>
    <t>مؤشر يوضح حالة المشترك من بين الحالات التالية (نشط / غير نشط / موقوف مؤقتا / فترة التشغيل المجاني</t>
  </si>
  <si>
    <t xml:space="preserve">ايكونة لاضافة شعار المشأة </t>
  </si>
  <si>
    <t>عربي / انجليزي</t>
  </si>
  <si>
    <t>عدة عملات</t>
  </si>
  <si>
    <t>يجب ان يكون هناك تعدد عملات</t>
  </si>
  <si>
    <t>تحتوي القائمة المنسدلة علي نوع الاشتراك والمؤسس بواسطة الادمن في الاعدادات علي (مراجع قانوني / مستشار مالي / خدمات محاسبية / الخخخ من الوظائف المالية المتارف عليها</t>
  </si>
  <si>
    <t>الباقة المختارة</t>
  </si>
  <si>
    <t>سجل يوم بتسجل كل الحركات ببرنامج الملاك فقط ولا علاقة لة بترصد أي حركة ب URL الخاص بالمشترك</t>
  </si>
  <si>
    <t>جميع الفواتير الصادرة سدادا للاشتراكات بالبرنامج من المشتركين علي ان يكون لكل مشترك كشف حساب بالفواتير المسددة والمستحقة</t>
  </si>
  <si>
    <t>1.2.1 إضافة مشترك</t>
  </si>
  <si>
    <t>تاريخ هجري وميلادي</t>
  </si>
  <si>
    <t>يجب الاختيار من الباقات المتوفرة بالبرنامج</t>
  </si>
  <si>
    <t>البرنامج عند تاسيسة جديد اول مرة يعمل لمدة شهر مجانا بعدها يبدء في التوقفحتي يجدد بأحد الباقات المتوفرة وعند انتهاء التجديد يتوقف البرنامج من الادخال ولكن يمكن قراءة ماتم ادخالة من قبل</t>
  </si>
  <si>
    <t>المتطلبات غير الوظيفية</t>
  </si>
  <si>
    <t>التقارير والمؤشرات 1.3.1</t>
  </si>
  <si>
    <t>المتطلبات غير الوظيفية 1.4.1</t>
  </si>
  <si>
    <t>المتطلبات غير الوظيفية (NFRs) هي التي تضمن ان النظام يعمل من الناحية الوظيفية بكفأة وامان وجودة عالية وتتمثل فيما يلي</t>
  </si>
  <si>
    <t>الأداء (Performance)</t>
  </si>
  <si>
    <t>زمن الاستجابة (Response Time) لأي عملية أساسية يجب ألا يتجاوز 2 ثانية.</t>
  </si>
  <si>
    <t>توليد التقارير الكبيرة (≥ 1000 سجل) يجب أن يتم خلال ≤ 5 ثوانٍ.</t>
  </si>
  <si>
    <r>
      <t xml:space="preserve">دعم على الأقل </t>
    </r>
    <r>
      <rPr>
        <b/>
        <sz val="11"/>
        <color theme="1"/>
        <rFont val="Arial"/>
        <family val="2"/>
        <scheme val="minor"/>
      </rPr>
      <t>5000 مستخدم متزامن</t>
    </r>
    <r>
      <rPr>
        <sz val="11"/>
        <color theme="1"/>
        <rFont val="Arial"/>
        <family val="2"/>
        <scheme val="minor"/>
      </rPr>
      <t xml:space="preserve"> دون التأثير على الأداء.</t>
    </r>
  </si>
  <si>
    <t>تحسين استعلامات قاعدة البيانات (Query Optimization).</t>
  </si>
  <si>
    <r>
      <t xml:space="preserve">النظام يجب أن يعمل بنسبة توفر </t>
    </r>
    <r>
      <rPr>
        <b/>
        <sz val="11"/>
        <color theme="1"/>
        <rFont val="Arial"/>
        <family val="2"/>
        <scheme val="minor"/>
      </rPr>
      <t>Uptime ≥ 99.9%</t>
    </r>
    <r>
      <rPr>
        <sz val="11"/>
        <color theme="1"/>
        <rFont val="Arial"/>
        <family val="2"/>
        <scheme val="minor"/>
      </rPr>
      <t>.</t>
    </r>
  </si>
  <si>
    <t>وجود خطة استمرارية الأعمال (BCP) للتعامل مع الكوارث.</t>
  </si>
  <si>
    <t>النظام يجب أن يكون قادرًا على استعادة العمل خلال ≤ 4 ساعات بعد أي توقف (RTO).</t>
  </si>
  <si>
    <t>البيانات يجب ألا يُفقد منها أكثر من 15 دقيقة عند حدوث عطل (RPO).</t>
  </si>
  <si>
    <r>
      <t xml:space="preserve">تشفير البيانات في قواعد البيانات باستخدام </t>
    </r>
    <r>
      <rPr>
        <b/>
        <sz val="11"/>
        <color theme="1"/>
        <rFont val="Arial"/>
        <family val="2"/>
        <scheme val="minor"/>
      </rPr>
      <t>AES-256</t>
    </r>
    <r>
      <rPr>
        <sz val="11"/>
        <color theme="1"/>
        <rFont val="Arial"/>
        <family val="2"/>
        <scheme val="minor"/>
      </rPr>
      <t>.</t>
    </r>
  </si>
  <si>
    <r>
      <t xml:space="preserve">تشفير الاتصال باستخدام </t>
    </r>
    <r>
      <rPr>
        <b/>
        <sz val="11"/>
        <color theme="1"/>
        <rFont val="Arial"/>
        <family val="2"/>
        <scheme val="minor"/>
      </rPr>
      <t>TLS 1.2 أو أعلى</t>
    </r>
    <r>
      <rPr>
        <sz val="11"/>
        <color theme="1"/>
        <rFont val="Arial"/>
        <family val="2"/>
        <scheme val="minor"/>
      </rPr>
      <t>.</t>
    </r>
  </si>
  <si>
    <t>إدارة جلسات الدخول (Session Management) مع انتهاء تلقائي بعد 15 دقيقة خمول.</t>
  </si>
  <si>
    <r>
      <t>إدارة أدوار وصلاحيات</t>
    </r>
    <r>
      <rPr>
        <sz val="11"/>
        <color theme="1"/>
        <rFont val="Arial"/>
        <family val="2"/>
        <scheme val="minor"/>
      </rPr>
      <t xml:space="preserve"> (Role-Based Access Control).</t>
    </r>
  </si>
  <si>
    <t>التحقق الثنائي (2FA/OTP) لجميع المستخدمين ذوي الصلاحيات الحساسة.</t>
  </si>
  <si>
    <t>سجل تدقيق (Audit Log) غير قابل للتعديل لتوثيق كل العمليات.</t>
  </si>
  <si>
    <t>قفل الحساب بعد 5 محاولات دخول فاشلة.</t>
  </si>
  <si>
    <t>القدرة على إضافة سيرفرات/خدمات (Horizontal Scaling) عند زيادة عدد المستخدمين.</t>
  </si>
  <si>
    <t>إمكانية ترقية البنية (Vertical Scaling) بسهولة.</t>
  </si>
  <si>
    <t>دعم التكامل مع أنظمة سحابية (Cloud-native readiness).</t>
  </si>
  <si>
    <r>
      <t xml:space="preserve">واجهة سهلة الاستخدام تدعم </t>
    </r>
    <r>
      <rPr>
        <b/>
        <sz val="11"/>
        <color theme="1"/>
        <rFont val="Arial"/>
        <family val="2"/>
        <scheme val="minor"/>
      </rPr>
      <t>العربية والإنجليزية</t>
    </r>
    <r>
      <rPr>
        <sz val="11"/>
        <color theme="1"/>
        <rFont val="Arial"/>
        <family val="2"/>
        <scheme val="minor"/>
      </rPr>
      <t>.</t>
    </r>
  </si>
  <si>
    <r>
      <t xml:space="preserve">توفير </t>
    </r>
    <r>
      <rPr>
        <b/>
        <sz val="11"/>
        <color theme="1"/>
        <rFont val="Arial"/>
        <family val="2"/>
        <scheme val="minor"/>
      </rPr>
      <t>دليل استخدام/مساعدة تفاعلية</t>
    </r>
    <r>
      <rPr>
        <sz val="11"/>
        <color theme="1"/>
        <rFont val="Arial"/>
        <family val="2"/>
        <scheme val="minor"/>
      </rPr>
      <t xml:space="preserve"> داخل النظام.</t>
    </r>
  </si>
  <si>
    <r>
      <t xml:space="preserve">إمكانية الوصول (Accessibility) بما يتماشى مع معايير </t>
    </r>
    <r>
      <rPr>
        <b/>
        <sz val="11"/>
        <color theme="1"/>
        <rFont val="Arial"/>
        <family val="2"/>
        <scheme val="minor"/>
      </rPr>
      <t>WCAG 2.1</t>
    </r>
    <r>
      <rPr>
        <sz val="11"/>
        <color theme="1"/>
        <rFont val="Arial"/>
        <family val="2"/>
        <scheme val="minor"/>
      </rPr>
      <t>.</t>
    </r>
  </si>
  <si>
    <r>
      <t xml:space="preserve">التوافق مع معايير المراجعة المحاسبية </t>
    </r>
    <r>
      <rPr>
        <b/>
        <sz val="11"/>
        <color theme="1"/>
        <rFont val="Arial"/>
        <family val="2"/>
        <scheme val="minor"/>
      </rPr>
      <t>SOCPA / ISA</t>
    </r>
    <r>
      <rPr>
        <sz val="11"/>
        <color theme="1"/>
        <rFont val="Arial"/>
        <family val="2"/>
        <scheme val="minor"/>
      </rPr>
      <t>.</t>
    </r>
  </si>
  <si>
    <r>
      <t xml:space="preserve">الالتزام بمتطلبات </t>
    </r>
    <r>
      <rPr>
        <b/>
        <sz val="11"/>
        <color theme="1"/>
        <rFont val="Arial"/>
        <family val="2"/>
        <scheme val="minor"/>
      </rPr>
      <t>هيئة الزكاة والضريبة والجمارك (ZATCA)</t>
    </r>
    <r>
      <rPr>
        <sz val="11"/>
        <color theme="1"/>
        <rFont val="Arial"/>
        <family val="2"/>
        <scheme val="minor"/>
      </rPr>
      <t xml:space="preserve"> للفواتير الإلكترونية.</t>
    </r>
  </si>
  <si>
    <r>
      <t xml:space="preserve">الالتزام بمعايير أمن المعلومات مثل </t>
    </r>
    <r>
      <rPr>
        <b/>
        <sz val="11"/>
        <color theme="1"/>
        <rFont val="Arial"/>
        <family val="2"/>
        <scheme val="minor"/>
      </rPr>
      <t>ISO 27001</t>
    </r>
    <r>
      <rPr>
        <sz val="11"/>
        <color theme="1"/>
        <rFont val="Arial"/>
        <family val="2"/>
        <scheme val="minor"/>
      </rPr>
      <t>.</t>
    </r>
  </si>
  <si>
    <r>
      <t xml:space="preserve">دعم </t>
    </r>
    <r>
      <rPr>
        <b/>
        <sz val="11"/>
        <color theme="1"/>
        <rFont val="Arial"/>
        <family val="2"/>
        <scheme val="minor"/>
      </rPr>
      <t>القوانين المحلية والدولية لحماية البيانات</t>
    </r>
    <r>
      <rPr>
        <sz val="11"/>
        <color theme="1"/>
        <rFont val="Arial"/>
        <family val="2"/>
        <scheme val="minor"/>
      </rPr>
      <t xml:space="preserve"> (مثل GDPR إذا كان هناك عملاء أجانب).</t>
    </r>
  </si>
  <si>
    <t>نسخ احتياطي يومي للبيانات.</t>
  </si>
  <si>
    <t>الاحتفاظ بالنسخ الاحتياطية لمدة لا تقل عن 90 يومًا.</t>
  </si>
  <si>
    <t>القدرة على استعادة البيانات خلال ≤ 4 ساعات.</t>
  </si>
  <si>
    <t>وجود مراكز بيانات احتياطية (DR Site).</t>
  </si>
  <si>
    <t>الكود البرمجي يجب أن يكون موثقًا بالكامل.</t>
  </si>
  <si>
    <t>استخدام معايير كتابة الكود (Coding Standards).</t>
  </si>
  <si>
    <t>إمكانية إصدار تحديثات دون توقف الخدمة (Zero-Downtime Deployment).</t>
  </si>
  <si>
    <r>
      <t xml:space="preserve">دعم التتبع والإشعارات عبر </t>
    </r>
    <r>
      <rPr>
        <b/>
        <sz val="11"/>
        <color theme="1"/>
        <rFont val="Arial"/>
        <family val="2"/>
        <scheme val="minor"/>
      </rPr>
      <t>Monitoring System</t>
    </r>
    <r>
      <rPr>
        <sz val="11"/>
        <color theme="1"/>
        <rFont val="Arial"/>
        <family val="2"/>
        <scheme val="minor"/>
      </rPr>
      <t xml:space="preserve"> (مثل Grafana, Prometheus).</t>
    </r>
  </si>
  <si>
    <t>دعم التشغيل على بيئات مختلفة (Windows/Linux, Cloud/On-Premise).</t>
  </si>
  <si>
    <t>دعم المتصفحات الرئيسية (Chrome, Edge, Safari).</t>
  </si>
  <si>
    <r>
      <t xml:space="preserve">توفير </t>
    </r>
    <r>
      <rPr>
        <b/>
        <sz val="11"/>
        <color theme="1"/>
        <rFont val="Arial"/>
        <family val="2"/>
        <scheme val="minor"/>
      </rPr>
      <t>واجهات API</t>
    </r>
    <r>
      <rPr>
        <sz val="11"/>
        <color theme="1"/>
        <rFont val="Arial"/>
        <family val="2"/>
        <scheme val="minor"/>
      </rPr>
      <t xml:space="preserve"> مفتوحة للتكامل مع أنظمة أخرى (REST/GraphQL).</t>
    </r>
  </si>
  <si>
    <t>نظام مراقبة للأداء (CPU, Memory, Response Time).</t>
  </si>
  <si>
    <t>إشعارات تلقائية عند وجود أعطال أو بطء في الأداء.</t>
  </si>
  <si>
    <t>تقارير دورية عن حالة النظام (Health Reports).</t>
  </si>
  <si>
    <t xml:space="preserve"> التوافر والاعتمادية (Availability &amp; Reliability)</t>
  </si>
  <si>
    <t xml:space="preserve"> الأمان (Security)</t>
  </si>
  <si>
    <t xml:space="preserve"> قابلية التوسع (Scalability)</t>
  </si>
  <si>
    <t xml:space="preserve"> قابلية الاستخدام (Usability)</t>
  </si>
  <si>
    <t xml:space="preserve"> التوافق والامتثال (Compliance)</t>
  </si>
  <si>
    <t xml:space="preserve"> النسخ الاحتياطي والتعافي من الكوارث (Backup &amp; Disaster Recovery)</t>
  </si>
  <si>
    <t xml:space="preserve"> قابلية الصيانة (Maintainability)</t>
  </si>
  <si>
    <t xml:space="preserve"> قابلية النقل (Portability)</t>
  </si>
  <si>
    <t xml:space="preserve"> المراقبة والتدقيق (Monitoring &amp; Auditing)</t>
  </si>
  <si>
    <t>إضافة مخططات تدفق (Process Flowcharts)</t>
  </si>
  <si>
    <t>بجانب OTP: إدارة جلسات الدخول (Session Management)، إغلاق الحساب بعد محاولات خاطئة، تشفير كلمات المرور.</t>
  </si>
  <si>
    <t>Mockups أو Wireframes لشاشات الدخول والإعدادات.</t>
  </si>
  <si>
    <t>يجب توضيح الفرق بين صلاحيات "الملاك"، "المطورين"، "الموظفين"، و"الأدمن".</t>
  </si>
  <si>
    <t>توثيق لما يحدث عند: فقدان الاتصال بالموقع الرسمي للتحقق، انتهاء صلاحية الترخيص، أو إدخال بيانات غير صحيحة.</t>
  </si>
  <si>
    <t>سيناريوهات الفشل</t>
  </si>
  <si>
    <t xml:space="preserve"> إدارة الأدوار والصلاحيات</t>
  </si>
  <si>
    <t xml:space="preserve"> تصميم تجارب المستخدم (UX/UI)</t>
  </si>
  <si>
    <t xml:space="preserve"> توسيع قسم الأمن</t>
  </si>
  <si>
    <t xml:space="preserve"> لتوضيح تسلسل العمليات (تسجيل الدخول، إدارة الإعدادات، إضافة مستخدم/مالك جديد).</t>
  </si>
  <si>
    <t>وظيفة تسجيل دخول أدمن ملاك البرنامج</t>
  </si>
  <si>
    <t xml:space="preserve">يجب ان يسمح النظام لآدمن الملاك  بتسجيل الدخول بشكل آمن باستخدام البريد الالكتروني وكلمة المرور </t>
  </si>
  <si>
    <t>عند الانتهاء من إضافة مشترك بنجاح يتم توليد الرابط الخاص بة مع نسخة من كل البيانات الواردة عند إضافة المشترك بالإضافة الي واجهة برنامج مكاتب المراجعة  المعروفة باسم المشترك</t>
  </si>
  <si>
    <t>وظيفة تسجيل دخول أدمن المشتركين البرنامج</t>
  </si>
  <si>
    <t xml:space="preserve">في حال تم نسيان او فقدان كلمة المرور يتم إعادة ارسالها مرة اخري في الايميل الخاص بالمشتركين الشركة </t>
  </si>
  <si>
    <t xml:space="preserve">اعدادات أساسية لنافذة المشتركين البرنامج </t>
  </si>
  <si>
    <t>سجل يوم بتسجل كل الحركات ببرنامج الالمشتركين فقط ولا علاقة لة بترصد أي حركة ب URL الخاص بالمشترك</t>
  </si>
  <si>
    <t>يجب توضيح الفرق بين صلاحيات "الالمشتركين"، "المطورين"، "الموظفين"، و"الأدمن".</t>
  </si>
  <si>
    <t>يجب ان يسمح النظام لآدمن المشتركين  بتسجيل الدخول بشكل آمن باستخدام البريد الالكتروني وكلمة المرور بعد انشاء الURL الخاص بالمشترك</t>
  </si>
  <si>
    <t xml:space="preserve">دخول المستخدمين المشتركين </t>
  </si>
  <si>
    <t>اعدادات برنامج المشتركين (النظام)</t>
  </si>
  <si>
    <t>مستخدمين البرنامج</t>
  </si>
  <si>
    <t>إضافة عقد ارتباط</t>
  </si>
  <si>
    <t>دليل المراجعة</t>
  </si>
  <si>
    <t xml:space="preserve">دليل شجري مفتوح المستوي ويمكن التعديل علية </t>
  </si>
  <si>
    <t>منقول من برنامج الملاك</t>
  </si>
  <si>
    <t>https://www.google.com/</t>
  </si>
  <si>
    <t xml:space="preserve">الاختيار من قائمة منسدلة الكيان القانوني للمنشأة </t>
  </si>
  <si>
    <t>الاختيار من قائمة منسدلة نوع الكيان القانوني</t>
  </si>
  <si>
    <t>الاختيار من قائمة منسدلة جنسية الكيان القانوني</t>
  </si>
  <si>
    <t>كتابة اسم منشأة العميل</t>
  </si>
  <si>
    <t>كتابة رقم السجل التجاري</t>
  </si>
  <si>
    <t>كتابة الرقم الضريبي</t>
  </si>
  <si>
    <t>كتابة الرقم الموحد</t>
  </si>
  <si>
    <t>كتابة نشاط السجل التجاري</t>
  </si>
  <si>
    <t>تحديد تاريخ السجل التجاري هجري وميلادي</t>
  </si>
  <si>
    <t>بيانات الاشتراك</t>
  </si>
  <si>
    <t>البيانات المظللة بالتنقيط من نفس اللون يعني التظليل ان تلك البيانات ستنتقل الي نافذة الURLللمشترك ولا يمكن التعديل عليها فقط في نافذة الURL (نافذة المشترك) وتكون للاطلاع فقط وتعديلها يلزم الرجوع الي المالك علي ان يكون نفس التنقيط بيانات يمكن تعديلها في نافذة المشترك</t>
  </si>
  <si>
    <t>منقول من نافذة الملاك</t>
  </si>
  <si>
    <t>لا يوجد تعبئة بيانات</t>
  </si>
  <si>
    <t>Number / Date</t>
  </si>
  <si>
    <t xml:space="preserve">كل عقد ارتباط يحجز لسجل تجاري واسم شركة معينة يظل محجوز لها بمعني اذا تم انشاء عقد ارتباط لشركة برقم سجل تجاري 1010515969 للعام 2023 وتم اصدار القوائم المالية هنا لا يمكن اصدار قوائم مالية لنفس السجل ولنفس السنة </t>
  </si>
  <si>
    <t>تاريخ عقد الارتباط</t>
  </si>
  <si>
    <t>الإفصاح عن معلومات الشركة</t>
  </si>
  <si>
    <t>بيانات أمنية وإدارية</t>
  </si>
  <si>
    <t>عنوان المنشأة تحت التدقيق</t>
  </si>
  <si>
    <t>الإفصاح عن معلومات المنشأة تحت التدقيق</t>
  </si>
  <si>
    <t>مهام ضابط الجودة</t>
  </si>
  <si>
    <t>مهام الشريك الإداري</t>
  </si>
  <si>
    <t>توقيع تقرير الحسابات</t>
  </si>
  <si>
    <t>بيانات منقولة من نافذة ملاك البرنامج وخاصة بهذا المشترك ويمكن التعديل عليها في نسخة المشترك ولا تاثر علي باقي المشتركين</t>
  </si>
  <si>
    <t>منقول من الاعدادات ولا يمكن تعديلة</t>
  </si>
  <si>
    <t>قائمة منسدلة جاهزة بالاعدادات</t>
  </si>
  <si>
    <t>أساسي</t>
  </si>
  <si>
    <t>تاريخ ميلادي / هجري</t>
  </si>
  <si>
    <t>بيانات تصدر الي ملف Xbrel</t>
  </si>
  <si>
    <t>يقوم بالاطلاع علي القوائم المالية وتسجيل الملاح</t>
  </si>
  <si>
    <t xml:space="preserve">عرض عقود الارتباط الخاصة بهذا العميل </t>
  </si>
  <si>
    <t>مؤشر وضع الملف</t>
  </si>
  <si>
    <t>سجل النشاطات علي الملف (عقد المراجعة)</t>
  </si>
  <si>
    <t>الفواتير</t>
  </si>
  <si>
    <t>كشف حساب العميل محل المراجعة</t>
  </si>
  <si>
    <t>الافصاح عن بيانات تقرير المراجع القانوني</t>
  </si>
  <si>
    <t>نطاق بيانات الادخال</t>
  </si>
  <si>
    <t>المهام</t>
  </si>
  <si>
    <t>ادمن المشتركين</t>
  </si>
  <si>
    <t>نقول من نافذة الملاك</t>
  </si>
  <si>
    <t>منقول من عقد الارتباط</t>
  </si>
  <si>
    <t>النظام</t>
  </si>
  <si>
    <t xml:space="preserve">بيانات منقولة من نافذة ملاك البرنامج  وخاصة فقط بهذا المشترك وهي ثابتة لا يمكن تعديلها الا بالرجوع لملاك البرنامج لضمان وحدة معلومات المشترك الواحد </t>
  </si>
  <si>
    <t xml:space="preserve">الأدلة التي يعمل بها البرنامج وتنقل بآخر صورة تم اعدادها في برنامج الملاك مع الURL الخاص بالمشترك والبيانات الأخرى المنقولة وبعد انتقالها الي الURL الخاص بالمشترك تنفصل عن نسخة ملاك البرنامج ولا يوجد أي ارتباط بينهما لذلك يستطيع المشترك ان يغير في تلك البيانات دون التاثير علي المشترك </t>
  </si>
  <si>
    <t xml:space="preserve">لتتبع الفترة الزمنية للملف كعقد ارتباط </t>
  </si>
  <si>
    <t>منقول من نافذة الملاك ويمكن التعديل</t>
  </si>
  <si>
    <t>يجب تحديد المسؤوليات والمسميات الوظيفية</t>
  </si>
  <si>
    <t>بيانات إضافية</t>
  </si>
  <si>
    <t>لا يوجد وثائق مرفوعة</t>
  </si>
  <si>
    <t>بيانات الموظفين</t>
  </si>
  <si>
    <t>التحقق بارسال رسائل التأكيد للجوالات</t>
  </si>
  <si>
    <t xml:space="preserve">يجب ان يتيح النظام للادمن إمكانية تكوين وإدارة إعدادات البرنامج والمتمثلة في </t>
  </si>
  <si>
    <t xml:space="preserve">يتم ادخالة حسب نافذة تضمن تووزيع الصلاحيات </t>
  </si>
  <si>
    <t>لايود تحقق مطلوب</t>
  </si>
  <si>
    <t xml:space="preserve">يجب ان يتيح النظام للمسؤول للمسؤول " احد الملاك " إمكانية إضافة مشترك جديد مع ادخال البيانات الأساسية الكاملة للمشترك والمعلومات القانونية والمالية والتقنية </t>
  </si>
  <si>
    <t>مهام مدير التدقيق</t>
  </si>
  <si>
    <t>مهام المدقق الفني</t>
  </si>
  <si>
    <t>مهام المدقق الميداني</t>
  </si>
  <si>
    <t>مهام مساعدي التدقيق</t>
  </si>
  <si>
    <t>اعتماد النماذج التي تخصة من دليل المراجعة</t>
  </si>
  <si>
    <t>بوابة العميل</t>
  </si>
  <si>
    <t xml:space="preserve">عرضعقود الارتباط </t>
  </si>
  <si>
    <t xml:space="preserve">يجب ان يتيح النظام لصاحب الصلاحية  إمكانية عرض قائمة عقود الارتباط لجميع البيانات المدخلة في عققد الارتباط  مع خيارات البحث والتصفية في رؤوس الاعمدة وذلك لجميع البيانات المدخلة والتعديل والطباعة والتصدير الي اكسل وPDF </t>
  </si>
  <si>
    <t>يجب ان يتيح النظام للمسؤول او صاحب الصلاحية إمكانية عرض قائمة عقود الارتباط مع خيارات البحث والتصفية في رؤوس الاعمدة وذلك لجميع البيانات المدخلة والتعديل والطباعة والتصدير الي اكسل وورد وPDF</t>
  </si>
  <si>
    <t>مؤشر يوضح حالة عقد الارتباط من بين الحالات التالية (موقع الملف حسب دليل الإجراءات والزمن المنصرف علي الملف من تاريخ التعاقد )</t>
  </si>
  <si>
    <t>جميع الفواتير الصادرة سدادا لقيمة عقد الارتباط علي ان يكون لكل عقد  كشف حساب بالفواتير المسددة والمستحقة</t>
  </si>
  <si>
    <t>استيراد ميزان المراجعة من العميل تحت المراجعة  وربطة بدليل الحسابات الخاص بالبرنامج</t>
  </si>
  <si>
    <t>الزيارات الميدانية للعملاء محل التعاقد والمكلف بها من المدقق الفني</t>
  </si>
  <si>
    <t>المهام المكلف بها من المدقق الفني كل عقد منفصل</t>
  </si>
  <si>
    <t>مراجعة القوائم المالية الصادرة والتقارير عنها لارسالها للشريك الإداري</t>
  </si>
  <si>
    <t xml:space="preserve">اعدادات أساسية لنافذة المشترك بالبرنامج </t>
  </si>
  <si>
    <t>لا يوجد تحقق</t>
  </si>
  <si>
    <t>حسب البيانات الموضحة في عامود M</t>
  </si>
  <si>
    <t>تظهر هنا قائمة بجميع عقود الارتباط المصدرة للمراجعين الفنيين من السكرتارية</t>
  </si>
  <si>
    <t>يستلم جميع عقود الارتباط المصدرة لة خصيصا من السكرتارية ولا يكون العقد نشط مالم تتم الموافقة علية من مدير المراجعة</t>
  </si>
  <si>
    <t xml:space="preserve">اضافة  مستخدمين المشترك يكون من خلال نافذة متخصصة فيها يمكن تحديد الصلاحيات / الفرع التابع لة المستخدم / المهام التي يتم تحديدها في دليل المراجعة </t>
  </si>
  <si>
    <t>معلومات الموقع</t>
  </si>
  <si>
    <t>اسم المرخص لة</t>
  </si>
  <si>
    <t>مستخدمين برنامج المشتركين</t>
  </si>
  <si>
    <t>بيانات منقولة من نافذة ملاك البرنامج وخاصة بهذا المشترك ويمكن التعديل علي بعض البيانات والمحددة بالتنقيط باللون الأحمر في الخلية  في نسخة المشترك وباقي البيانات بدون تنقيط لا يمكن تعديلها ولا تاثر علي باقي المشتركين</t>
  </si>
  <si>
    <t>عقد الدعم الفني</t>
  </si>
  <si>
    <t>عقد الدعم المهني</t>
  </si>
  <si>
    <t>عقد تأسيس الشركة</t>
  </si>
  <si>
    <t xml:space="preserve">الأدلة التي يعمل بها البرنامج وتنقل بآخر صورة تم اعدادها في برنامج الملاك مع الURL الخاص بالمشترك والبيانات الأخرى المنقولة وبعد انتقالها الي الURL الخاص بالمشترك تنفصل عن نسخة ملاك البرنامج ولا يوجد أي ارتباط بينهما لذلك يستطيع المشترك ان يغير في تلك البيانات دون التاثير علي نسخة ملاك البرنامج او المشتركين الآخرين </t>
  </si>
  <si>
    <t>اعــــــــــــــــــــــــــــــــــــــــــــــــــــــــــــــــــــــــــــــــــــــــــــــــــــــــــــــــدادات النـــــــــــــــــــــــــــــــــــــــــــــــــــــــــــــــــــــــــــــــــــــــــــــــــــــــــظام</t>
  </si>
  <si>
    <t>يعمل وفق جدول يقوم باعدادة المدقق الفني لزيارة العملاء المحددين من قبلة</t>
  </si>
  <si>
    <t>برنامج الباقات</t>
  </si>
  <si>
    <t>تاريخ</t>
  </si>
  <si>
    <t>المنظقة</t>
  </si>
  <si>
    <t>شرط اساسي</t>
  </si>
  <si>
    <t>يظهر فة نافذة مدير التدقيق كل عقود الارتباط التي قام السكرتارية بانشائها ويتم التعامل معها بالضغط علي العقد المعني وفتح دليل الإجراءات الخاص بالعقد للموافقة او التاشير علي ما يخصة من مهام في دليل المراجعة</t>
  </si>
  <si>
    <t xml:space="preserve">تظهر هنا جميع عقود الارتباط المدخلة بالسكرتارية وفى نهاية كل عقد يوجد زر دليل المراجعة يقوم بالضغط علي فتظهر فقط المهام المحددة لمدير المراجعة فيقوم باعتمادها او رفضها </t>
  </si>
  <si>
    <t xml:space="preserve">جميع عقود الارتباط المصدرة من السكرتارية 
عقد 1
عقد 2 وهكذا بجميع تفاصيل العقد كما بالسكرتارية </t>
  </si>
  <si>
    <t>اعتماد النماذج المعيرة بدليل المراجعة انها تخصة</t>
  </si>
  <si>
    <t>رقم الحساب</t>
  </si>
  <si>
    <t>IAS 7</t>
  </si>
  <si>
    <t>نظام ضريبة القيمة المضافة</t>
  </si>
  <si>
    <t>IAS 2</t>
  </si>
  <si>
    <t>ISA 501</t>
  </si>
  <si>
    <t>IFRS 9</t>
  </si>
  <si>
    <t>رأس المال</t>
  </si>
  <si>
    <t>ISA 700</t>
  </si>
  <si>
    <t>IFRS 15</t>
  </si>
  <si>
    <t>نظام الشركات</t>
  </si>
  <si>
    <t>اسم الحساب</t>
  </si>
  <si>
    <t>إجراءات المراجعة</t>
  </si>
  <si>
    <t>ملاحظات الإفصاح</t>
  </si>
  <si>
    <t>ISA 330</t>
  </si>
  <si>
    <t>IAS 1</t>
  </si>
  <si>
    <t>ضريبة القيمة المضافة</t>
  </si>
  <si>
    <t>تكلفة المبيعات</t>
  </si>
  <si>
    <t>ISA 520</t>
  </si>
  <si>
    <t>نظام الزكاة</t>
  </si>
  <si>
    <t>ISA 540</t>
  </si>
  <si>
    <t>IFRS 7</t>
  </si>
  <si>
    <t>ISA 315</t>
  </si>
  <si>
    <t>IFRS 10</t>
  </si>
  <si>
    <t>ISA 600</t>
  </si>
  <si>
    <t>IAS 28</t>
  </si>
  <si>
    <t>طريقة حقوق الملكية</t>
  </si>
  <si>
    <t>يشمل ملف المراجعة التابات التالية</t>
  </si>
  <si>
    <t>استيراد قيود اليومية</t>
  </si>
  <si>
    <t>استيراد ميزان المراجعة</t>
  </si>
  <si>
    <t>استيراد البيانات</t>
  </si>
  <si>
    <t>ربط البيانات المستورة بالدليل المحاسبي</t>
  </si>
  <si>
    <t>استيراد دفاتر الأستاذ</t>
  </si>
  <si>
    <t>اجراء المعالجات</t>
  </si>
  <si>
    <t>يتم استيراد بيانات العميل محل التعاقد علي احد الاشكال الموضحة من عامود L الي عامود N</t>
  </si>
  <si>
    <t>القوائم المالية</t>
  </si>
  <si>
    <t>قائمة المركز المالي</t>
  </si>
  <si>
    <t>تقرير المراجع القانوني</t>
  </si>
  <si>
    <t>قائمة الدخل والدخل الشامل</t>
  </si>
  <si>
    <t>قائمة حقوق الملاك</t>
  </si>
  <si>
    <t>قائمة التدفقات النقدية</t>
  </si>
  <si>
    <t>إيضاحات عن القوائم المالية</t>
  </si>
  <si>
    <t>السياسات المحاسبية</t>
  </si>
  <si>
    <t>الأثر المالي</t>
  </si>
  <si>
    <t>كود المرحلة</t>
  </si>
  <si>
    <t>المرحلة</t>
  </si>
  <si>
    <t>الإجراء</t>
  </si>
  <si>
    <t>نطاق الإجراء</t>
  </si>
  <si>
    <t>طريقة الاختيار</t>
  </si>
  <si>
    <t>أمثلة الاستخدام</t>
  </si>
  <si>
    <t>IAS</t>
  </si>
  <si>
    <t>IFRS</t>
  </si>
  <si>
    <t>ISA</t>
  </si>
  <si>
    <t>السياسات ذات العلاقة</t>
  </si>
  <si>
    <t>إجراءات المراجعة العملية</t>
  </si>
  <si>
    <t>قبول العميل</t>
  </si>
  <si>
    <t>التحقق من نزاهة الإدارة والملاك</t>
  </si>
  <si>
    <t>جميع الحسابات</t>
  </si>
  <si>
    <t>استفسار + مستند</t>
  </si>
  <si>
    <t>استبيان / محاضر الاجتماعات</t>
  </si>
  <si>
    <t>ISA 210</t>
  </si>
  <si>
    <t>سياسة قبول العميل</t>
  </si>
  <si>
    <t>الاستقلالية</t>
  </si>
  <si>
    <t>تقييم استقلال فريق المراجعة</t>
  </si>
  <si>
    <t>عملية المراجعة</t>
  </si>
  <si>
    <t>استقصاء فردي</t>
  </si>
  <si>
    <t>نماذج إفصاح الاستقلالية</t>
  </si>
  <si>
    <t>ISA 220</t>
  </si>
  <si>
    <t>الأهمية النسبية</t>
  </si>
  <si>
    <t>تحديد مستويات الأهمية النسبية</t>
  </si>
  <si>
    <t>تحليل كمي ونوعي</t>
  </si>
  <si>
    <t>نسب من صافي الربح/الأصول</t>
  </si>
  <si>
    <t>IAS 8</t>
  </si>
  <si>
    <t>IFRS 8</t>
  </si>
  <si>
    <t>ISA 320</t>
  </si>
  <si>
    <t>سياسة التقدير المهني</t>
  </si>
  <si>
    <t>تقييم الرقابة الداخلية</t>
  </si>
  <si>
    <t>مراجعة نظام الرقابة على النقد</t>
  </si>
  <si>
    <t>النقدية بالصندوق</t>
  </si>
  <si>
    <t>استقصاء وملاحظة</t>
  </si>
  <si>
    <t>استبيان / جرد مفاجئ</t>
  </si>
  <si>
    <t>سياسة الرقابة الداخلية</t>
  </si>
  <si>
    <t>اختبار المعالجات بالحاسب</t>
  </si>
  <si>
    <t>اختبار الضوابط الإلكترونية والبرامج</t>
  </si>
  <si>
    <t>النظام المحاسبي</t>
  </si>
  <si>
    <t>فحص عملي</t>
  </si>
  <si>
    <t>اختبار مدخلات ومخرجات</t>
  </si>
  <si>
    <t>سياسة أمن المعلومات</t>
  </si>
  <si>
    <t>فحص أرصدة العملاء</t>
  </si>
  <si>
    <t>الذمم المدينة</t>
  </si>
  <si>
    <t>اختيار عينات</t>
  </si>
  <si>
    <t>مطابقة كشوف العملاء</t>
  </si>
  <si>
    <t>IAS 32</t>
  </si>
  <si>
    <t>ISA 505</t>
  </si>
  <si>
    <t>سياسة إدارة المديونيات</t>
  </si>
  <si>
    <t>إعداد التقرير</t>
  </si>
  <si>
    <t>صياغة التقرير النهائي</t>
  </si>
  <si>
    <t>مراجعة</t>
  </si>
  <si>
    <t>تقرير المراجع المستقل</t>
  </si>
  <si>
    <t>IFRS Presentation</t>
  </si>
  <si>
    <t>سياسة إعداد التقارير</t>
  </si>
  <si>
    <t>إعداد مسودة – مناقشة مع الإدارة – إصدار التقرير النهائي</t>
  </si>
  <si>
    <t>الإغلاق والأرشفة</t>
  </si>
  <si>
    <t>أرشفة ملف المراجعة</t>
  </si>
  <si>
    <t>ملف المراجعة</t>
  </si>
  <si>
    <t>حفظ ورقي وإلكتروني</t>
  </si>
  <si>
    <t>أرشيف داخلي</t>
  </si>
  <si>
    <t>ISA 230</t>
  </si>
  <si>
    <t>سياسة حفظ السجلات</t>
  </si>
  <si>
    <t>الشرح التفصيلي للمرحلة</t>
  </si>
  <si>
    <t>بنود القوائم المالية</t>
  </si>
  <si>
    <t>—</t>
  </si>
  <si>
    <t>سياسة الاستقلالية</t>
  </si>
  <si>
    <t>المراجعة التفصيلية</t>
  </si>
  <si>
    <t>توقيع أوراق العمل – حفظ نسخ إلكترونية وورقية – مراجعة الجودة الداخلية</t>
  </si>
  <si>
    <t>النماذج الواجب تعبئتها</t>
  </si>
  <si>
    <t>المخاطر المرتبطة</t>
  </si>
  <si>
    <t>مستوى المخاطر</t>
  </si>
  <si>
    <t>الجهة المسؤولة</t>
  </si>
  <si>
    <t>المخرجات</t>
  </si>
  <si>
    <t>مدة التنفيذ</t>
  </si>
  <si>
    <t>نقاط القوة</t>
  </si>
  <si>
    <t>نقاط الضعف المحتملة</t>
  </si>
  <si>
    <t>مؤشرات الأداء</t>
  </si>
  <si>
    <t>✔ استبيان النزاهة ✔ خطاب قبول العميل</t>
  </si>
  <si>
    <t>مراجعة محاضر التأسيس – التحقق من النزاعات – الحصول على تأكيدات مكتوبة</t>
  </si>
  <si>
    <t>قبول عميل غير مناسب، غسل الأموال</t>
  </si>
  <si>
    <t>عالي</t>
  </si>
  <si>
    <t>الشريك المسؤول + فريق القبول</t>
  </si>
  <si>
    <t>خطاب قبول</t>
  </si>
  <si>
    <t>قبل التعاقد</t>
  </si>
  <si>
    <t>تعزيز الثقة وحماية السمعة</t>
  </si>
  <si>
    <t>الاعتماد على بيانات العميل فقط</t>
  </si>
  <si>
    <t>✔ نموذج إفصاح الاستقلالية ✔ سجل تضارب المصالح</t>
  </si>
  <si>
    <t>✔ جدول الأهمية النسبية ✔ ورقة عمل تقدير</t>
  </si>
  <si>
    <t>متوسط</t>
  </si>
  <si>
    <t>فريق المراجعة + IT</t>
  </si>
  <si>
    <t>فريق المراجعة الميدانية</t>
  </si>
  <si>
    <t>✔ مسودة التقرير ✔ نموذج التقرير النهائي</t>
  </si>
  <si>
    <t>الشريك المسؤول</t>
  </si>
  <si>
    <t>✔ قائمة أوراق العمل ✔ سجل الحفظ الإلكتروني</t>
  </si>
  <si>
    <t>فقد مستندات – ضعف سرية الملفات</t>
  </si>
  <si>
    <t>إدارة الجودة + مسؤول المراجعة</t>
  </si>
  <si>
    <t>ملف مراجعة مؤرشف</t>
  </si>
  <si>
    <t>بعد إصدار التقرير</t>
  </si>
  <si>
    <t>ضعف الالتزام بمواعيد الحفظ</t>
  </si>
  <si>
    <t>A</t>
  </si>
  <si>
    <t>فحص السمعة</t>
  </si>
  <si>
    <t>% العملاء المقبولين بعد الفحص</t>
  </si>
  <si>
    <t>% النماذج المكتملة</t>
  </si>
  <si>
    <t>C</t>
  </si>
  <si>
    <t>المراجع الرئيسي</t>
  </si>
  <si>
    <t>D</t>
  </si>
  <si>
    <t>المراجع المساعد</t>
  </si>
  <si>
    <t>E</t>
  </si>
  <si>
    <t>إدخال بيانات تجريبية</t>
  </si>
  <si>
    <t>عدم صحة الأرصدة</t>
  </si>
  <si>
    <t>إعداد المسودة</t>
  </si>
  <si>
    <t>مسودة تقرير</t>
  </si>
  <si>
    <t>إصدار النسخة النهائية</t>
  </si>
  <si>
    <t>تقرير نهائي</t>
  </si>
  <si>
    <t>اعتماد التقرير</t>
  </si>
  <si>
    <t>فريق المراجعة</t>
  </si>
  <si>
    <t>التعريف المحاسبي</t>
  </si>
  <si>
    <t>تحليل خلفية العميل</t>
  </si>
  <si>
    <t>1.1.1</t>
  </si>
  <si>
    <t>فحص الوضع المالي</t>
  </si>
  <si>
    <t>1.1.2</t>
  </si>
  <si>
    <t>توثيق قبول العميل</t>
  </si>
  <si>
    <t>E,P,D</t>
  </si>
  <si>
    <t>1.2.1</t>
  </si>
  <si>
    <t>حفظ المستندات</t>
  </si>
  <si>
    <t>1.2.2</t>
  </si>
  <si>
    <t>التأكيد مع العميل</t>
  </si>
  <si>
    <t>فحص تضارب المصالح</t>
  </si>
  <si>
    <t>2.1.1</t>
  </si>
  <si>
    <t>مراجعة التعيينات السابقة</t>
  </si>
  <si>
    <t>2.1.2</t>
  </si>
  <si>
    <t>مراجعة العلاقات الشخصية</t>
  </si>
  <si>
    <t>اعتماد الاستقلالية</t>
  </si>
  <si>
    <t>2.2.1</t>
  </si>
  <si>
    <t>حفظ النماذج</t>
  </si>
  <si>
    <t>E,D</t>
  </si>
  <si>
    <t>2.2.2</t>
  </si>
  <si>
    <t>مراجعة دورية</t>
  </si>
  <si>
    <t>P</t>
  </si>
  <si>
    <t>تحديد العتبات</t>
  </si>
  <si>
    <t>3.1.1</t>
  </si>
  <si>
    <t>تحليل المخاطر</t>
  </si>
  <si>
    <t>3.1.2</t>
  </si>
  <si>
    <t>توثيق الأحكام المهنية</t>
  </si>
  <si>
    <t>P,D</t>
  </si>
  <si>
    <t>اعتماد الأهمية</t>
  </si>
  <si>
    <t>3.2.1</t>
  </si>
  <si>
    <t>3.2.2</t>
  </si>
  <si>
    <t>مشاركة الفريق</t>
  </si>
  <si>
    <t>تقييم التصميم</t>
  </si>
  <si>
    <t>4.1.1</t>
  </si>
  <si>
    <t>اختبار التنفيذ</t>
  </si>
  <si>
    <t>4.1.2</t>
  </si>
  <si>
    <t>تقييم فعالية الرقابة</t>
  </si>
  <si>
    <t>توثيق النتائج</t>
  </si>
  <si>
    <t>C,D</t>
  </si>
  <si>
    <t>4.2.1</t>
  </si>
  <si>
    <t>اعتماد النتائج</t>
  </si>
  <si>
    <t>4.2.2</t>
  </si>
  <si>
    <t>إعداد تقرير الضوابط</t>
  </si>
  <si>
    <t>C,A,D</t>
  </si>
  <si>
    <t>اختبار مدخلات النظام</t>
  </si>
  <si>
    <t>5.1.1</t>
  </si>
  <si>
    <t>اختبار مخرجات النظام</t>
  </si>
  <si>
    <t>5.1.2</t>
  </si>
  <si>
    <t>اختبار ضوابط الوصول</t>
  </si>
  <si>
    <t>توثيق نتائج الاختبار</t>
  </si>
  <si>
    <t>5.2.1</t>
  </si>
  <si>
    <t>مراجعة النتائج</t>
  </si>
  <si>
    <t>5.2.2</t>
  </si>
  <si>
    <t>تقرير الاختبار</t>
  </si>
  <si>
    <t>تأكيد الأرصدة</t>
  </si>
  <si>
    <t>6.1.1</t>
  </si>
  <si>
    <t>تحليل الأعمار</t>
  </si>
  <si>
    <t>6.1.2</t>
  </si>
  <si>
    <t>مراجعة المخصصات</t>
  </si>
  <si>
    <t>توثيق نتائج الفحص</t>
  </si>
  <si>
    <t>6.2.1</t>
  </si>
  <si>
    <t>6.2.2</t>
  </si>
  <si>
    <t>تقرير المراجعة التفصيلية</t>
  </si>
  <si>
    <t>A,R,D</t>
  </si>
  <si>
    <t>R,D</t>
  </si>
  <si>
    <t>7.1.1</t>
  </si>
  <si>
    <t>مناقشة المسودة</t>
  </si>
  <si>
    <t>7.1.2</t>
  </si>
  <si>
    <t>إصدار التقرير</t>
  </si>
  <si>
    <t>7.2.1</t>
  </si>
  <si>
    <t>إبلاغ الأطراف الخارجية</t>
  </si>
  <si>
    <t>R</t>
  </si>
  <si>
    <t>7.2.2</t>
  </si>
  <si>
    <t>أرشفة التقرير</t>
  </si>
  <si>
    <t>D,E</t>
  </si>
  <si>
    <t>نوع المنشأة</t>
  </si>
  <si>
    <t>القطاع الاقتصادي</t>
  </si>
  <si>
    <t>فحص السمعة والامتثال القانوني</t>
  </si>
  <si>
    <t>مراجعة الوضع القانوني</t>
  </si>
  <si>
    <t>السجل التجاري</t>
  </si>
  <si>
    <t>تحليل وثائق</t>
  </si>
  <si>
    <t>رخصة، سجل تجاري</t>
  </si>
  <si>
    <t>التحقق من سلامة الوضع القانوني</t>
  </si>
  <si>
    <t>✔ استبيان الخلفية</t>
  </si>
  <si>
    <t>مراجعة مستندات التسجيل والتراخيص</t>
  </si>
  <si>
    <t>قبول عميل غير قانوني</t>
  </si>
  <si>
    <t>فريق القبول</t>
  </si>
  <si>
    <t>ورقة تقييم خلفية</t>
  </si>
  <si>
    <t>يوم</t>
  </si>
  <si>
    <t>توثيق قانوني</t>
  </si>
  <si>
    <t>نقص بيانات</t>
  </si>
  <si>
    <t>% اكتمال بيانات العميل</t>
  </si>
  <si>
    <t>تحليل القوائم المالية</t>
  </si>
  <si>
    <t>بيانات مالية</t>
  </si>
  <si>
    <t>تحليل نسبي</t>
  </si>
  <si>
    <t>تحليل نسب</t>
  </si>
  <si>
    <t>ضمان الملاءة المالية</t>
  </si>
  <si>
    <t>✔ نموذج تقييم مالي</t>
  </si>
  <si>
    <t>تحليل نسب السيولة والربحية</t>
  </si>
  <si>
    <t>قبول عميل متعثر ماليًا</t>
  </si>
  <si>
    <t>مرتفع</t>
  </si>
  <si>
    <t>ورقة عمل تحليل مالي</t>
  </si>
  <si>
    <t>كشف مبكر للمخاطر</t>
  </si>
  <si>
    <t>اعتماد على أرقام غير مدققة</t>
  </si>
  <si>
    <t>% التقييمات المالية المكتملة</t>
  </si>
  <si>
    <t>تحقق خارجي</t>
  </si>
  <si>
    <t>جهات تنظيمية</t>
  </si>
  <si>
    <t>استفسارات</t>
  </si>
  <si>
    <t>محاضر / تقارير</t>
  </si>
  <si>
    <t>ضمان السمعة الجيدة</t>
  </si>
  <si>
    <t>✔ خطاب استفسار</t>
  </si>
  <si>
    <t>مراسلات رسمية – بحث في قواعد بيانات</t>
  </si>
  <si>
    <t>سمعة سلبية</t>
  </si>
  <si>
    <t>تقرير سمعة</t>
  </si>
  <si>
    <t>حماية سمعة المكتب</t>
  </si>
  <si>
    <t>تأخر الردود الخارجية</t>
  </si>
  <si>
    <t>% الردود المستلمة</t>
  </si>
  <si>
    <t>اعتماد القبول</t>
  </si>
  <si>
    <t>إدارة الجودة</t>
  </si>
  <si>
    <t>اعتماد داخلي</t>
  </si>
  <si>
    <t>استمارة موافقة</t>
  </si>
  <si>
    <t>اعتماد رسمي قبل التعاقد</t>
  </si>
  <si>
    <t>✔ نموذج موافقة</t>
  </si>
  <si>
    <t>اعتماد الشريك – حفظ المستندات</t>
  </si>
  <si>
    <t>البدء بدون موافقة</t>
  </si>
  <si>
    <t>موافقة رسمية</t>
  </si>
  <si>
    <t>ساعات</t>
  </si>
  <si>
    <t>توثيق رسمي</t>
  </si>
  <si>
    <t>نسيان التوقيع</t>
  </si>
  <si>
    <t>% وجود موافقات موثقة</t>
  </si>
  <si>
    <t>تجهيز الملف</t>
  </si>
  <si>
    <t>الملف الإلكتروني</t>
  </si>
  <si>
    <t>إدخال يدوي</t>
  </si>
  <si>
    <t>مجلد عميل</t>
  </si>
  <si>
    <t>سهولة الوصول للبيانات</t>
  </si>
  <si>
    <t>✔ قائمة محتويات الملف</t>
  </si>
  <si>
    <t>رفع المستندات للنظام</t>
  </si>
  <si>
    <t>ضياع مستندات</t>
  </si>
  <si>
    <t>منخفض</t>
  </si>
  <si>
    <t>مساعد إداري</t>
  </si>
  <si>
    <t>ملف مكتمل</t>
  </si>
  <si>
    <t>سهولة الاسترجاع</t>
  </si>
  <si>
    <t>عدم تحديث المحتوى</t>
  </si>
  <si>
    <t>% الملفات المكتملة</t>
  </si>
  <si>
    <t>إشعار قبول</t>
  </si>
  <si>
    <t>البريد الرسمي</t>
  </si>
  <si>
    <t>إرسال بريد</t>
  </si>
  <si>
    <t>خطاب رسمي</t>
  </si>
  <si>
    <t>إبلاغ العميل ببدء المهمة</t>
  </si>
  <si>
    <t>✔ خطاب قبول</t>
  </si>
  <si>
    <t>إرسال بريد تأكيد</t>
  </si>
  <si>
    <t>بدء العمل قبل إخطار العميل</t>
  </si>
  <si>
    <t>بريد تأكيد</t>
  </si>
  <si>
    <t>شفافية</t>
  </si>
  <si>
    <t>نسيان الإرسال</t>
  </si>
  <si>
    <t>% العملاء المبلغين</t>
  </si>
  <si>
    <t>ضمان موضوعية الرأي والاستقلالية المهنية</t>
  </si>
  <si>
    <t>مراجعة تضارب المصالح وتطبيق سياسة التدوير</t>
  </si>
  <si>
    <t>تضارب مصالح</t>
  </si>
  <si>
    <t>نموذج موقع</t>
  </si>
  <si>
    <t>قبل المهمة</t>
  </si>
  <si>
    <t>مقاومة الموظفين</t>
  </si>
  <si>
    <t>استبيان استقلالية</t>
  </si>
  <si>
    <t>كل الأعضاء</t>
  </si>
  <si>
    <t>استقصاء</t>
  </si>
  <si>
    <t>نموذج إفصاح</t>
  </si>
  <si>
    <t>منع تضارب المصالح</t>
  </si>
  <si>
    <t>✔ نموذج إفصاح</t>
  </si>
  <si>
    <t>تحليل العلاقات</t>
  </si>
  <si>
    <t>فقد الاستقلالية</t>
  </si>
  <si>
    <t>كل عضو</t>
  </si>
  <si>
    <t>نماذج مكتملة</t>
  </si>
  <si>
    <t>ضمان موضوعية</t>
  </si>
  <si>
    <t>رفض الإفصاح</t>
  </si>
  <si>
    <t>% النماذج المستلمة</t>
  </si>
  <si>
    <t>تحليل مهام سابقة</t>
  </si>
  <si>
    <t>السجلات</t>
  </si>
  <si>
    <t>مراجعة سجلات</t>
  </si>
  <si>
    <t>كشف مهام سابقة</t>
  </si>
  <si>
    <t>التأكد من عدم استمرار عميل سابق</t>
  </si>
  <si>
    <t>✔ سجل تعيينات</t>
  </si>
  <si>
    <t>فحص المهام السابقة</t>
  </si>
  <si>
    <t>استمرار علاقات سابقة</t>
  </si>
  <si>
    <t>مسؤول الجودة</t>
  </si>
  <si>
    <t>ورقة مراجعة</t>
  </si>
  <si>
    <t>فصل الأدوار</t>
  </si>
  <si>
    <t>سهو في السجلات</t>
  </si>
  <si>
    <t>% المهام المفصولة</t>
  </si>
  <si>
    <t>فحص علاقات شخصية</t>
  </si>
  <si>
    <t>الهيكل الإداري</t>
  </si>
  <si>
    <t>قائمة أسماء</t>
  </si>
  <si>
    <t>منع تأثير العلاقات الشخصية</t>
  </si>
  <si>
    <t>✔ استبيان علاقات</t>
  </si>
  <si>
    <t>استقصاء علاقات مباشرة</t>
  </si>
  <si>
    <t>تأثير شخصي</t>
  </si>
  <si>
    <t>قائمة موقعة</t>
  </si>
  <si>
    <t>حماية الحياد</t>
  </si>
  <si>
    <t>كتمان الموظفين</t>
  </si>
  <si>
    <t>% الإفصاحات الصحيحة</t>
  </si>
  <si>
    <t>توثيق الاستقلالية</t>
  </si>
  <si>
    <t>موافقة</t>
  </si>
  <si>
    <t>توثيق استقلالية الفريق</t>
  </si>
  <si>
    <t>✔ سجل اعتماد</t>
  </si>
  <si>
    <t>مراجعة توقيعات الشريك</t>
  </si>
  <si>
    <t>عدم وجود موافقة</t>
  </si>
  <si>
    <t>اعتماد موقع</t>
  </si>
  <si>
    <t>توثيق</t>
  </si>
  <si>
    <t>% الموافقات المكتملة</t>
  </si>
  <si>
    <t>حفظ نماذج الإفصاح</t>
  </si>
  <si>
    <t>النظام الإلكتروني</t>
  </si>
  <si>
    <t>مجلد مستقل</t>
  </si>
  <si>
    <t>سهولة الوصول لاحقًا</t>
  </si>
  <si>
    <t>✔ قائمة ملفات</t>
  </si>
  <si>
    <t>ضياع نماذج</t>
  </si>
  <si>
    <t>عدم تحديث الملف</t>
  </si>
  <si>
    <t>مراجعة سنوية</t>
  </si>
  <si>
    <t>كل الفريق</t>
  </si>
  <si>
    <t>جدول متابعة</t>
  </si>
  <si>
    <t>التحقق من استمرار الاستقلالية</t>
  </si>
  <si>
    <t>✔ جدول متابعة</t>
  </si>
  <si>
    <t>فحص علاقات سنويًا</t>
  </si>
  <si>
    <t>محضر مراجعة</t>
  </si>
  <si>
    <t>استدامة الالتزام</t>
  </si>
  <si>
    <t>نسيان التحديث</t>
  </si>
  <si>
    <t>% المراجعات السنوية</t>
  </si>
  <si>
    <t>تركيز الفحص على البنود الجوهرية</t>
  </si>
  <si>
    <t>احتساب نسب من الربح/الأصول – استخدام الحكم المهني</t>
  </si>
  <si>
    <t>إهمال بنود جوهرية</t>
  </si>
  <si>
    <t>فريق التخطيط</t>
  </si>
  <si>
    <t>ورقة عمل</t>
  </si>
  <si>
    <t>تركيز الجهد</t>
  </si>
  <si>
    <t>تقدير غير دقيق</t>
  </si>
  <si>
    <t>% صحة التقديرات</t>
  </si>
  <si>
    <t>تحديد نسب الأهمية</t>
  </si>
  <si>
    <t>تحليل رقمي</t>
  </si>
  <si>
    <t>نسب الربح/الأصول</t>
  </si>
  <si>
    <t>حساب نسب مادية معتمدة</t>
  </si>
  <si>
    <t>✔ ورقة عتبات</t>
  </si>
  <si>
    <t>حساب العتبات لكل بند</t>
  </si>
  <si>
    <t>تحديد غير ملائم</t>
  </si>
  <si>
    <t>وضوح المعيار</t>
  </si>
  <si>
    <t>تغيرات غير مبررة</t>
  </si>
  <si>
    <t>% مطابقة العتبات</t>
  </si>
  <si>
    <t>ربط المخاطر بالأهمية</t>
  </si>
  <si>
    <t>كل البنود</t>
  </si>
  <si>
    <t>تحليل نوعي</t>
  </si>
  <si>
    <t>مصفوفة مخاطر</t>
  </si>
  <si>
    <t>توجيه الجهد للبنود عالية المخاطر</t>
  </si>
  <si>
    <t>✔ مصفوفة مخاطر</t>
  </si>
  <si>
    <t>ربط كل بند بمستوى خطر</t>
  </si>
  <si>
    <t>تجاهل عناصر عالية المخاطر</t>
  </si>
  <si>
    <t>ورقة تحليل</t>
  </si>
  <si>
    <t>تقدير خاطئ</t>
  </si>
  <si>
    <t>سجل التقديرات</t>
  </si>
  <si>
    <t>ورقة التقديرات</t>
  </si>
  <si>
    <t>توثيق يدوي</t>
  </si>
  <si>
    <t>مذكرة مهنية</t>
  </si>
  <si>
    <t>إثبات الأحكام المتخذة</t>
  </si>
  <si>
    <t>✔ مذكرة تقديرات</t>
  </si>
  <si>
    <t>توثيق أسباب الاختيار</t>
  </si>
  <si>
    <t>صعوبة المراجعة لاحقًا</t>
  </si>
  <si>
    <t>مذكرة موقعة</t>
  </si>
  <si>
    <t>سهولة المراجعة</t>
  </si>
  <si>
    <t>نقص التفاصيل</t>
  </si>
  <si>
    <t>% الأوراق الموقعة</t>
  </si>
  <si>
    <t>نموذج اعتماد</t>
  </si>
  <si>
    <t>اعتماد رسمي للعتبات</t>
  </si>
  <si>
    <t>✔ نموذج اعتماد</t>
  </si>
  <si>
    <t>اعتماد الشريك المسؤول</t>
  </si>
  <si>
    <t>البدء بدون اعتماد</t>
  </si>
  <si>
    <t>اعتماد موقّع</t>
  </si>
  <si>
    <t>نسيان الاعتماد</t>
  </si>
  <si>
    <t>% النماذج المعتمدة</t>
  </si>
  <si>
    <t>مراجعة خلال التنفيذ</t>
  </si>
  <si>
    <t>البنود الجوهرية</t>
  </si>
  <si>
    <t>ورقة متابعة</t>
  </si>
  <si>
    <t>ضبط الخطة حسب التغيرات</t>
  </si>
  <si>
    <t>✔ ورقة متابعة</t>
  </si>
  <si>
    <t>مقارنة بالتنفيذ الفعلي</t>
  </si>
  <si>
    <t>عدم التحديث</t>
  </si>
  <si>
    <t>ورقة محدثة</t>
  </si>
  <si>
    <t>مرونة</t>
  </si>
  <si>
    <t>تأخر التحديث</t>
  </si>
  <si>
    <t>% تحديثات العتبات</t>
  </si>
  <si>
    <t>إعلام جميع الأعضاء</t>
  </si>
  <si>
    <t>الفريق كامل</t>
  </si>
  <si>
    <t>اجتماع</t>
  </si>
  <si>
    <t>عرض تقديمي</t>
  </si>
  <si>
    <t>ضمان علم جميع الفريق بالحدود</t>
  </si>
  <si>
    <t>✔ محضر اجتماع</t>
  </si>
  <si>
    <t>عرض في الاجتماع الافتتاحي</t>
  </si>
  <si>
    <t>سوء تطبيق</t>
  </si>
  <si>
    <t>قائد المهمة</t>
  </si>
  <si>
    <t>محضر حضور</t>
  </si>
  <si>
    <t>توحيد الفهم</t>
  </si>
  <si>
    <t>ضعف التركيز</t>
  </si>
  <si>
    <t>% الحضور المطلعين</t>
  </si>
  <si>
    <t>التأكد من وجود ضوابط تحد من الأخطاء</t>
  </si>
  <si>
    <t>✔ استبيان الرقابة ✔ نموذج جرد نقدية</t>
  </si>
  <si>
    <t>جرد مفاجئ – مراجعة التسويات البنكية</t>
  </si>
  <si>
    <t>ضعف الضوابط</t>
  </si>
  <si>
    <t>كشف نقاط الضعف</t>
  </si>
  <si>
    <t>% الضوابط المختبرة</t>
  </si>
  <si>
    <t>مراجعة تصميم الضوابط</t>
  </si>
  <si>
    <t>كل الأقسام</t>
  </si>
  <si>
    <t>ملاحظة واستقصاء</t>
  </si>
  <si>
    <t>استبيان تصميم</t>
  </si>
  <si>
    <t>تحديد الفجوات في التصميم</t>
  </si>
  <si>
    <t>✔ استبيان تصميم</t>
  </si>
  <si>
    <t>مقابلات مع مسؤولي العمليات</t>
  </si>
  <si>
    <t>ضوابط مصممة بشكل سيئ</t>
  </si>
  <si>
    <t>ورقة تقييم</t>
  </si>
  <si>
    <t>كشف العيوب</t>
  </si>
  <si>
    <t>ضعف المعرفة</t>
  </si>
  <si>
    <t>% الفجوات المحددة</t>
  </si>
  <si>
    <t>فحص تشغيل الضوابط</t>
  </si>
  <si>
    <t>العينات المختارة</t>
  </si>
  <si>
    <t>اختبار عملي</t>
  </si>
  <si>
    <t>فحص مستندات</t>
  </si>
  <si>
    <t>التحقق من تطبيق الضوابط</t>
  </si>
  <si>
    <t>✔ ورقة اختبارات</t>
  </si>
  <si>
    <t>فحص مستندات تنفيذ</t>
  </si>
  <si>
    <t>عدم الالتزام بالضوابط</t>
  </si>
  <si>
    <t>المراجع الميداني</t>
  </si>
  <si>
    <t>ورقة نتائج</t>
  </si>
  <si>
    <t>قلة أدلة</t>
  </si>
  <si>
    <t>% نسبة الالتزام</t>
  </si>
  <si>
    <t>تحليل نتائج الاختبارات</t>
  </si>
  <si>
    <t>الضوابط الرئيسية</t>
  </si>
  <si>
    <t>تحليل</t>
  </si>
  <si>
    <t>تقييم فاعلية النظام</t>
  </si>
  <si>
    <t>✔ ورقة تحليل</t>
  </si>
  <si>
    <t>تحليل انحرافات النتائج</t>
  </si>
  <si>
    <t>فشل النظام</t>
  </si>
  <si>
    <t>تحسين الضوابط</t>
  </si>
  <si>
    <t>سوء التقدير</t>
  </si>
  <si>
    <t>% فعالية الضوابط</t>
  </si>
  <si>
    <t>توثيق الفحص</t>
  </si>
  <si>
    <t>نظام الأرشفة</t>
  </si>
  <si>
    <t>إدخال الكتروني</t>
  </si>
  <si>
    <t>ملف رقابة</t>
  </si>
  <si>
    <t>توثيق نتائج التقييم</t>
  </si>
  <si>
    <t>✔ قائمة مرفقات</t>
  </si>
  <si>
    <t>إدخال النتائج في النظام</t>
  </si>
  <si>
    <t>فقد التوثيق</t>
  </si>
  <si>
    <t>سهولة الرجوع</t>
  </si>
  <si>
    <t>نسيان الإرفاق</t>
  </si>
  <si>
    <t>اعتماد من الشريك</t>
  </si>
  <si>
    <t>اعتماد</t>
  </si>
  <si>
    <t>نموذج توقيع</t>
  </si>
  <si>
    <t>اعتماد رسمي</t>
  </si>
  <si>
    <t>✔ نموذج توقيع</t>
  </si>
  <si>
    <t>توقيع إلكتروني</t>
  </si>
  <si>
    <t>غياب الاعتماد</t>
  </si>
  <si>
    <t>تقرير موجز</t>
  </si>
  <si>
    <t>الإدارة</t>
  </si>
  <si>
    <t>إصدار</t>
  </si>
  <si>
    <t>نموذج تقرير</t>
  </si>
  <si>
    <t>تقديم النتائج للإدارة</t>
  </si>
  <si>
    <t>✔ تقرير رقابة</t>
  </si>
  <si>
    <t>إعداد التقرير النهائي</t>
  </si>
  <si>
    <t>عدم تسليم التقرير</t>
  </si>
  <si>
    <t>تقرير رقابة</t>
  </si>
  <si>
    <t>تحسين النظام</t>
  </si>
  <si>
    <t>تأخير</t>
  </si>
  <si>
    <t>% التقارير المسلمة</t>
  </si>
  <si>
    <t>ضمان دقة المعالجات الآلية</t>
  </si>
  <si>
    <t>✔ نموذج اختبار ✔ سجل ضوابط</t>
  </si>
  <si>
    <t>تجربة إدخال بيانات – فحص سجلات الاستخدام</t>
  </si>
  <si>
    <t>اختراق إلكتروني</t>
  </si>
  <si>
    <t>تقرير اختبار</t>
  </si>
  <si>
    <t>ضمان موثوقية</t>
  </si>
  <si>
    <t>قصور سيبراني</t>
  </si>
  <si>
    <t>% الثغرات المكتشفة</t>
  </si>
  <si>
    <t>فحص صحة المدخلات</t>
  </si>
  <si>
    <t>شاشات الإدخال</t>
  </si>
  <si>
    <t>تجريبي</t>
  </si>
  <si>
    <t>التحقق من سلامة الإدخال</t>
  </si>
  <si>
    <t>✔ سجل اختبار</t>
  </si>
  <si>
    <t>إدخال بيانات مزيفة</t>
  </si>
  <si>
    <t>أخطاء إدخال</t>
  </si>
  <si>
    <t>فريق IT</t>
  </si>
  <si>
    <t>تحقق دقة</t>
  </si>
  <si>
    <t>إدخالات ناقصة</t>
  </si>
  <si>
    <t>% الإدخالات الصحيحة</t>
  </si>
  <si>
    <t>فحص تقارير النظام</t>
  </si>
  <si>
    <t>تقارير النظام</t>
  </si>
  <si>
    <t>مخرجات النظام</t>
  </si>
  <si>
    <t>التحقق من موثوقية التقارير</t>
  </si>
  <si>
    <t>✔ سجل مقارنة</t>
  </si>
  <si>
    <t>مقارنة بالتقارير المالية</t>
  </si>
  <si>
    <t>تقارير غير دقيقة</t>
  </si>
  <si>
    <t>ورقة مقارنة</t>
  </si>
  <si>
    <t>فقد بيانات</t>
  </si>
  <si>
    <t>% دقة المخرجات</t>
  </si>
  <si>
    <t>فحص المستخدمين</t>
  </si>
  <si>
    <t>صلاحيات النظام</t>
  </si>
  <si>
    <t>ملاحظة</t>
  </si>
  <si>
    <t>قائمة مستخدمين</t>
  </si>
  <si>
    <t>ضمان صلاحيات مناسبة</t>
  </si>
  <si>
    <t>✔ سجل وصول</t>
  </si>
  <si>
    <t>مراجعة الصلاحيات</t>
  </si>
  <si>
    <t>صلاحيات زائدة</t>
  </si>
  <si>
    <t>تقرير صلاحيات</t>
  </si>
  <si>
    <t>حماية البيانات</t>
  </si>
  <si>
    <t>تأخير تحديث الصلاحيات</t>
  </si>
  <si>
    <t>% المستخدمين المحدثين</t>
  </si>
  <si>
    <t>إدخال النتائج</t>
  </si>
  <si>
    <t>يدوي</t>
  </si>
  <si>
    <t>نموذج نتائج</t>
  </si>
  <si>
    <t>حفظ نتائج الاختبار</t>
  </si>
  <si>
    <t>إدخال في النظام</t>
  </si>
  <si>
    <t>فقد نتائج</t>
  </si>
  <si>
    <t>ملف نتائج</t>
  </si>
  <si>
    <t>اعتماد من المراجع</t>
  </si>
  <si>
    <t>إبلاغ الإدارة بالنتائج</t>
  </si>
  <si>
    <t>✔ تقرير اختبار</t>
  </si>
  <si>
    <t>التأكد من صحة الأرصدة</t>
  </si>
  <si>
    <t>✔ خطابات تأكيد ✔ كشف أعمار الديون</t>
  </si>
  <si>
    <t>طلب تأكيدات خارجية – مراجعة أعمار الديون</t>
  </si>
  <si>
    <t>خطابات تأكيد</t>
  </si>
  <si>
    <t>دليل خارجي مستقل</t>
  </si>
  <si>
    <t>ضعف استجابة</t>
  </si>
  <si>
    <t>% التأكيدات المستلمة</t>
  </si>
  <si>
    <t>طلب تأكيدات خارجية</t>
  </si>
  <si>
    <t>العملاء</t>
  </si>
  <si>
    <t>اختيار عينة</t>
  </si>
  <si>
    <t>الحصول على تأكيدات مباشرة</t>
  </si>
  <si>
    <t>✔ خطابات تأكيد</t>
  </si>
  <si>
    <t>إرسال ومتابعة التأكيدات</t>
  </si>
  <si>
    <t>عدم استجابة</t>
  </si>
  <si>
    <t>فريق الميدان</t>
  </si>
  <si>
    <t>خطابات موقعة</t>
  </si>
  <si>
    <t>دليل خارجي</t>
  </si>
  <si>
    <t>ضعف الردود</t>
  </si>
  <si>
    <t>مراجعة أعمار الديون</t>
  </si>
  <si>
    <t>كشف العملاء</t>
  </si>
  <si>
    <t>كشف أعمار</t>
  </si>
  <si>
    <t>تقييم التحصيلية</t>
  </si>
  <si>
    <t>✔ كشف أعمار</t>
  </si>
  <si>
    <t>تحليل الديون المتأخرة</t>
  </si>
  <si>
    <t>عدم تكوين مخصص</t>
  </si>
  <si>
    <t>كشف الديون</t>
  </si>
  <si>
    <t>% الديون المتأخرة محللة</t>
  </si>
  <si>
    <t>فحص تكوين المخصصات</t>
  </si>
  <si>
    <t>الديون المشكوك فيها</t>
  </si>
  <si>
    <t>سجلات مالية</t>
  </si>
  <si>
    <t>التأكد من كفاية المخصص</t>
  </si>
  <si>
    <t>✔ ورقة مخصص</t>
  </si>
  <si>
    <t>تحليل مقارنة بالماضي</t>
  </si>
  <si>
    <t>عدم كفاية المخصص</t>
  </si>
  <si>
    <t>ورقة مخصص</t>
  </si>
  <si>
    <t>تحوط مالي</t>
  </si>
  <si>
    <t>ضعف تقدير</t>
  </si>
  <si>
    <t>% كفاية المخصصات</t>
  </si>
  <si>
    <t>حفظ النتائج</t>
  </si>
  <si>
    <t>✔ قائمة نتائج</t>
  </si>
  <si>
    <t>✔ تقرير تفصيلي</t>
  </si>
  <si>
    <t>تقرير مراجعة</t>
  </si>
  <si>
    <t>تحسين القرارات</t>
  </si>
  <si>
    <t>إبداء الرأي الفني المحايد</t>
  </si>
  <si>
    <t>إصدار تقرير غير ملائم</t>
  </si>
  <si>
    <t>ثقة الأطراف</t>
  </si>
  <si>
    <t>صعوبة التواصل</t>
  </si>
  <si>
    <t>% التقارير في الوقت</t>
  </si>
  <si>
    <t>صياغة مسودة التقرير</t>
  </si>
  <si>
    <t>إعداد مسودة للعرض</t>
  </si>
  <si>
    <t>✔ مسودة تقرير</t>
  </si>
  <si>
    <t>صياغة التقرير</t>
  </si>
  <si>
    <t>تحضير جيد</t>
  </si>
  <si>
    <t>كثرة تعديلات</t>
  </si>
  <si>
    <t>% الملاحظات المغلقة</t>
  </si>
  <si>
    <t>مناقشة مع الإدارة</t>
  </si>
  <si>
    <t>الإدارة العليا</t>
  </si>
  <si>
    <t>محضر اجتماع</t>
  </si>
  <si>
    <t>مناقشة النتائج والآثار</t>
  </si>
  <si>
    <t>عرض النقاط الرئيسية</t>
  </si>
  <si>
    <t>سوء الفهم</t>
  </si>
  <si>
    <t>محضر موقع</t>
  </si>
  <si>
    <t>اختلافات كبيرة</t>
  </si>
  <si>
    <t>% نقاط الاتفاق</t>
  </si>
  <si>
    <t>اعتماد نهائي</t>
  </si>
  <si>
    <t>نسخة PDF</t>
  </si>
  <si>
    <t>تسليم النسخة النهائية</t>
  </si>
  <si>
    <t>✔ نسخة PDF</t>
  </si>
  <si>
    <t>إرسال النسخة النهائية</t>
  </si>
  <si>
    <t>عدم التسليم</t>
  </si>
  <si>
    <t>نسخة تقرير</t>
  </si>
  <si>
    <t>الامتثال للمواعيد</t>
  </si>
  <si>
    <t>% النسخ المسلمة</t>
  </si>
  <si>
    <t>إرسال التقرير</t>
  </si>
  <si>
    <t>الجهات الخارجية</t>
  </si>
  <si>
    <t>إرسال</t>
  </si>
  <si>
    <t>بريد إلكتروني</t>
  </si>
  <si>
    <t>إبلاغ الجهات المعنية</t>
  </si>
  <si>
    <t>✔ قائمة مرسلين</t>
  </si>
  <si>
    <t>عدم الاستلام</t>
  </si>
  <si>
    <t>إثبات إرسال</t>
  </si>
  <si>
    <t>تغيير البريد</t>
  </si>
  <si>
    <t>% الإيصالات المؤكدة</t>
  </si>
  <si>
    <t>حفظ نسخة التقرير</t>
  </si>
  <si>
    <t>ملف المهمة</t>
  </si>
  <si>
    <t>حفظ إلكتروني</t>
  </si>
  <si>
    <t>ملف PDF</t>
  </si>
  <si>
    <t>سياسة حفظ التقارير</t>
  </si>
  <si>
    <t>سهولة الرجوع لاحقًا</t>
  </si>
  <si>
    <t>✔ سجل حفظ</t>
  </si>
  <si>
    <t>حفظ في النظام</t>
  </si>
  <si>
    <t>ضياع التقرير</t>
  </si>
  <si>
    <t>ملف محفوظ</t>
  </si>
  <si>
    <t>سهولة الوصول</t>
  </si>
  <si>
    <t>نسيان الحفظ</t>
  </si>
  <si>
    <t>% التقارير المحفوظة</t>
  </si>
  <si>
    <t>الامتثال للتشريعات</t>
  </si>
  <si>
    <t>% الملفات المؤرشفة – % الأوراق الموقعة</t>
  </si>
  <si>
    <t>مراجعة استكمال الملف</t>
  </si>
  <si>
    <t>التحقق من اكتمال أوراق العمل</t>
  </si>
  <si>
    <t>قائمة مراجعة</t>
  </si>
  <si>
    <t>التأكد من اكتمال الأوراق والتوقيعات</t>
  </si>
  <si>
    <t>✔ قائمة مراجعة</t>
  </si>
  <si>
    <t>مراجعة المحتويات وإقفال الملاحظات</t>
  </si>
  <si>
    <t>فقد مستندات</t>
  </si>
  <si>
    <t>قائمة تحقق موقعة</t>
  </si>
  <si>
    <t>ضبط الجودة</t>
  </si>
  <si>
    <t>سهو في الإرفاق</t>
  </si>
  <si>
    <t>% اكتمال الملف</t>
  </si>
  <si>
    <t>إغلاق المهمة</t>
  </si>
  <si>
    <t>إصدار قرار الإغلاق</t>
  </si>
  <si>
    <t>مهمة المراجعة</t>
  </si>
  <si>
    <t>نموذج إغلاق</t>
  </si>
  <si>
    <t>اعتماد قرار الإغلاق وحفظ الملف</t>
  </si>
  <si>
    <t>✔ نموذج إغلاق</t>
  </si>
  <si>
    <t>توثيق قرار الإغلاق النهائي</t>
  </si>
  <si>
    <t>عدم التوثيق</t>
  </si>
  <si>
    <t>قرار إغلاق</t>
  </si>
  <si>
    <t>وضوح المسؤوليات</t>
  </si>
  <si>
    <t>تأخر الاعتماد</t>
  </si>
  <si>
    <t>% المهام المغلقة</t>
  </si>
  <si>
    <t>تقييم نظام الرقابة الداخلية</t>
  </si>
  <si>
    <t>التوثيق والجودة والاسترجاع</t>
  </si>
  <si>
    <t>الأكواد المجمعة في المرحلة</t>
  </si>
  <si>
    <t>C,P,D</t>
  </si>
  <si>
    <t>A,C,D</t>
  </si>
  <si>
    <t>C,P,A,D</t>
  </si>
  <si>
    <t>أسماء الأهداف المجمعة</t>
  </si>
  <si>
    <t>الالتزام الأخلاقي والنزاهة ؛ التخطيط المهني الفعّال ؛ التوثيق والجودة والاسترجاع</t>
  </si>
  <si>
    <t>الالتزام الأخلاقي والنزاهة ؛ التوثيق والجودة والاسترجاع</t>
  </si>
  <si>
    <t>التخطيط المهني الفعّال ؛ التوثيق والجودة والاسترجاع</t>
  </si>
  <si>
    <t>تقييم نظام الرقابة الداخلية ؛ التخطيط المهني الفعّال ؛ التوثيق والجودة والاسترجاع</t>
  </si>
  <si>
    <t>تقييم نظام الرقابة الداخلية ؛ التخطيط المهني الفعّال ؛ الحصول على أدلة كافية وملائمة ؛ التوثيق والجودة والاسترجاع</t>
  </si>
  <si>
    <t>تقييم نظام الرقابة الداخلية ؛ التوثيق والجودة والاسترجاع</t>
  </si>
  <si>
    <t>تقييم نظام الرقابة الداخلية ؛ الحصول على أدلة كافية وملائمة ؛ التوثيق والجودة والاسترجاع</t>
  </si>
  <si>
    <t>الحصول على أدلة كافية وملائمة ؛ تقييم نظام الرقابة الداخلية ؛ التوثيق والجودة والاسترجاع</t>
  </si>
  <si>
    <t>الحصول على أدلة كافية وملائمة ؛ التقييم وإبداء الرأي ؛ التوثيق والجودة والاسترجاع</t>
  </si>
  <si>
    <t>التقييم وإبداء الرأي ؛ التوثيق والجودة والاسترجاع</t>
  </si>
  <si>
    <t>التوثيق والجودة والاسترجاع ؛ الالتزام الأخلاقي والنزاهة</t>
  </si>
  <si>
    <t>الإلتزام الأخلاقي والنزاهة</t>
  </si>
  <si>
    <t>التخطيط المهني الفعال</t>
  </si>
  <si>
    <t>الحصول علي ادلة كافية وملائمة</t>
  </si>
  <si>
    <t>التقييم وابداء الرأي</t>
  </si>
  <si>
    <t>مدي تغطية كل مرحلة من مراحل المراجعة لاهداف المراجعة المحددة</t>
  </si>
  <si>
    <t>حالة التنفيذ</t>
  </si>
  <si>
    <t>عدد الأهداف المجمعة =(عدد الاكواد المجمعة في العامود d)</t>
  </si>
  <si>
    <t>مجموع الوزن النسبي (%) =( مجموع التغطية في كل مرحلة)=المستهدف</t>
  </si>
  <si>
    <t>الفعلي</t>
  </si>
  <si>
    <t>الفجوة % =المستهدف % (عامود F) - (الفعلي)</t>
  </si>
  <si>
    <t>ISA 505 ؛ ISA 500</t>
  </si>
  <si>
    <t>ISA 700 ؛ ISA 705 ؛ ISA 706</t>
  </si>
  <si>
    <t>ISA 700 ؛ ISA 705</t>
  </si>
  <si>
    <t>ISA 260 ؛ ISA 265</t>
  </si>
  <si>
    <t>ISA 700 ؛ ISA 706</t>
  </si>
  <si>
    <t>الموجودات</t>
  </si>
  <si>
    <t>الموجودات المتداولة</t>
  </si>
  <si>
    <t>صندوق رئيسي</t>
  </si>
  <si>
    <t>بنك الراجحي</t>
  </si>
  <si>
    <t>بنك الأهلي</t>
  </si>
  <si>
    <t>مشروع إنشاءات الرياض</t>
  </si>
  <si>
    <t>مشروع صيانة جدة</t>
  </si>
  <si>
    <t>العميل أحمد</t>
  </si>
  <si>
    <t>العميل محمد</t>
  </si>
  <si>
    <t>مخزن الرياض</t>
  </si>
  <si>
    <t>مخزن جدة</t>
  </si>
  <si>
    <t>شركة شقيقة أ</t>
  </si>
  <si>
    <t>أدوات مكتبية</t>
  </si>
  <si>
    <t>الموجودات غير المتداولة</t>
  </si>
  <si>
    <t>برامج حاسوبية</t>
  </si>
  <si>
    <t>براءات اختراع</t>
  </si>
  <si>
    <t>سيارات إيجار تمويلي</t>
  </si>
  <si>
    <t>أسهم شركات مدرجة</t>
  </si>
  <si>
    <t>سندات حكومية</t>
  </si>
  <si>
    <t>أدوات دين قابلة للبيع</t>
  </si>
  <si>
    <t>تكاليف تمويل مؤجلة</t>
  </si>
  <si>
    <t>رسوم تأسيس</t>
  </si>
  <si>
    <t>دراسات جدوى</t>
  </si>
  <si>
    <t>مباني</t>
  </si>
  <si>
    <t>سيارات</t>
  </si>
  <si>
    <t>ماشية</t>
  </si>
  <si>
    <t>مزارع نخيل</t>
  </si>
  <si>
    <t>عقد إيجار مبنى إداري</t>
  </si>
  <si>
    <t>شهرة منشأة مدمجة</t>
  </si>
  <si>
    <t>المطلوبات</t>
  </si>
  <si>
    <t>المطلوبات المتداولة</t>
  </si>
  <si>
    <t>المورد سالم</t>
  </si>
  <si>
    <t>المورد خالد</t>
  </si>
  <si>
    <t>مستحقات حكومية</t>
  </si>
  <si>
    <t>شركاء</t>
  </si>
  <si>
    <t>عقد سيارات</t>
  </si>
  <si>
    <t>قرض جاري من بنك</t>
  </si>
  <si>
    <t>قرض طويل الأجل مستحق</t>
  </si>
  <si>
    <t>رواتب مستحقة</t>
  </si>
  <si>
    <t>شيكات صادرة</t>
  </si>
  <si>
    <t>ضريبة مخرجات</t>
  </si>
  <si>
    <t>زكاة مستحقة</t>
  </si>
  <si>
    <t>المطلوبات غير المتداولة</t>
  </si>
  <si>
    <t>موظفي الإدارة</t>
  </si>
  <si>
    <t>عقد مبنى طويل الأجل</t>
  </si>
  <si>
    <t>قرض بنك تمويل قصير</t>
  </si>
  <si>
    <t>قرض بنك تمويل طويل</t>
  </si>
  <si>
    <t>مخصص قضايا</t>
  </si>
  <si>
    <t>حقوق الملكية</t>
  </si>
  <si>
    <t>الشريك خالد</t>
  </si>
  <si>
    <t>الشريك فهد</t>
  </si>
  <si>
    <t>احتياطي نظامي عام</t>
  </si>
  <si>
    <t>احتياطي اختياري عام</t>
  </si>
  <si>
    <t>احتياطي طوارئ</t>
  </si>
  <si>
    <t>إصدار أسهم إضافي</t>
  </si>
  <si>
    <t>أرباح سنوات سابقة</t>
  </si>
  <si>
    <t>الإيرادات</t>
  </si>
  <si>
    <t>مبيعات محلية</t>
  </si>
  <si>
    <t>مبيعات تصدير</t>
  </si>
  <si>
    <t>توزيعات أرباح</t>
  </si>
  <si>
    <t>عوائد ودائع بنكية</t>
  </si>
  <si>
    <t>حصة من نتائج الاستثمارات</t>
  </si>
  <si>
    <t>المصروفات</t>
  </si>
  <si>
    <t>حملات إعلانات</t>
  </si>
  <si>
    <t>معارض تسويقية</t>
  </si>
  <si>
    <t>مصاريف اتصالات</t>
  </si>
  <si>
    <t>بيع أصول ثابتة</t>
  </si>
  <si>
    <t>فوائد قروض</t>
  </si>
  <si>
    <t>مصاريف إغلاق مشاريع</t>
  </si>
  <si>
    <t>زكاة سنوية</t>
  </si>
  <si>
    <t>ضريبة أرباح</t>
  </si>
  <si>
    <t>فروقات تقييم</t>
  </si>
  <si>
    <t>إعادة قياس منافع الموظفين</t>
  </si>
  <si>
    <t>فروق إعادة احتساب</t>
  </si>
  <si>
    <t>المستوى</t>
  </si>
  <si>
    <t>المستوى الأول</t>
  </si>
  <si>
    <t>المستوى الثاني</t>
  </si>
  <si>
    <t>المستوى الثالث</t>
  </si>
  <si>
    <t>النقد وما في حكمه</t>
  </si>
  <si>
    <t>المستوى الرابع</t>
  </si>
  <si>
    <t>أعمال تحت التنفيذ</t>
  </si>
  <si>
    <t>ذمم وأرصدة مدينة تجارية</t>
  </si>
  <si>
    <t>المخزون السلعي (البضاعة)</t>
  </si>
  <si>
    <t>أصول غير ملموسة</t>
  </si>
  <si>
    <t>أصول بموجب عقود إيجار تمويلي</t>
  </si>
  <si>
    <t>استثمارات طويلة الأجل</t>
  </si>
  <si>
    <t>استثمارات متاحة للبيع</t>
  </si>
  <si>
    <t>مواد خام ومهمات</t>
  </si>
  <si>
    <t>مخزون مواد خام</t>
  </si>
  <si>
    <t>مهمات تشغيل</t>
  </si>
  <si>
    <t>إنتاج تحت التشغيل</t>
  </si>
  <si>
    <t>إنتاج تحت التشغيل خط 1</t>
  </si>
  <si>
    <t>إنتاج تحت التشغيل خط 2</t>
  </si>
  <si>
    <t>إنتاج تام</t>
  </si>
  <si>
    <t>مخزون إنتاج تام</t>
  </si>
  <si>
    <t>استثمارات في شركات تابعة</t>
  </si>
  <si>
    <t>استثمارات في شركات شقيقة</t>
  </si>
  <si>
    <t>مصاريف إيرادية مؤجلة</t>
  </si>
  <si>
    <t>مصاريف التأسيس ومشاريع تحت التنفيذ</t>
  </si>
  <si>
    <t>الممتلكات والآلات والمعدات</t>
  </si>
  <si>
    <t>الأصول الحيوية</t>
  </si>
  <si>
    <t>أصل حق الاستخدام</t>
  </si>
  <si>
    <t>شهرة المحل</t>
  </si>
  <si>
    <t>ذمم وأرصدة دائنة تجارية</t>
  </si>
  <si>
    <t>ذمم وأرصدة دائنة أخرى</t>
  </si>
  <si>
    <t>مستحق لأطراف ذات علاقة</t>
  </si>
  <si>
    <t>الجزء المتداول من التزامات إيجار تمويلي</t>
  </si>
  <si>
    <t>الجزء المتداول من قروض قصيرة الأجل</t>
  </si>
  <si>
    <t>الجزء المتداول من قروض طويلة الأجل</t>
  </si>
  <si>
    <t>مصروفات مستحقة</t>
  </si>
  <si>
    <t>أوراق دفع</t>
  </si>
  <si>
    <t>مخصص الزكاة والضريبة</t>
  </si>
  <si>
    <t>مخصص مكافأة ترك الخدمة</t>
  </si>
  <si>
    <t>الجزء غير المتداول من التزامات إيجار تمويلي</t>
  </si>
  <si>
    <t>الجزء غير المتداول من قروض قصيرة الأجل</t>
  </si>
  <si>
    <t>الجزء غير المتداول من قروض طويلة الأجل</t>
  </si>
  <si>
    <t>مخصصات أخرى</t>
  </si>
  <si>
    <t>ضريبة دخل مؤجلة</t>
  </si>
  <si>
    <t>ضريبة مؤجلة</t>
  </si>
  <si>
    <t>الاحتياطيات</t>
  </si>
  <si>
    <t>رأس المال الإضافي</t>
  </si>
  <si>
    <t>صافي الأرباح المبقاة</t>
  </si>
  <si>
    <t>إيرادات العمليات المستمرة</t>
  </si>
  <si>
    <t>مبيعات نقاط بيع</t>
  </si>
  <si>
    <t>خصومات مبيعات</t>
  </si>
  <si>
    <t>مردودات مبيعات</t>
  </si>
  <si>
    <t>إيرادات أخرى</t>
  </si>
  <si>
    <t>مصروفات العمليات المستمرة</t>
  </si>
  <si>
    <t>أجور مباشرة</t>
  </si>
  <si>
    <t>وقود تشغيل مصانع</t>
  </si>
  <si>
    <t>صيانة آلات إنتاج</t>
  </si>
  <si>
    <t>كهرباء مصانع</t>
  </si>
  <si>
    <t>مصروفات العمليات غير المستمرة</t>
  </si>
  <si>
    <t>الدخل الشامل الآخر</t>
  </si>
  <si>
    <t>معايير المراجعة (ISA)</t>
  </si>
  <si>
    <t>موارد خاضعة لسيطرة المنشأة ينتج عنها منافع اقتصادية مستقبلية</t>
  </si>
  <si>
    <t>مطالبات على العملاء مقابل مبيعات</t>
  </si>
  <si>
    <t>ذمة عميل محدد</t>
  </si>
  <si>
    <t>منتجات مكتملة غير مباعة</t>
  </si>
  <si>
    <t>IFRS 13</t>
  </si>
  <si>
    <t>IAS 16</t>
  </si>
  <si>
    <t>IFRS 16</t>
  </si>
  <si>
    <t>IAS 38</t>
  </si>
  <si>
    <t>IFRS 3</t>
  </si>
  <si>
    <t>IAS 36</t>
  </si>
  <si>
    <t>قياس بالتكلفة المطفأة</t>
  </si>
  <si>
    <t>ISA 250</t>
  </si>
  <si>
    <t>نظام العمل والتأمينات</t>
  </si>
  <si>
    <t>IAS 19</t>
  </si>
  <si>
    <t>IAS 12</t>
  </si>
  <si>
    <t>ISA 720</t>
  </si>
  <si>
    <t>ISA 550</t>
  </si>
  <si>
    <t>ISA 710</t>
  </si>
  <si>
    <t>ISA 240</t>
  </si>
  <si>
    <t>IAS 23</t>
  </si>
  <si>
    <t>المعايير المحلية (SOCPA)</t>
  </si>
  <si>
    <t>اللوائح والنُظم (السعودية)</t>
  </si>
  <si>
    <t>تصنيف متداول وغير متداول</t>
  </si>
  <si>
    <t>إطار العرض العام SOCPA</t>
  </si>
  <si>
    <t>ISA 315 / 330</t>
  </si>
  <si>
    <t>مراجعة هيكلية فقط دون أرصدة</t>
  </si>
  <si>
    <t>نظام الشركات السعودي</t>
  </si>
  <si>
    <t>لا توجد إفصاحات منفصلة</t>
  </si>
  <si>
    <t>أصول يتوقع بيعها أو استخدامها خلال 12 شهر</t>
  </si>
  <si>
    <t>قياس بالتكلفة أو صافي القيمة القابلة للتحقق</t>
  </si>
  <si>
    <t>IAS 1 / IAS 2</t>
  </si>
  <si>
    <t>مطابقة دورية وتحليل دورة التشغيل</t>
  </si>
  <si>
    <t>زكاة القيمة المضافة</t>
  </si>
  <si>
    <t>الإفصاح عن السياسات التصنيفية</t>
  </si>
  <si>
    <t>أرصدة نقدية ومعادلات نقدية عالية السيولة تستحق خلال 3 أشهر</t>
  </si>
  <si>
    <t>إثبات بالقيمة الاسمية، ضوابط جرد وصرف</t>
  </si>
  <si>
    <t>SOCPA للتقارير النقدية</t>
  </si>
  <si>
    <t>ISA 240 / 505</t>
  </si>
  <si>
    <t>مطابقة كشوف البنك، جرد مفاجئ للصندوق</t>
  </si>
  <si>
    <t>تعليمات البنك المركزي السعودي</t>
  </si>
  <si>
    <t>الإفصاح عن الأرصدة المقيدة</t>
  </si>
  <si>
    <t>نقدية فعلية بالمنشأة</t>
  </si>
  <si>
    <t>حدود عهدة، جرد مفاجئ، فصل العهد الشخصية</t>
  </si>
  <si>
    <t>سياسات SOCPA للنقدية</t>
  </si>
  <si>
    <t>فحص سندات الصرف، عد فعلي، مطابقة الرصيد</t>
  </si>
  <si>
    <t>لائحة الصرف النقدي</t>
  </si>
  <si>
    <t>الإفصاح عن العجز أو الفروقات</t>
  </si>
  <si>
    <t>ودائع جارية تحت الطلب</t>
  </si>
  <si>
    <t>مطابقة شهرية، صلاحيات توقيع مزدوج</t>
  </si>
  <si>
    <t>سياسات البنوك SOCPA</t>
  </si>
  <si>
    <t>مطابقة كشف البنك، مراجعة التسويات البنكية</t>
  </si>
  <si>
    <t>تعليمات البنك المركزي</t>
  </si>
  <si>
    <t>الإفصاح عن قيود السحب أو التسهيلات</t>
  </si>
  <si>
    <t>ودائع جارية بالبنك الأهلي</t>
  </si>
  <si>
    <t>مطابقة وتسويات بنكية شهرية</t>
  </si>
  <si>
    <t>مطابقة كشوف البنك، فحص التفويضات</t>
  </si>
  <si>
    <t>الإفصاح عن التسهيلات البنكية</t>
  </si>
  <si>
    <t>تكاليف مشاريع قيد الإنجاز قصيرة الأجل</t>
  </si>
  <si>
    <t>إثبات التكاليف وتحميل نسبة الإنجاز</t>
  </si>
  <si>
    <t>عقود الإنشاء والخدمات SOCPA</t>
  </si>
  <si>
    <t>فحص أوامر التشغيل، اعتماد نسب الإنجاز</t>
  </si>
  <si>
    <t>نظام المنافسات والمشتريات</t>
  </si>
  <si>
    <t>شرح منهج القياس المستخدم</t>
  </si>
  <si>
    <t>تكاليف مشروع إنشاءات</t>
  </si>
  <si>
    <t>نسبة إنجاز، تقييم بالتكلفة حتى الإنجاز</t>
  </si>
  <si>
    <t>سياسات عقود الإنشاء</t>
  </si>
  <si>
    <t>مطابقة العقود والفواتير وأوامر التشغيل</t>
  </si>
  <si>
    <t>نظام المنافسات</t>
  </si>
  <si>
    <t>الإفصاح عن نسب الإنجاز</t>
  </si>
  <si>
    <t>تكاليف مشروع صيانة</t>
  </si>
  <si>
    <t>الاعتراف بالتكاليف الفعلية فقط حتى الإنجاز</t>
  </si>
  <si>
    <t>سياسات عقود الخدمات</t>
  </si>
  <si>
    <t>فحص تقارير الإنجاز والفواتير</t>
  </si>
  <si>
    <t>الإفصاح عن العقود الجارية</t>
  </si>
  <si>
    <t>قياس بالقيمة المطفأة واحتساب خسائر ائتمانية متوقعة</t>
  </si>
  <si>
    <t>IAS 1 / IAS 32</t>
  </si>
  <si>
    <t>SOCPA للذمم التجارية</t>
  </si>
  <si>
    <t>ISA 505 / 540</t>
  </si>
  <si>
    <t>مصادقات العملاء، تحليل تقادم الذمم</t>
  </si>
  <si>
    <t>نظام الفوترة الإلكترونية (ZATCA)</t>
  </si>
  <si>
    <t>الإفصاح عن الذمم الجوهرية</t>
  </si>
  <si>
    <t>متابعة التحصيل ضمن دورة الائتمان</t>
  </si>
  <si>
    <t>سياسات التحصيل</t>
  </si>
  <si>
    <t>مصادقة الرصيد ومراجعة العقود</t>
  </si>
  <si>
    <t>النظام التجاري</t>
  </si>
  <si>
    <t>الإفصاح عن الذمم المتعثرة</t>
  </si>
  <si>
    <t>قياس بالقيمة المطفأة ومخصص ECL</t>
  </si>
  <si>
    <t>قواعد الائتمان</t>
  </si>
  <si>
    <t>مصادقات وتحليل تقادم</t>
  </si>
  <si>
    <t>مخزون محتفظ به للبيع ضمن النشاط العادي</t>
  </si>
  <si>
    <t>القياس بالتكلفة أو صافي القيمة القابلة للتحقق أيهما أقل</t>
  </si>
  <si>
    <t>SOCPA للمخزون</t>
  </si>
  <si>
    <t>حضور الجرد، اختبار القطع والتسعير</t>
  </si>
  <si>
    <t>لوائح الجرد</t>
  </si>
  <si>
    <t>ZATCA</t>
  </si>
  <si>
    <t>الإفصاح عن طريقة التسعير</t>
  </si>
  <si>
    <t>مخزون بضاعة في موقع الرياض</t>
  </si>
  <si>
    <t>تطبيق FIFO أو المتوسط المرجح</t>
  </si>
  <si>
    <t>سياسات المخزون</t>
  </si>
  <si>
    <t>حضور جرد الموقع، مطابقة البطاقات</t>
  </si>
  <si>
    <t>الإفصاح عن المخزون المرهون</t>
  </si>
  <si>
    <t>مخزون بضاعة في موقع جدة</t>
  </si>
  <si>
    <t>تقييم بالتكلفة أو NRV</t>
  </si>
  <si>
    <t>اختبار القصاصات والجرد الدوري</t>
  </si>
  <si>
    <t>الإفصاح عن طرق التسعير</t>
  </si>
  <si>
    <t>مواد أولية ومهمات تشغيلية</t>
  </si>
  <si>
    <t>قياس بالتكلفة أو NRV</t>
  </si>
  <si>
    <t>حضور الجرد وتتبع الصرف</t>
  </si>
  <si>
    <t>نظام التصنيع</t>
  </si>
  <si>
    <t>الإفصاح عن الفاقد والهالك</t>
  </si>
  <si>
    <t>مخزون مواد خام بالمخزن</t>
  </si>
  <si>
    <t>مطابقة أرصدة المخزون</t>
  </si>
  <si>
    <t>الإفصاح عن انخفاض القيمة</t>
  </si>
  <si>
    <t>أدوات ومهمات تستخدم في التشغيل</t>
  </si>
  <si>
    <t>تحميل كمخزون مستهلك عند الاستخدام</t>
  </si>
  <si>
    <t>فحص الاستهلاك الفعلي</t>
  </si>
  <si>
    <t>الإفصاح عن الفاقد</t>
  </si>
  <si>
    <t>منتجات لم تكتمل بعد</t>
  </si>
  <si>
    <t>تحميل المواد والأجور والتكاليف الصناعية</t>
  </si>
  <si>
    <t>SOCPA للتكاليف</t>
  </si>
  <si>
    <t>مطابقة أوامر الإنتاج</t>
  </si>
  <si>
    <t>نظام العمل الصناعي</t>
  </si>
  <si>
    <t>الإفصاح عن نسب الإتمام</t>
  </si>
  <si>
    <t>منتجات جارية بخط الإنتاج الأول</t>
  </si>
  <si>
    <t>تحميل فعلي للمواد والأجور والتكاليف الصناعية</t>
  </si>
  <si>
    <t>سياسات التكاليف</t>
  </si>
  <si>
    <t>مطابقة التكاليف مع الإنتاج الفعلي</t>
  </si>
  <si>
    <t>الإفصاح عن الفاقد الطبيعي</t>
  </si>
  <si>
    <t>منتجات جارية بخط الإنتاج الثاني</t>
  </si>
  <si>
    <t>القياس بالتكلفة أو NRV أيهما أقل</t>
  </si>
  <si>
    <t>اختبارات القطع والقصاصات</t>
  </si>
  <si>
    <t>الإفصاح عن طريقة التقييم</t>
  </si>
  <si>
    <t>منتجات مكتملة جاهزة للبيع</t>
  </si>
  <si>
    <t>التكلفة أو NRV أيهما أقل</t>
  </si>
  <si>
    <t>حضور الجرد واختبار التسعير</t>
  </si>
  <si>
    <t>الإفصاح عن NRV</t>
  </si>
  <si>
    <t>أصول يُتوقع استخدامها أو الاحتفاظ بها لأكثر من 12 شهر</t>
  </si>
  <si>
    <t>نموذج التكلفة أو إعادة التقييم</t>
  </si>
  <si>
    <t>فحص وجود وتصنيف الأصول طويلة الأجل</t>
  </si>
  <si>
    <t>الإفصاح عن أسس التصنيف وطبيعة الأصول</t>
  </si>
  <si>
    <t>أصول ليس لها جوهر مادي وتُستخدم لفترات طويلة</t>
  </si>
  <si>
    <t>رسملة عند توافر المعايير ثم إطفاء أو اختبار هبوط</t>
  </si>
  <si>
    <t>سياسات رسملة وتقييم الأصول غير الملموسة</t>
  </si>
  <si>
    <t>SOCPA</t>
  </si>
  <si>
    <t>مراجعة عقود الملكية الفكرية؛ اختبار الهبوط</t>
  </si>
  <si>
    <t>نظام الملكية الفكرية</t>
  </si>
  <si>
    <t>الإفصاح عن أعمار الإطفاء والمنهج</t>
  </si>
  <si>
    <t>أصول برمجية تُستخدم في التشغيل والإدارة</t>
  </si>
  <si>
    <t>رسملة التكاليف المباشرة وإطفاء على العمر النافع</t>
  </si>
  <si>
    <t>سياسات الرسملة والإطفاء</t>
  </si>
  <si>
    <t>مراجعة فواتير الترخيص وجدولة الإطفاء</t>
  </si>
  <si>
    <t>نظام حماية حقوق المؤلف</t>
  </si>
  <si>
    <t>الإفصاح عن العمر الإنتاجي وطريقة الإطفاء</t>
  </si>
  <si>
    <t>حقوق ملكية فكرية مسجلة قانوناً</t>
  </si>
  <si>
    <t>رسملة عند الشراء وإطفاء على العمر النافع</t>
  </si>
  <si>
    <t>سياسات الملكية الفكرية</t>
  </si>
  <si>
    <t>فحص عقود الملكية وسندات التسجيل</t>
  </si>
  <si>
    <t>الإفصاح عن القيود القانونية أو الرهون</t>
  </si>
  <si>
    <t>أصول ثابتة مستأجرة طويلة الأجل</t>
  </si>
  <si>
    <t>إثبات أصل حق الاستخدام والتزام إيجار</t>
  </si>
  <si>
    <t>سياسات عقود الإيجار</t>
  </si>
  <si>
    <t>فحص عقود الإيجار وحساب الفوائد الضمنية</t>
  </si>
  <si>
    <t>نظام الإيجارات</t>
  </si>
  <si>
    <t>الإفصاح عن آجال الاستحقاق والضمانات</t>
  </si>
  <si>
    <t>أصول سيارات مؤجرة بعقود تمويلية</t>
  </si>
  <si>
    <t>إثبات أصل ROU واستهلاكه وإثبات الالتزام</t>
  </si>
  <si>
    <t>سياسات الإيجار</t>
  </si>
  <si>
    <t>فحص عقود السيارات والتأكد من مدة العقد</t>
  </si>
  <si>
    <t>نظام المرور</t>
  </si>
  <si>
    <t>الإفصاح عن الاستحقاقات قصيرة وطويلة الأجل</t>
  </si>
  <si>
    <t>استثمارات مالية وملكية في شركات أخرى</t>
  </si>
  <si>
    <t>قياس وفق التصنيف (FVOCI/FVTPL أو طريقة حقوق الملكية)</t>
  </si>
  <si>
    <t>سياسات الاستثمار</t>
  </si>
  <si>
    <t>ISA 540 / 500</t>
  </si>
  <si>
    <t>فحص تقييمات القيمة العادلة ومصادقات أمناء الحفظ</t>
  </si>
  <si>
    <t>لوائح هيئة السوق المالية</t>
  </si>
  <si>
    <t>الإفصاح عن طبيعة الاستثمار ومستوى القياس</t>
  </si>
  <si>
    <t>استثمارات في أدوات حقوق ملكية مدرجة</t>
  </si>
  <si>
    <t>القياس بالقيمة العادلة من خلال الدخل الشامل الآخر (FVOCI)</t>
  </si>
  <si>
    <t>فحص أسعار السوق وإشعارات التملك</t>
  </si>
  <si>
    <t>الإفصاح عن التغيرات في القيمة العادلة</t>
  </si>
  <si>
    <t>أدوات دين محتفظ بها حتى الاستحقاق</t>
  </si>
  <si>
    <t>القياس بالتكلفة المطفأة واحتساب الفوائد الفعلية</t>
  </si>
  <si>
    <t>إعادة احتساب الفوائد ومطابقة العقود</t>
  </si>
  <si>
    <t>لوائح البنك المركزي</t>
  </si>
  <si>
    <t>الإفصاح عن آجال الاستحقاق والعوائد</t>
  </si>
  <si>
    <t>ملكية تحقق السيطرة على الشركة المستثمر بها</t>
  </si>
  <si>
    <t>طريقة حقوق الملكية عند العرض في القوائم المنفصلة</t>
  </si>
  <si>
    <t>سياسات الشركات التابعة</t>
  </si>
  <si>
    <t>فحص القوائم المالية للتابعة وتوحيد البيانات</t>
  </si>
  <si>
    <t>الإفصاح عن نسب الملكية وطبيعة السيطرة</t>
  </si>
  <si>
    <t>ملكية تحقق تأثير جوهري دون سيطرة</t>
  </si>
  <si>
    <t>سياسات الشركات الشقيقة</t>
  </si>
  <si>
    <t>فحص القوائم المالية للشقيقة ومتابعة التأثير الجوھري</t>
  </si>
  <si>
    <t>الإفصاح عن نسب الملكية وطبيعة التأثير</t>
  </si>
  <si>
    <t>استثمارات مالية غير محتفظ بها للتداول ولا حتى الاستحقاق</t>
  </si>
  <si>
    <t>قياس بالقيمة العادلة من خلال الدخل الشامل الآخر (FVOCI)</t>
  </si>
  <si>
    <t>الإفصاح عن الأرباح والخسائر غير المحققة</t>
  </si>
  <si>
    <t>استثمارات قابلة للبيع في أدوات دين</t>
  </si>
  <si>
    <t>مطابقة الأسعار السوقية</t>
  </si>
  <si>
    <t>الإفصاح عن مخاطر سعر الفائدة والائتمان</t>
  </si>
  <si>
    <t>مصاريف تخص فترات مستقبلية</t>
  </si>
  <si>
    <t>رسملة التكاليف المؤجلة ثم إطفاؤها تدريجياً</t>
  </si>
  <si>
    <t>فحص جداول الإطفاء والفواتير</t>
  </si>
  <si>
    <t>نظام المحاسبة المالية</t>
  </si>
  <si>
    <t>الإفصاح عن أسباب الرسملة</t>
  </si>
  <si>
    <t>تكاليف مرتبطة بقروض طويلة الأجل</t>
  </si>
  <si>
    <t>رسملة تكاليف المعاملة ضمن القروض ثم إطفاؤها على المدة</t>
  </si>
  <si>
    <t>سياسات القروض</t>
  </si>
  <si>
    <t>إعادة احتساب الفوائد الفعلية</t>
  </si>
  <si>
    <t>الإفصاح عن سياسات الرسملة</t>
  </si>
  <si>
    <t>تكاليف تأسيس كيانات أو مشاريع طويلة الأجل</t>
  </si>
  <si>
    <t>رسملة التكاليف المباشرة ثم توزيعها لاحقاً</t>
  </si>
  <si>
    <t>سياسات الرسملة</t>
  </si>
  <si>
    <t>فحص فواتير ورسوم التأسيس</t>
  </si>
  <si>
    <t>الإفصاح عن التكاليف المؤجلة وطبيعتها</t>
  </si>
  <si>
    <t>رسوم حكومية لتأسيس منشأة</t>
  </si>
  <si>
    <t>رسملة ضمن مصاريف تأسيس ثم توزيعها على السنوات الأولى</t>
  </si>
  <si>
    <t>سياسات التأسيس</t>
  </si>
  <si>
    <t>فحص سندات السداد</t>
  </si>
  <si>
    <t>الإفصاح عن طريقة المعالجة</t>
  </si>
  <si>
    <t>دراسات أولية لمشاريع تحت التنفيذ</t>
  </si>
  <si>
    <t>رسملة الدراسات المؤكدة وجدواها مثبتة</t>
  </si>
  <si>
    <t>فحص نتائج الدراسات والتقارير</t>
  </si>
  <si>
    <t>نظام الاستثمار</t>
  </si>
  <si>
    <t>الإفصاح عن المنهج والنتائج المتوقعة</t>
  </si>
  <si>
    <t>أصول ملموسة طويلة الأجل تستخدم في الإنتاج أو الإدارة</t>
  </si>
  <si>
    <t>نموذج التكلفة أو إعادة التقييم واستهلاك منتظم</t>
  </si>
  <si>
    <t>سياسات الأصول الثابتة</t>
  </si>
  <si>
    <t>ISA 501 / 540</t>
  </si>
  <si>
    <t>جرد فعلي ومطابقة سجل الأصول واختبار هبوط</t>
  </si>
  <si>
    <t>نظام التسجيل والترخيص</t>
  </si>
  <si>
    <t>الإفصاح عن معدلات الإهلاك ونموذج القياس</t>
  </si>
  <si>
    <t>مبانٍ مملوكة تستخدم للأغراض التشغيلية</t>
  </si>
  <si>
    <t>الاستهلاك على العمر النافع ومراجعة القيمة المتبقية</t>
  </si>
  <si>
    <t>سياسات الإهلاك</t>
  </si>
  <si>
    <t>فحص عقود التملك وجرد المباني</t>
  </si>
  <si>
    <t>نظام التسجيل العقاري</t>
  </si>
  <si>
    <t>الإفصاح عن الإهلاك والقيود على الأصول</t>
  </si>
  <si>
    <t>مركبات مملوكة تستخدم في التشغيل</t>
  </si>
  <si>
    <t>فحص رخص السير والتأمين</t>
  </si>
  <si>
    <t>الإفصاح عن القيمة الدفترية ومعدل الإهلاك</t>
  </si>
  <si>
    <t>أصول حية تستخدم في الإنتاج الزراعي أو الحيواني</t>
  </si>
  <si>
    <t>القياس بالقيمة العادلة ناقص تكاليف البيع</t>
  </si>
  <si>
    <t>IAS 41</t>
  </si>
  <si>
    <t>سياسات الأصول الحيوية</t>
  </si>
  <si>
    <t>مطابقة الجرد الفعلي والتقييمات</t>
  </si>
  <si>
    <t>نظام الزراعة</t>
  </si>
  <si>
    <t>الإفصاح عن الأساليب التقييمية</t>
  </si>
  <si>
    <t>أصول حيوانية لإنتاج الألبان أو اللحوم</t>
  </si>
  <si>
    <t>فحص تقارير الطبيب البيطري والتقييمات</t>
  </si>
  <si>
    <t>الإفصاح عن الفرضيات التقييمية</t>
  </si>
  <si>
    <t>أصول نباتية لإنتاج التمور</t>
  </si>
  <si>
    <t>مطابقة الإنتاج الفعلي بالتقارير الزراعية</t>
  </si>
  <si>
    <t>الإفصاح عن التغير في القيمة العادلة</t>
  </si>
  <si>
    <t>حق استخدام أصل مستأجر طويل الأجل</t>
  </si>
  <si>
    <t>إثبات أصل ROU والتزام إيجار وإطفاؤه</t>
  </si>
  <si>
    <t>فحص عقود الإيجار وجداول السداد</t>
  </si>
  <si>
    <t>حق استخدام مبنى إداري</t>
  </si>
  <si>
    <t>إثبات أصل ROU وإطفاؤه</t>
  </si>
  <si>
    <t>فحص عقود الإيجار وإعادة احتساب الإطفاء</t>
  </si>
  <si>
    <t>الإفصاح عن الالتزامات طويلة الأجل</t>
  </si>
  <si>
    <t>زيادة تكلفة الاستحواذ عن صافي الأصول</t>
  </si>
  <si>
    <t>عدم استهلاكها واختبار هبوط سنوي</t>
  </si>
  <si>
    <t>سياسات الشهرة</t>
  </si>
  <si>
    <t>مراجعة نماذج اختبار الهبوط والافتراضات</t>
  </si>
  <si>
    <t>نظام الاستحواذ</t>
  </si>
  <si>
    <t>الإفصاح عن الفرضيات الأساسية</t>
  </si>
  <si>
    <t>شهرة ناتجة عن استحواذ</t>
  </si>
  <si>
    <t>اختبار هبوط سنوي أو عند مؤشرات هبوط</t>
  </si>
  <si>
    <t>فحص تقارير تقييم CGU</t>
  </si>
  <si>
    <t>الإفصاح عن معدلات الخصم والنمو</t>
  </si>
  <si>
    <t>التزامات حالية على المنشأة تنشأ من أحداث سابقة</t>
  </si>
  <si>
    <t>تصنيف متداولة وغير متداولة</t>
  </si>
  <si>
    <t>فحص التصنيف العام فقط</t>
  </si>
  <si>
    <t>التزامات تُسدد خلال 12 شهر من نهاية الفترة</t>
  </si>
  <si>
    <t>الاعتراف عند نشوء الالتزام وقياس بالتكلفة المطفأة</t>
  </si>
  <si>
    <t>عرض الالتزامات المتداولة SOCPA</t>
  </si>
  <si>
    <t>مطابقة الالتزامات مع السداد اللاحق</t>
  </si>
  <si>
    <t>التزامات للموردين عن سلع وخدمات تم استلامها</t>
  </si>
  <si>
    <t>الاعتراف عند الاستلام وقياس بالتكلفة المطفأة</t>
  </si>
  <si>
    <t>سياسات الذمم الدائنة SOCPA</t>
  </si>
  <si>
    <t>مصادقات الموردين ومطابقة الفواتير</t>
  </si>
  <si>
    <t>نظام الفوترة الإلكترونية</t>
  </si>
  <si>
    <t>الإفصاح عن أرصدة الأطراف ذات العلاقة</t>
  </si>
  <si>
    <t>ذمة دائنة لمورد محدد</t>
  </si>
  <si>
    <t>قياس بالتكلفة المطفأة والدفع حسب الأجل</t>
  </si>
  <si>
    <t>سياسات الموردين</t>
  </si>
  <si>
    <t>مطابقة فواتير وأوامر الشراء</t>
  </si>
  <si>
    <t>الإفصاح عن شروط الدفع</t>
  </si>
  <si>
    <t>التزامات متنوعة غير تجارية</t>
  </si>
  <si>
    <t>إثبات عند نشوء الالتزام وقياس بالتكلفة المطفأة</t>
  </si>
  <si>
    <t>فحص المستندات المؤيدة</t>
  </si>
  <si>
    <t>شرح طبيعة البنود الجوهرية</t>
  </si>
  <si>
    <t>مبالغ مستحقة لجهات حكومية</t>
  </si>
  <si>
    <t>إثبات عند نشوء الالتزام وسداده خلال الأجل</t>
  </si>
  <si>
    <t>عرض الالتزامات SOCPA</t>
  </si>
  <si>
    <t>مطابقة المطالبات وخطابات السداد</t>
  </si>
  <si>
    <t>لوائح ZATCA</t>
  </si>
  <si>
    <t>الإفصاح عن الغرامات أو الاعتراضات</t>
  </si>
  <si>
    <t>التزامات قصيرة لأطراف داخل المجموعة</t>
  </si>
  <si>
    <t>قياس بالتكلفة المطفأة والإفصاح عن العلاقة</t>
  </si>
  <si>
    <t>IAS 24</t>
  </si>
  <si>
    <t>إفصاح الأطراف ذات العلاقة</t>
  </si>
  <si>
    <t>فحص اتفاقيات المجموعة ومصادقات متبادلة</t>
  </si>
  <si>
    <t>الإفصاح عن شروط السداد</t>
  </si>
  <si>
    <t>مستحق لشركة شقيقة</t>
  </si>
  <si>
    <t>مطابقة عقود التمويل الداخلية</t>
  </si>
  <si>
    <t>الإفصاح عن العلاقة</t>
  </si>
  <si>
    <t>مستحقات قصيرة على الشركاء</t>
  </si>
  <si>
    <t>فحص السحوبات والمطابقة مع حسابات الشركاء</t>
  </si>
  <si>
    <t>الإفصاح عن المعاملات مع الشركاء</t>
  </si>
  <si>
    <t>دفعات إيجار مستحقة خلال 12 شهر</t>
  </si>
  <si>
    <t>إثبات التزام الإيجار وفق IFRS 16</t>
  </si>
  <si>
    <t>إفصاح التزامات الإيجار</t>
  </si>
  <si>
    <t>مطابقة جداول السداد قصيرة الأجل</t>
  </si>
  <si>
    <t>الإفصاح عن آجال الاستحقاق</t>
  </si>
  <si>
    <t>دفعات إيجار تمويلي على سيارات</t>
  </si>
  <si>
    <t>تصنيف كجزء متداول من الالتزامات</t>
  </si>
  <si>
    <t>فحص عقود السيارات</t>
  </si>
  <si>
    <t>الإفصاح عن ضمانات الإيجار</t>
  </si>
  <si>
    <t>قروض تستحق خلال 12 شهر</t>
  </si>
  <si>
    <t>مطابقة عقود القروض وجدولة الفوائد</t>
  </si>
  <si>
    <t>الإفصاح عن العهود المالية</t>
  </si>
  <si>
    <t>تسهيلات مصرفية قصيرة الأجل</t>
  </si>
  <si>
    <t>احتساب الفائدة الفعلية</t>
  </si>
  <si>
    <t>مطابقة كشوف البنك</t>
  </si>
  <si>
    <t>الإفصاح عن الضمانات</t>
  </si>
  <si>
    <t>أقساط قروض طويلة تستحق خلال 12 شهر</t>
  </si>
  <si>
    <t>مطابقة جداول السداد وإعادة احتساب الفوائد</t>
  </si>
  <si>
    <t>قسط من قرض طويل يستحق قريباً</t>
  </si>
  <si>
    <t>إعادة تصنيف من غير متداول إلى متداول</t>
  </si>
  <si>
    <t>فحص التعديلات البنكية</t>
  </si>
  <si>
    <t>الإفصاح عن آجال السداد</t>
  </si>
  <si>
    <t>تكاليف تخص الفترة ولم تُدفع بعد</t>
  </si>
  <si>
    <t>إثبات على أساس الاستحقاق</t>
  </si>
  <si>
    <t>فحص التسويات بعد نهاية الفترة</t>
  </si>
  <si>
    <t>الإفصاح عن البنود الجوهرية</t>
  </si>
  <si>
    <t>أجور مستحقة للموظفين</t>
  </si>
  <si>
    <t>سياسات الرواتب</t>
  </si>
  <si>
    <t>مطابقة كشوف الرواتب</t>
  </si>
  <si>
    <t>الإفصاح عن مستحقات العاملين</t>
  </si>
  <si>
    <t>سندات وشيكات مستحقة الدفع</t>
  </si>
  <si>
    <t>سياسات الأوراق التجارية</t>
  </si>
  <si>
    <t>مصادقات الموردين والبنوك</t>
  </si>
  <si>
    <t>نظام الأوراق التجارية</t>
  </si>
  <si>
    <t>الإفصاح عن الأوراق المرهونة</t>
  </si>
  <si>
    <t>شيكات مستحقة الدفع</t>
  </si>
  <si>
    <t>سياسات الدفع</t>
  </si>
  <si>
    <t>مطابقة تواريخ الاستحقاق</t>
  </si>
  <si>
    <t>الإفصاح عن قيود السداد</t>
  </si>
  <si>
    <t>ضريبة مستحقة على المبيعات (مخرجات)</t>
  </si>
  <si>
    <t>تسوية دورية ومطابقة الإقرارات</t>
  </si>
  <si>
    <t>دليل VAT (ZATCA)</t>
  </si>
  <si>
    <t>مطابقة تقارير VAT بالفواتير الإلكترونية</t>
  </si>
  <si>
    <t>لائحة ضريبة القيمة المضافة</t>
  </si>
  <si>
    <t>الإفصاح عن منازعات أو غرامات</t>
  </si>
  <si>
    <t>ضريبة قيمة مضافة على المبيعات</t>
  </si>
  <si>
    <t>تسوية دورية مع هيئة الزكاة</t>
  </si>
  <si>
    <t>مطابقة الفواتير مع تقارير ZATCA</t>
  </si>
  <si>
    <t>الإفصاح عن الديون الضريبية</t>
  </si>
  <si>
    <t>مخصصات للزكاة وضريبة الدخل الحالية</t>
  </si>
  <si>
    <t>احتساب دوري للزكاة وضريبة الدخل</t>
  </si>
  <si>
    <t>دليل الزكاة والضريبة</t>
  </si>
  <si>
    <t>مطابقة الإقرارات الضريبية وإعادة الاحتساب</t>
  </si>
  <si>
    <t>نظام الزكاة والضريبة</t>
  </si>
  <si>
    <t>الإفصاح عن التسويات الضريبية</t>
  </si>
  <si>
    <t>مخصص للزكاة الشرعية على المنشأة</t>
  </si>
  <si>
    <t>احتساب وفق الوعاء الزكوي السنوي</t>
  </si>
  <si>
    <t>دليل الزكاة</t>
  </si>
  <si>
    <t>إعادة احتساب الوعاء الزكوي</t>
  </si>
  <si>
    <t>الإفصاح عن المنازعات الزكوية</t>
  </si>
  <si>
    <t>التزامات تُسدد بعد أكثر من 12 شهر</t>
  </si>
  <si>
    <t>عرض الالتزامات غير المتداولة</t>
  </si>
  <si>
    <t>فحص آجال السداد والتصنيف</t>
  </si>
  <si>
    <t>التزامات طويلة الأجل للموظفين</t>
  </si>
  <si>
    <t>قياس اكتواري للقيمة الحالية للالتزام</t>
  </si>
  <si>
    <t>سياسات منافع الموظفين</t>
  </si>
  <si>
    <t>فحص الدراسات الاكتوارية</t>
  </si>
  <si>
    <t>الإفصاح عن الفروض المستخدمة</t>
  </si>
  <si>
    <t>التزامات مكافأة ترك خدمة لفئة الإدارة</t>
  </si>
  <si>
    <t>احتساب على الراتب الأخير وعدد سنوات الخدمة</t>
  </si>
  <si>
    <t>سياسات الموارد البشرية</t>
  </si>
  <si>
    <t>الإفصاح عن الالتزامات الاكتوارية</t>
  </si>
  <si>
    <t>التزامات طويلة الأجل لأطراف داخل المجموعة</t>
  </si>
  <si>
    <t>مراجعة اتفاقيات التمويل داخل المجموعة</t>
  </si>
  <si>
    <t>الإفصاح عن شروط التمويل</t>
  </si>
  <si>
    <t>مستحق طويل الأجل لشركة شقيقة</t>
  </si>
  <si>
    <t>مطابقة مصادقات التمويل</t>
  </si>
  <si>
    <t>مستحقات طويلة الأجل على الشركاء</t>
  </si>
  <si>
    <t>فحص السحوبات الطويلة</t>
  </si>
  <si>
    <t>دفعات إيجار مستحقة بعد أكثر من 12 شهر</t>
  </si>
  <si>
    <t>إثبات أصل ROU والتزام إيجار</t>
  </si>
  <si>
    <t>مطابقة جداول السداد طويلة الأجل</t>
  </si>
  <si>
    <t>إيجار مبنى طويل الأجل</t>
  </si>
  <si>
    <t>فحص العقود وجداول السداد</t>
  </si>
  <si>
    <t>الإفصاح عن الضمانات والعهود</t>
  </si>
  <si>
    <t>رصيد قروض قصيرة الأجل مُجدول طويل الأجل</t>
  </si>
  <si>
    <t>إعادة تصنيف كالتزامات طويلة الأجل</t>
  </si>
  <si>
    <t>مطابقة العقود المعدلة</t>
  </si>
  <si>
    <t>قرض تم تحويله لجدولة طويلة الأجل</t>
  </si>
  <si>
    <t>مطابقة الجداول البنكية</t>
  </si>
  <si>
    <t>قروض مصرفية طويلة الأجل</t>
  </si>
  <si>
    <t>فحص عقود القروض وجدولة الفوائد</t>
  </si>
  <si>
    <t>قرض طويل الأجل من بنك</t>
  </si>
  <si>
    <t>قياس بالتكلفة المطفأة واحتساب الفائدة الفعلية</t>
  </si>
  <si>
    <t>مطابقة جداول السداد</t>
  </si>
  <si>
    <t>الإفصاح عن القيود البنكية</t>
  </si>
  <si>
    <t>مخصصات لالتزامات مؤكدة بتوقيت أو قيمة غير مؤكدة</t>
  </si>
  <si>
    <t>الاعتراف عند توافر التزام حالي واحتمال تدفق موارد</t>
  </si>
  <si>
    <t>IAS 37</t>
  </si>
  <si>
    <t>سياسات المخصصات</t>
  </si>
  <si>
    <t>مراجعة القضايا والخطابات القانونية</t>
  </si>
  <si>
    <t>النظام القضائي</t>
  </si>
  <si>
    <t>الإفصاح عن طبيعة البنود</t>
  </si>
  <si>
    <t>مخصص مكون لمطالبات قضائية</t>
  </si>
  <si>
    <t>تقدير المبلغ الأفضل بين القيمة الحالية أو المتوقعة</t>
  </si>
  <si>
    <t>فحص مستندات القضايا</t>
  </si>
  <si>
    <t>الإفصاح عن احتمالية الخسارة</t>
  </si>
  <si>
    <t>التزامات ضريبية تنشأ عن فروق مؤقتة</t>
  </si>
  <si>
    <t>الاعتراف بالأصول/الالتزامات الضريبية المؤجلة</t>
  </si>
  <si>
    <t>سياسات الضريبة المؤجلة</t>
  </si>
  <si>
    <t>إعادة احتساب الفروق المؤقتة</t>
  </si>
  <si>
    <t>نظام ضريبة الدخل</t>
  </si>
  <si>
    <t>الإفصاح عن المصالحة الضريبية</t>
  </si>
  <si>
    <t>قياس باستخدام معدل الضريبة المتوقع</t>
  </si>
  <si>
    <t>مراجعة احتساب الفروق المؤقتة</t>
  </si>
  <si>
    <t>الإفصاح عن معدل الضريبة الفعلي</t>
  </si>
  <si>
    <t>حقوق الملاك المتبقية في أصول المنشأة بعد خصم الالتزامات</t>
  </si>
  <si>
    <t>إثبات التغيرات وفق المعايير المحاسبية</t>
  </si>
  <si>
    <t>عرض حقوق الملكية ضمن القوائم</t>
  </si>
  <si>
    <t>مطابقة أرصدة بداية ونهاية الفترة</t>
  </si>
  <si>
    <t>الإفصاح عن الحركات في بيان التغيرات في حقوق الملكية</t>
  </si>
  <si>
    <t>مساهمات الملاك أو الشركاء في رأس المال</t>
  </si>
  <si>
    <t>إثبات عند التأسيس والزيادات والنقص</t>
  </si>
  <si>
    <t>IFRS 2</t>
  </si>
  <si>
    <t>سياسات رأس المال</t>
  </si>
  <si>
    <t>مطابقة محاضر الجمعية وسندات الإيداع</t>
  </si>
  <si>
    <t>الإفصاح عن عدد الأسهم والقيمة الاسمية</t>
  </si>
  <si>
    <t>حصة الشريك خالد في رأس المال</t>
  </si>
  <si>
    <t>إثبات بالقيمة المتفق عليها في عقد التأسيس</t>
  </si>
  <si>
    <t>مطابقة عقود التأسيس ودفعات رأس المال</t>
  </si>
  <si>
    <t>الإفصاح عن حقوق الشركاء</t>
  </si>
  <si>
    <t>حصة الشريك فهد في رأس المال</t>
  </si>
  <si>
    <t>مبالغ مقتطعة من الأرباح وفق النظام أو طوعاً</t>
  </si>
  <si>
    <t>الاقتطاع وفق النظام الأساسي والنظام التجاري</t>
  </si>
  <si>
    <t>لوائح التوزيعات والاحتياطيات</t>
  </si>
  <si>
    <t>فحص قرارات الجمعية ومطابقة القيود</t>
  </si>
  <si>
    <t>الإفصاح عن القيود على التوزيع</t>
  </si>
  <si>
    <t>احتياطي يُقتطع قانوناً من صافي الربح</t>
  </si>
  <si>
    <t>الاقتطاع بنسبة 10% حتى يبلغ 30% من رأس المال</t>
  </si>
  <si>
    <t>لوائح الاحتياطيات</t>
  </si>
  <si>
    <t>مراجعة محاضر الجمعية</t>
  </si>
  <si>
    <t>الإفصاح عن الرصيد المتراكم</t>
  </si>
  <si>
    <t>احتياطي يقرره الشركاء أو الجمعية</t>
  </si>
  <si>
    <t>الاقتطاع حسب قرار الجمعية</t>
  </si>
  <si>
    <t>مطابقة محاضر الجمعية العامة</t>
  </si>
  <si>
    <t>الإفصاح عن سبب تكوينه</t>
  </si>
  <si>
    <t>احتياطي لتغطية المخاطر المستقبلية</t>
  </si>
  <si>
    <t>يُكوَّن بقرار من الجمعية العامة</t>
  </si>
  <si>
    <t>مراجعة قرار الجمعية</t>
  </si>
  <si>
    <t>الإفصاح عن استخداماته وشروطه</t>
  </si>
  <si>
    <t>زيادات في حقوق الملكية بخلاف رأس المال الأصلي</t>
  </si>
  <si>
    <t>إثبات الإصدارات أو المنح وفق الحكم المحاسبي</t>
  </si>
  <si>
    <t>سياسات حقوق الملكية</t>
  </si>
  <si>
    <t>مراجعة قرارات الإصدار والتقييم</t>
  </si>
  <si>
    <t>هيئة السوق المالية</t>
  </si>
  <si>
    <t>الإفصاح عن شروط الإصدارات</t>
  </si>
  <si>
    <t>قيمة إصدار أسهم فوق القيمة الاسمية</t>
  </si>
  <si>
    <t>إثبات الفائض في رأس المال الإضافي</t>
  </si>
  <si>
    <t>سياسات إصدار الأسهم</t>
  </si>
  <si>
    <t>مطابقة عقود الإصدار</t>
  </si>
  <si>
    <t>الإفصاح عن علاوة الإصدار</t>
  </si>
  <si>
    <t>أرباح لم توزع ومتبقية في المنشأة</t>
  </si>
  <si>
    <t>ترحيل صافي الربح/الخسارة واعتمادات النظامية</t>
  </si>
  <si>
    <t>عرض الأرباح المبقاة</t>
  </si>
  <si>
    <t>مطابقة أرصدة بداية الفترة مع نهاية الفترة السابقة</t>
  </si>
  <si>
    <t>أرباح مترحلة من فترات مالية سابقة</t>
  </si>
  <si>
    <t>ترحيل وفق قرارات الجمعية العامة</t>
  </si>
  <si>
    <t>سياسات توزيع الأرباح</t>
  </si>
  <si>
    <t>فحص محاضر الجمعية العامة السابقة</t>
  </si>
  <si>
    <t>الإفصاح عن الرصيد المتاح للتوزيع</t>
  </si>
  <si>
    <t>الدخل المتحقق من الأنشطة العادية للمنشأة</t>
  </si>
  <si>
    <t>الاعتراف عند نقل السيطرة على السلع/الخدمات</t>
  </si>
  <si>
    <t>تطبيق IFRS 15 تحت إطار SOCPA</t>
  </si>
  <si>
    <t>ISA 240 / 330 / 520</t>
  </si>
  <si>
    <t>اختبارات القطع ومطابقة الفواتير والتسليم</t>
  </si>
  <si>
    <t>لائحة الفوترة الإلكترونية</t>
  </si>
  <si>
    <t>الإفصاح عن الالتزامات التعاقدية</t>
  </si>
  <si>
    <t>إيرادات النشاط الرئيسي</t>
  </si>
  <si>
    <t>الاعتراف عند تحقق الأداء ونقل السيطرة</t>
  </si>
  <si>
    <t>سياسات الاعتراف بالإيراد</t>
  </si>
  <si>
    <t>ISA 240 / 330</t>
  </si>
  <si>
    <t>مطابقة عقود العملاء وسندات التسليم</t>
  </si>
  <si>
    <t>الإفصاح عن سياسات الإرجاع والخصم</t>
  </si>
  <si>
    <t>إيرادات بيع سلع داخل السعودية</t>
  </si>
  <si>
    <t>الاعتراف عند تسليم السلع ونقل السيطرة</t>
  </si>
  <si>
    <t>سياسات المبيعات</t>
  </si>
  <si>
    <t>مطابقة فواتير المبيعات وسندات التسليم</t>
  </si>
  <si>
    <t>الإفصاح عن ضريبة المخرجات</t>
  </si>
  <si>
    <t>إيرادات بيع سلع خارج السعودية</t>
  </si>
  <si>
    <t>الاعتراف عند شحن البضاعة وتحمل المخاطر</t>
  </si>
  <si>
    <t>سياسات التصدير</t>
  </si>
  <si>
    <t>مطابقة مستندات التصدير وشهادات المنشأ</t>
  </si>
  <si>
    <t>هيئة الجمارك</t>
  </si>
  <si>
    <t>الإفصاح عن عملة العرض وسعر التحويل</t>
  </si>
  <si>
    <t>مبيعات عبر نقاط البيع</t>
  </si>
  <si>
    <t>الاعتراف عند إتمام عملية البيع النقدي</t>
  </si>
  <si>
    <t>مطابقة تقارير نقاط البيع وكشوف البنك</t>
  </si>
  <si>
    <t>هيئة الزكاة</t>
  </si>
  <si>
    <t>الإفصاح عن صافي المبيعات</t>
  </si>
  <si>
    <t>حسومات ممنوحة للعملاء</t>
  </si>
  <si>
    <t>تُخصم من الإيراد عند الاعتراف بالإيراد</t>
  </si>
  <si>
    <t>سياسات الخصومات</t>
  </si>
  <si>
    <t>مطابقة العقود وكشوف المبيعات</t>
  </si>
  <si>
    <t>الإفصاح عن صافي المبيعات بعد الخصم</t>
  </si>
  <si>
    <t>بضائع مرتجعة من العملاء</t>
  </si>
  <si>
    <t>تُخصم من الإيراد عند تحقق الإرجاع</t>
  </si>
  <si>
    <t>سياسات المرتجعات</t>
  </si>
  <si>
    <t>مطابقة سندات الإرجاع مع المبيعات</t>
  </si>
  <si>
    <t>الإفصاح عن سياسات الإرجاع</t>
  </si>
  <si>
    <t>تكاليف السلع المباعة خلال الفترة</t>
  </si>
  <si>
    <t>تحميل المواد المباشرة والتكاليف المرتبطة</t>
  </si>
  <si>
    <t>سياسات المخزون والتكلفة</t>
  </si>
  <si>
    <t>تحليل هامش الربح وربطه بحركة المخزون</t>
  </si>
  <si>
    <t>الإفصاح عن طريقة احتساب التكلفة</t>
  </si>
  <si>
    <t>دخل من مصادر غير تشغيلية</t>
  </si>
  <si>
    <t>الاعتراف عند تحقق الحق</t>
  </si>
  <si>
    <t>سياسات الاستثمارات</t>
  </si>
  <si>
    <t>مطابقة إشعارات التوزيع وتقييم الاستثمارات</t>
  </si>
  <si>
    <t>الإفصاح عن طبيعة الإيراد ومخاطره</t>
  </si>
  <si>
    <t>دخل من توزيعات أرباح شركات مستثمَر بها</t>
  </si>
  <si>
    <t>الاعتراف عند إعلان التوزيع</t>
  </si>
  <si>
    <t>فحص إشعارات التوزيع</t>
  </si>
  <si>
    <t>الإفصاح عن تاريخ الاستحقاق</t>
  </si>
  <si>
    <t>دخل فوائد من ودائع مصرفية</t>
  </si>
  <si>
    <t>الاعتراف على أساس الاستحقاق</t>
  </si>
  <si>
    <t>سياسات الأدوات المالية</t>
  </si>
  <si>
    <t>مطابقة عقود الودائع وكشوف الفوائد</t>
  </si>
  <si>
    <t>الإفصاح عن معدلات الفائدة</t>
  </si>
  <si>
    <t>نصيب المنشأة من أرباح شركات شقيقة/تابعة</t>
  </si>
  <si>
    <t>الاعتراف باستخدام طريقة حقوق الملكية</t>
  </si>
  <si>
    <t>فحص القوائم المالية للشركات المستثمَر بها</t>
  </si>
  <si>
    <t>الإفصاح عن نسب الملكية</t>
  </si>
  <si>
    <t>تكاليف مستنفدة خلال الفترة المحاسبية</t>
  </si>
  <si>
    <t>عرض المصروفات حسب الطبيعة أو الوظيفة</t>
  </si>
  <si>
    <t>تحليل الاتجاهات والفحص المستندي</t>
  </si>
  <si>
    <t>مصاريف مرتبطة بالنشاط التشغيلي</t>
  </si>
  <si>
    <t>الاعتراف عند الاستحقاق</t>
  </si>
  <si>
    <t>عرض المصروفات</t>
  </si>
  <si>
    <t>تحليل الاتجاهات وربطها بالمبيعات</t>
  </si>
  <si>
    <t>تكاليف دعاية وتسويق</t>
  </si>
  <si>
    <t>تحميل مباشرة على الفترة</t>
  </si>
  <si>
    <t>سياسات التسويق</t>
  </si>
  <si>
    <t>فحص العقود والفواتير</t>
  </si>
  <si>
    <t>مصاريف معارض ترويجية</t>
  </si>
  <si>
    <t>فحص مستندات الصرف</t>
  </si>
  <si>
    <t>مستلزمات تشغيل مكتبية</t>
  </si>
  <si>
    <t>تحميل عند الاستخدام</t>
  </si>
  <si>
    <t>سياسات التشغيل</t>
  </si>
  <si>
    <t>مراجعة مستندات الصرف</t>
  </si>
  <si>
    <t>نظام العمل</t>
  </si>
  <si>
    <t>خدمات اتصالات وإنترنت</t>
  </si>
  <si>
    <t>مطابقة الفواتير</t>
  </si>
  <si>
    <t>هيئة الاتصالات</t>
  </si>
  <si>
    <t>خسائر أو أرباح بيع أصول</t>
  </si>
  <si>
    <t>الاعتراف عند تحقق البيع</t>
  </si>
  <si>
    <t>سياسات إخراج الأصول</t>
  </si>
  <si>
    <t>مطابقة عقود البيع وسجلات الأصول</t>
  </si>
  <si>
    <t>الإفصاح عن الربح/الخسارة الجوهرية</t>
  </si>
  <si>
    <t>تكاليف التمويل على الالتزامات</t>
  </si>
  <si>
    <t>رسملة إذا كانت مرتبطة بأصل مؤهل وإلا تحمل مباشرة</t>
  </si>
  <si>
    <t>سياسات التمويل</t>
  </si>
  <si>
    <t>إعادة احتساب الفوائد ومطابقة الجداول</t>
  </si>
  <si>
    <t>الإفصاح عن معدل الفائدة</t>
  </si>
  <si>
    <t>تكاليف أجور عمال الإنتاج</t>
  </si>
  <si>
    <t>تحميل على تكاليف التصنيع</t>
  </si>
  <si>
    <t>فحص كشوف الرواتب وأوامر التشغيل</t>
  </si>
  <si>
    <t>الإفصاح عن أسس التحميل</t>
  </si>
  <si>
    <t>وقود مستخدم في التشغيل الصناعي</t>
  </si>
  <si>
    <t>فحص فواتير الوقود</t>
  </si>
  <si>
    <t>نظام البيئة</t>
  </si>
  <si>
    <t>مصاريف صيانة خطوط الإنتاج</t>
  </si>
  <si>
    <t>فحص أوامر الصيانة</t>
  </si>
  <si>
    <t>نظام السلامة المهنية</t>
  </si>
  <si>
    <t>تكاليف طاقة تشغيلية</t>
  </si>
  <si>
    <t>مطابقة فواتير الكهرباء</t>
  </si>
  <si>
    <t>هيئة تنظيم الكهرباء</t>
  </si>
  <si>
    <t>مصاريف استثنائية غير متكررة</t>
  </si>
  <si>
    <t>الاعتراف عند الاستحقاق وتصنيف منفصل</t>
  </si>
  <si>
    <t>عرض منفصل للبنود غير المتكررة</t>
  </si>
  <si>
    <t>ISA 250 / 540</t>
  </si>
  <si>
    <t>مطابقة الفواتير والعقود</t>
  </si>
  <si>
    <t>مصاريف لإنهاء مشاريع توقف نشاطها</t>
  </si>
  <si>
    <t>سياسات البنود غير المتكررة</t>
  </si>
  <si>
    <t>فحص العقود والتسويات</t>
  </si>
  <si>
    <t>زكاة سنوية على المنشأة</t>
  </si>
  <si>
    <t>ضريبة دخل على أرباح الشركة</t>
  </si>
  <si>
    <t>احتساب وفق معدل الضريبة المطبق</t>
  </si>
  <si>
    <t>سياسات الضريبة</t>
  </si>
  <si>
    <t>مطابقة الإقرارات الضريبية</t>
  </si>
  <si>
    <t>بنود تُدرج ضمن OCI مباشرة</t>
  </si>
  <si>
    <t>الإثبات مباشرة في OCI دون المرور بقائمة الدخل</t>
  </si>
  <si>
    <t>IAS 19 / IAS 16</t>
  </si>
  <si>
    <t>عرض OCI</t>
  </si>
  <si>
    <t>مراجعة القياسات والتقييمات</t>
  </si>
  <si>
    <t>فروقات ناتجة عن إعادة تقييم أصول</t>
  </si>
  <si>
    <t>الإثبات ضمن OCI</t>
  </si>
  <si>
    <t>سياسات إعادة التقييم</t>
  </si>
  <si>
    <t>مطابقة تقارير التقييم</t>
  </si>
  <si>
    <t>الإفصاح عن الفروقات المتراكمة</t>
  </si>
  <si>
    <t>فروقات اكتوارية من إعادة القياس</t>
  </si>
  <si>
    <t>فحص التقارير الاكتوارية</t>
  </si>
  <si>
    <t>الإفصاح عن الفرضيات</t>
  </si>
  <si>
    <t>فروق من تعديل سياسات أو تقديرات</t>
  </si>
  <si>
    <t>سياسات التغيرات المحاسبية</t>
  </si>
  <si>
    <t>فحص مبررات التغيير وأثره</t>
  </si>
  <si>
    <t>الإفصاح عن الأثر الرجعي</t>
  </si>
  <si>
    <t>رمز الهدف</t>
  </si>
  <si>
    <t>الأهداف المرتبطة</t>
  </si>
  <si>
    <t>E,V,C</t>
  </si>
  <si>
    <t>(خارجي) Existence – Valuation – Completeness / (داخلي) حماية النقدية – الالتزام بسياسات الصرف – دقة التسجيل</t>
  </si>
  <si>
    <t>E,V,P</t>
  </si>
  <si>
    <t>(خارجي) Existence – Valuation – Presentation / (داخلي) دقة الرصيد البنكي – التوافق مع كشوف البنك – الالتزام بالتفويضات</t>
  </si>
  <si>
    <t>(خارجي) Existence – Valuation – Presentation / (داخلي) دقة تسجيل الذمم – الالتزام بسياسات الائتمان – مراقبة التحصيل</t>
  </si>
  <si>
    <t>(خارجي) Existence – Valuation – Completeness / (داخلي) حماية المخزون – كفاءة إدارة المخزون – دقة الجرد</t>
  </si>
  <si>
    <t>E,R,V</t>
  </si>
  <si>
    <t>(خارجي) Existence – Rights &amp; Obligations – Valuation / (داخلي) حماية الأصول – دقة احتساب الإهلاك – تحديث السجلات</t>
  </si>
  <si>
    <t>C,V,P</t>
  </si>
  <si>
    <t>(خارجي) Completeness – Valuation – Presentation / (داخلي) دقة تسجيل الالتزامات – الالتزام بإجراءات الشراء – تسوية دورية</t>
  </si>
  <si>
    <t>V,P,C</t>
  </si>
  <si>
    <t>C,V</t>
  </si>
  <si>
    <t>(خارجي) Existence – Valuation – Presentation / (داخلي) دقة نسب الإنجاز – مطابقة العقود – كفاءة إدارة المشاريع</t>
  </si>
  <si>
    <t>(خارجي) Existence – Valuation – Presentation / (داخلي) حماية الأصول – دقة الإطفاء – التحقق من الرخص</t>
  </si>
  <si>
    <t>(خارجي) Existence – Rights &amp; Obligations – Valuation / (داخلي) حماية الملكية الفكرية – دقة الإطفاء – مراجعة القيود القانونية</t>
  </si>
  <si>
    <t>(خارجي) Existence – Rights &amp; Obligations – Valuation / (داخلي) سلامة الأصول المؤجرة – دقة قيود الإيجار – مطابقة جداول السداد</t>
  </si>
  <si>
    <t>(خارجي) Existence – Valuation – Presentation / (داخلي) دقة تقييم الاستثمارات – مطابقة إشعارات الحفظ – الإفصاح عن المخاطر</t>
  </si>
  <si>
    <t>(خارجي) Existence – Valuation – Presentation / (داخلي) دقة احتساب الفوائد – مطابقة العقود – الالتزام بسياسات الاستثمار</t>
  </si>
  <si>
    <t>E,R,V,P</t>
  </si>
  <si>
    <t>(خارجي) Existence – Rights &amp; Obligations – Valuation – Presentation / (داخلي) دقة التوحيد – متابعة القوائم – الإفصاح عن السيطرة</t>
  </si>
  <si>
    <t>(خارجي) Existence – Rights &amp; Obligations – Valuation – Presentation / (داخلي) دقة طريقة حقوق الملكية – متابعة القوائم – الإفصاح عن نسب الملكية</t>
  </si>
  <si>
    <t>(خارجي) Existence – Valuation – Presentation / (داخلي) دقة تقييم القيمة العادلة – مطابقة الأسعار السوقية – الإفصاح عن المخاطر</t>
  </si>
  <si>
    <t>V,P</t>
  </si>
  <si>
    <t>(خارجي) Valuation – Presentation / (داخلي) دقة الرسملة – مطابقة عقود القروض – مراجعة جداول الإطفاء</t>
  </si>
  <si>
    <t>(خارجي) Existence – Valuation – Presentation / (داخلي) مطابقة السندات – دقة الرسملة – الامتثال للأنظمة</t>
  </si>
  <si>
    <t>(خارجي) Existence – Valuation – Presentation / (داخلي) مراجعة نتائج الدراسات – دقة التقييم – الالتزام بالسياسات</t>
  </si>
  <si>
    <t>(خارجي) Existence – Valuation – Presentation / (داخلي) رقابة على الأصول الحيوية – التقييم بالقيمة العادلة – متابعة الإنتاج</t>
  </si>
  <si>
    <t>(خارجي) Existence – Rights &amp; Obligations – Valuation / (داخلي) دقة قيود الإيجار – مطابقة العقود – متابعة الاستحقاقات</t>
  </si>
  <si>
    <t>(خارجي) Existence – Valuation – Presentation / (داخلي) اختبار هبوط سنوي – دقة التقييم – متابعة CGU</t>
  </si>
  <si>
    <t>E,C,R,V,P</t>
  </si>
  <si>
    <t>(خارجي) جميع أهداف المراجعة / (داخلي) حماية الأصول – سلامة التصنيف – دقة القياس</t>
  </si>
  <si>
    <t>(خارجي) Existence – Valuation – Presentation / (داخلي) حماية الأصول المتداولة – دقة التصنيف – المطابقة الدورية</t>
  </si>
  <si>
    <t>(خارجي) Existence – Valuation – Completeness / (داخلي) حماية النقدية – الرقابة على العهد – دقة الجرد والتسوية</t>
  </si>
  <si>
    <t>(خارجي) Existence – Valuation – Completeness / (داخلي) دقة تسجيل الذمم – الالتزام بسياسات الائتمان – مراقبة التحصيل</t>
  </si>
  <si>
    <t>(خارجي) Existence – Valuation – Presentation / (داخلي) دقة التسجيل – متابعة التحصيل – الامتثال للسياسات</t>
  </si>
  <si>
    <t>(خارجي) Existence – Rights &amp; Obligations – Valuation / (داخلي) دقة إثبات العمليات – الالتزام بالإفصاح – تسوية دورية</t>
  </si>
  <si>
    <t>(خارجي) Existence – Valuation – Presentation / (داخلي) دقة الرسملة – الترحيل حسب الفترات – المطابقة الدورية</t>
  </si>
  <si>
    <t>(خارجي) Existence – Valuation – Presentation / (داخلي) إثبات الحقوق – دقة التقييم – الإفصاح عن البنود الجوهرية</t>
  </si>
  <si>
    <t>(خارجي) Existence – Valuation – Completeness / (داخلي) دقة التحصيل – متابعة الاستحقاقات – مطابقة القيود</t>
  </si>
  <si>
    <t>(خارجي) Existence – Rights &amp; Obligations – Valuation / (داخلي) سلامة الضمانات – الإفصاح عن الالتزامات – مطابقة البنوك</t>
  </si>
  <si>
    <t>(خارجي) Existence – Valuation – Presentation / (داخلي) دقة التصنيف – حماية المخزون – منع الاستخدام غير المصرح</t>
  </si>
  <si>
    <t>(خارجي) Existence – Valuation – Completeness / (داخلي) دقة القطع – ربط بالإيرادات الفعلية – مراقبة الترحيل</t>
  </si>
  <si>
    <t>(خارجي) Existence – Valuation – Presentation / (داخلي) متابعة التوزيعات – مطابقة الإشعارات – الترحيل الصحيح</t>
  </si>
  <si>
    <t>(خارجي) جميع أهداف المراجعة / (داخلي) حماية الأصول الثابتة – دقة التقييم – متابعة الإهلاك</t>
  </si>
  <si>
    <t>(خارجي) Existence – Rights &amp; Obligations – Valuation – Presentation / (داخلي) حماية الملكية الفكرية – دقة الإطفاء – مراجعة القيود القانونية</t>
  </si>
  <si>
    <t>(خارجي) Existence – Rights &amp; Obligations – Valuation – Presentation / (داخلي) دقة التقييم – مطابقة الحافظين – الإفصاح عن المخاطر</t>
  </si>
  <si>
    <t>(خارجي) Valuation – Presentation / (داخلي) دقة الرسملة – الترحيل الدوري – مطابقة العقود</t>
  </si>
  <si>
    <t>(خارجي) Existence – Valuation – Presentation / (داخلي) مطابقة المستندات – دقة الرسملة – الالتزام بالسياسات</t>
  </si>
  <si>
    <t>(خارجي) جميع أهداف المراجعة / (داخلي) الالتزام بالسداد – دقة التسجيل – سلامة التصنيف</t>
  </si>
  <si>
    <t>(خارجي) Existence – Valuation – Presentation / (داخلي) دقة التصنيف – الرقابة على الاستحقاقات – تسوية دورية</t>
  </si>
  <si>
    <t>(خارجي) Existence – Valuation – Completeness / (داخلي) دقة تسجيل الالتزامات – مطابقة الموردين – الالتزام بإجراءات الشراء</t>
  </si>
  <si>
    <t>(خارجي) Existence – Valuation – Presentation / (داخلي) دقة التسجيل – صحة الاستحقاق – مطابقة المستندات المؤيدة</t>
  </si>
  <si>
    <t>(خارجي) Existence – Valuation – Presentation / (داخلي) الالتزام بالسداد – دقة المطابقة – الإفصاح عن المطالبات</t>
  </si>
  <si>
    <t>(خارجي) Existence – Rights &amp; Obligations – Valuation / (داخلي) مطابقة العقود – دقة الإثبات – الإفصاح عن الأطراف ذات العلاقة</t>
  </si>
  <si>
    <t>(خارجي) Existence – Rights &amp; Obligations – Valuation / (داخلي) دقة التسجيل – تسوية دورية – مطابقة العقود</t>
  </si>
  <si>
    <t>(خارجي) Existence – Rights &amp; Obligations – Valuation / (داخلي) دقة التسجيل – تسوية دورية – مطابقة حسابات الشركاء</t>
  </si>
  <si>
    <t>(خارجي) Existence – Rights &amp; Obligations – Valuation / (داخلي) دقة قيود الإيجار – مطابقة جداول السداد – الالتزام بالعقود</t>
  </si>
  <si>
    <t>(خارجي) Existence – Rights &amp; Obligations – Valuation / (داخلي) مطابقة جداول السداد – صحة العقود – سلامة الأصول</t>
  </si>
  <si>
    <t>(خارجي) Existence – Valuation – Presentation / (داخلي) مطابقة جداول القروض – صحة الفوائد – الالتزام بالعهود البنكية</t>
  </si>
  <si>
    <t>(خارجي) Existence – Valuation – Presentation / (داخلي) مطابقة كشوف البنك – مراجعة الفوائد – الالتزام بعقود التمويل</t>
  </si>
  <si>
    <t>(خارجي) Existence – Valuation – Presentation / (داخلي) مطابقة جداول السداد – مراجعة العقود – الإفصاح عن آجال السداد</t>
  </si>
  <si>
    <t>(خارجي) Existence – Valuation – Completeness / (داخلي) مطابقة التسويات – الترحيل الزمني – صحة الاستحقاق</t>
  </si>
  <si>
    <t>(خارجي) Existence – Valuation – Completeness / (داخلي) مطابقة كشوف الرواتب – الالتزام بنظام العمل – صحة الاستحقاق</t>
  </si>
  <si>
    <t>(خارجي) Existence – Valuation – Completeness / (داخلي) مطابقة الأوراق التجارية – صحة الاستحقاق – الترحيل الزمني</t>
  </si>
  <si>
    <t>(خارجي) Existence – Valuation – Presentation / (داخلي) مطابقة الإقرارات – التوافق مع الفواتير – الامتثال لأنظمة ZATCA</t>
  </si>
  <si>
    <t>(خارجي) Existence – Valuation – Presentation / (داخلي) مطابقة الإقرارات – مراجعة الوعاء – الإفصاح عن المنازعات</t>
  </si>
  <si>
    <t>(خارجي) Existence – Valuation – Presentation / (داخلي) مطابقة الوعاء الزكوي – مراجعة الاحتساب – الإفصاح عن المنازعات</t>
  </si>
  <si>
    <t>(خارجي) Valuation – Presentation – Completeness / (داخلي) دقة الاحتساب – الالتزام بنظام العمل – مراجعة اكتوارية</t>
  </si>
  <si>
    <t>(خارجي) Valuation – Presentation / (داخلي) مطابقة الدراسات القانونية – الإفصاح عن القضايا – تقييم احتمالية الخسارة</t>
  </si>
  <si>
    <t>(خارجي) Valuation – Presentation / (داخلي) إعادة احتساب الفروق المؤقتة – مطابقة الإقرارات – الإفصاح عن المصالحة الضريبية</t>
  </si>
  <si>
    <t>(خارجي) جميع أهداف المراجعة / (داخلي) حماية حقوق الملاك – دقة التسجيل – سلامة التصنيف</t>
  </si>
  <si>
    <t>(خارجي) Existence – Rights &amp; Obligations – Valuation – Presentation / (داخلي) دقة إثبات رأس المال – الالتزام بعقود التأسيس – مطابقة محاضر الجمعيات</t>
  </si>
  <si>
    <t>رأس المال المدفوع</t>
  </si>
  <si>
    <t>(خارجي) Existence – Rights &amp; Obligations – Valuation – Presentation / (داخلي) مطابقة عقود التأسيس – إثبات الدفعات – مراجعة زيادات رأس المال</t>
  </si>
  <si>
    <t>(خارجي) Existence – Rights &amp; Obligations – Valuation – Presentation / (داخلي) مطابقة حصة الشريك – مراجعة دفعات رأس المال – التحقق من الملكية</t>
  </si>
  <si>
    <t>(خارجي) Existence – Valuation – Presentation / (داخلي) دقة تكوين الاحتياطيات – الالتزام بالأنظمة – الإفصاح عن القيود على التوزيع</t>
  </si>
  <si>
    <t>(خارجي) Existence – Valuation – Presentation / (داخلي) التحقق من اقتطاع النسبة النظامية – مطابقة محاضر الجمعيات – صحة الرصيد المتراكم</t>
  </si>
  <si>
    <t>(خارجي) Existence – Valuation – Presentation / (داخلي) التحقق من قرار الجمعية – صحة القيود المحاسبية – الإفصاح عن سبب التكوين</t>
  </si>
  <si>
    <t>(خارجي) Existence – Valuation – Presentation / (داخلي) مطابقة محاضر الجمعية – الإفصاح عن الاستخدامات – مراجعة القيود المحاسبية</t>
  </si>
  <si>
    <t>(خارجي) Existence – Valuation – Presentation / (داخلي) مطابقة قرارات الزيادة – صحة التقييم – الإفصاح عن شروط الإصدار</t>
  </si>
  <si>
    <t>(خارجي) Existence – Valuation – Presentation / (داخلي) دقة احتساب العلاوة – مطابقة عقود الإصدار – الإفصاح عن شروط الزيادة</t>
  </si>
  <si>
    <t>(خارجي) Existence – Valuation – Presentation / (داخلي) مطابقة أرصدة الفترات السابقة – دقة الترحيل – الالتزام بقرارات الجمعية</t>
  </si>
  <si>
    <t>(خارجي) Existence – Valuation – Presentation / (داخلي) مطابقة محاضر الجمعية – دقة الاحتساب – الإفصاح عن البنود الجوهرية</t>
  </si>
  <si>
    <t>E,C,V,P</t>
  </si>
  <si>
    <t>(خارجي) Existence – Completeness – Valuation – Presentation / (داخلي) دقة تسجيل الإيرادات – الالتزام بسياسات القطع – مطابقة العقود</t>
  </si>
  <si>
    <t>(خارجي) Existence – Completeness – Valuation – Presentation / (داخلي) دقة تسجيل الإيرادات – الالتزام بالفوترة – الترحيل الزمني الصحيح</t>
  </si>
  <si>
    <t>(خارجي) Existence – Completeness – Valuation – Presentation / (داخلي) التحقق من تسليم البضائع – صحة الفواتير – مطابقة أوامر البيع</t>
  </si>
  <si>
    <t>(خارجي) Existence – Completeness – Valuation – Presentation / (داخلي) دقة تسجيل المبيعات – الالتزام بضريبة القيمة المضافة – صحة القطع الزمني</t>
  </si>
  <si>
    <t>(خارجي) Existence – Completeness – Valuation – Presentation / (داخلي) مطابقة مستندات التصدير – احتساب فروق العملة – مطابقة التحصيلات البنكية</t>
  </si>
  <si>
    <t>(خارجي) Existence – Completeness – Valuation – Presentation / (داخلي) مطابقة تقارير نقاط البيع – التحقق من النقدية – صحة الترحيل</t>
  </si>
  <si>
    <t>(خارجي) Completeness – Valuation – Presentation / (داخلي) التحقق من صحة الموافقات – مطابقة العقود – عرضها مطروحًا من المبيعات</t>
  </si>
  <si>
    <t>(خارجي) Completeness – Valuation – Presentation / (داخلي) مطابقة سندات الإرجاع – صحة احتساب القيمة – خصمها من الإيرادات</t>
  </si>
  <si>
    <t>V,C</t>
  </si>
  <si>
    <t>(خارجي) Valuation – Completeness / (داخلي) دقة تحميل التكاليف – مطابقة حركة المخزون – الترحيل الزمني</t>
  </si>
  <si>
    <t>(خارجي) Valuation – Completeness / (داخلي) مطابقة أوامر الصرف – دقة تحميل التكاليف – مطابقة الجرد مع المبيعات</t>
  </si>
  <si>
    <t>(خارجي) Existence – Valuation – Presentation / (داخلي) التحقق من صحة الاستحقاق – مطابقة العقود – الالتزام بالسياسات</t>
  </si>
  <si>
    <t>(خارجي) Existence – Valuation – Presentation / (داخلي) مطابقة إشعارات التوزيعات – صحة التقييم – الإفصاح عن المخاطر</t>
  </si>
  <si>
    <t>(خارجي) Existence – Valuation – Presentation / (داخلي) مطابقة كشوف البنوك – صحة الفوائد المحتسبة – الإفصاح عن معدلات العائد</t>
  </si>
  <si>
    <t>(خارجي) Existence – Rights &amp; Obligations – Valuation – Presentation / (داخلي) مطابقة قوائم الشركات المستثمر بها – صحة نسب الملكية – الإفصاح عن طريقة حقوق الملكية</t>
  </si>
  <si>
    <t>(خارجي) Existence – Completeness – Valuation – Presentation / (داخلي) دقة تسجيل المصروفات – التحقق من القطع – صحة التصنيف</t>
  </si>
  <si>
    <t>(خارجي) Existence – Completeness – Valuation – Presentation / (داخلي) دقة تحميل التكاليف – كفاءة التشغيل – الرقابة على الصرف</t>
  </si>
  <si>
    <t>(خارجي) Completeness – Valuation / (داخلي) مطابقة العقود والفواتير – الالتزام بسياسات التسويق – الترحيل للفترة الصحيحة</t>
  </si>
  <si>
    <t>(خارجي) Completeness – Valuation / (داخلي) مطابقة الفواتير – صحة الاعتمادات – الترحيل الزمني السليم</t>
  </si>
  <si>
    <t>(خارجي) Valuation – Presentation / (داخلي) مطابقة عقود البيع – التحقق من صحة الربح أو الخسارة – الإفصاح في القوائم</t>
  </si>
  <si>
    <t>(خارجي) Valuation – Presentation / (داخلي) مطابقة جداول السداد – التحقق من الفوائد المحتسبة – الالتزام بالسياسات</t>
  </si>
  <si>
    <t>(خارجي) Completeness – Valuation / (داخلي) مطابقة أوامر التشغيل – صحة تحميل مراكز التكلفة – الترحيل السليم</t>
  </si>
  <si>
    <t>(خارجي) Completeness – Valuation / (داخلي) مطابقة كشوف الرواتب – صحة تحميل مراكز التكلفة – الترحيل السليم</t>
  </si>
  <si>
    <t>(خارجي) Completeness – Valuation / (داخلي) مطابقة الفواتير – صحة تحميل مراكز التكلفة – الترحيل السليم</t>
  </si>
  <si>
    <t>(خارجي) Completeness – Valuation / (داخلي) مطابقة أوامر الصيانة – صحة تحميل مراكز التكلفة – الترحيل السليم</t>
  </si>
  <si>
    <t>(خارجي) Completeness – Valuation / (داخلي) مطابقة فواتير الكهرباء – صحة تحميل مراكز التكلفة – الترحيل السليم</t>
  </si>
  <si>
    <t>(خارجي) Existence – Completeness – Valuation – Presentation / (داخلي) مطابقة الفواتير – صحة الاعتمادات – الترحيل الزمني السليم</t>
  </si>
  <si>
    <t>(خارجي) Completeness – Valuation / (داخلي) مطابقة العقود والفواتير – التحقق من الاعتمادات – صحة القطع الزمني</t>
  </si>
  <si>
    <t>P,V</t>
  </si>
  <si>
    <t>(خارجي) Presentation – Valuation / (داخلي) مطابقة الإقرارات – صحة الاحتساب – الإفصاح عن المنازعات</t>
  </si>
  <si>
    <t>(خارجي) Existence – Valuation – Presentation / (داخلي) مطابقة فروقات التقييم – صحة التصنيف – الإفصاح الكامل</t>
  </si>
  <si>
    <t>(خارجي) Existence – Valuation – Presentation / (داخلي) مطابقة تقارير التقييم – صحة القيود – الإفصاح عن الاحتياطيات</t>
  </si>
  <si>
    <t>(خارجي) Valuation – Presentation / (داخلي) مطابقة التقارير الاكتوارية – صحة القيود – الإفصاح عن الفرضيات</t>
  </si>
  <si>
    <t>(خارجي) Valuation – Presentation / (داخلي) التحقق من التغيرات في السياسات – صحة إعادة العرض – الإفصاح عن الأثر الرجعي</t>
  </si>
  <si>
    <t>دليل اهداف المراجعة</t>
  </si>
  <si>
    <t>دليل مراحل الملف</t>
  </si>
  <si>
    <t xml:space="preserve">دليل الحسابات </t>
  </si>
  <si>
    <t>السياسات</t>
  </si>
  <si>
    <t>ISQM 1 ؛ IESBA Code ؛ AML/KYC</t>
  </si>
  <si>
    <t>AML/KYC ؛ ISQM 1</t>
  </si>
  <si>
    <t>ISQM 1</t>
  </si>
  <si>
    <t>IESBA Code ؛ AML/KYC</t>
  </si>
  <si>
    <t>ISQM 1 ؛ AML/KYC</t>
  </si>
  <si>
    <t>ISQM 1 ؛ IESBA Code</t>
  </si>
  <si>
    <t>IESBA Code</t>
  </si>
  <si>
    <t>COSO</t>
  </si>
  <si>
    <t>ISA 315 ؛ ISA 320</t>
  </si>
  <si>
    <t>ISQM 2</t>
  </si>
  <si>
    <t>COSO Framework</t>
  </si>
  <si>
    <t>COSO ؛ ITGCs</t>
  </si>
  <si>
    <t>ISA 315 ؛ ISA 330</t>
  </si>
  <si>
    <t>COSO ؛ ITGCs ؛ SOX</t>
  </si>
  <si>
    <t>ITGCs</t>
  </si>
  <si>
    <t>ITGCs ؛ SOX</t>
  </si>
  <si>
    <t>ISA 500 ؛ ISA 505</t>
  </si>
  <si>
    <t>ISA 230 ؛ ISA 500</t>
  </si>
  <si>
    <t>ISA 500</t>
  </si>
  <si>
    <t>IESBA Code of Ethics</t>
  </si>
  <si>
    <t>المعاير والسياسات ذات العلاقة</t>
  </si>
  <si>
    <t>ن</t>
  </si>
  <si>
    <t>V</t>
  </si>
  <si>
    <t>مدونة قواعد اخلاقيات المحاسبين المهنيين ومعايير الاستقلالية الدولية</t>
  </si>
  <si>
    <t xml:space="preserve">اول مرة يتم دخول في الURL بواسطة الادمن المعين عند تسجيل الاشنراك وذلك اول تغيير كلمة  المرور التي أرسلت لة ثم عمل  الاعدادات للبرنامج كما موضح ادناه  علما بان تغيير كلمة المرور تكون من نافذة اعدادات المستخدمين وليس نافذة لحالة </t>
  </si>
  <si>
    <t>الإجراء \ الدور</t>
  </si>
  <si>
    <t>مدير المراجعة</t>
  </si>
  <si>
    <t>المدقق الفني</t>
  </si>
  <si>
    <t>المدقق الميداني</t>
  </si>
  <si>
    <t>مساعد المدقق الفني</t>
  </si>
  <si>
    <t>ضابط اتصال الشركة</t>
  </si>
  <si>
    <t>الشريك الإداري</t>
  </si>
  <si>
    <t>الأرشيف</t>
  </si>
  <si>
    <t>◐</t>
  </si>
  <si>
    <t>✖︎</t>
  </si>
  <si>
    <t>تعديل بيانات الملف الأساسية (قبل التخطيط)</t>
  </si>
  <si>
    <t>✔︎</t>
  </si>
  <si>
    <t>✔︎ (النطاق/الخطة)</t>
  </si>
  <si>
    <t>◐ (بيانات جهة الاتصال فقط)</t>
  </si>
  <si>
    <t>طلب فقط</t>
  </si>
  <si>
    <t>رفع أدلة الإثبات وأوراق العمل</t>
  </si>
  <si>
    <t>اعتماد أدلة الإثبات داخل الفريق</t>
  </si>
  <si>
    <t>✔︎ (توصية)</t>
  </si>
  <si>
    <t>✔︎ (يعين الأدوار)</t>
  </si>
  <si>
    <t>✔︎ (ضمن نطاقه)</t>
  </si>
  <si>
    <t>✔︎ (الخطة والمنهج)</t>
  </si>
  <si>
    <t>✔︎ (تفاصيل الاختبارات)</t>
  </si>
  <si>
    <t>✔︎ (برامج العمل الميدانية)</t>
  </si>
  <si>
    <t>✔︎ (الأجزاء الموكلة)</t>
  </si>
  <si>
    <t>◐ (يرى ما يخصه)</t>
  </si>
  <si>
    <t>◐ (تعليقات وضوابط)</t>
  </si>
  <si>
    <t>✔︎ (مدخلات ميدانية)</t>
  </si>
  <si>
    <t>✔︎ (تكليف)</t>
  </si>
  <si>
    <t>✔︎ (وفق خطاب الارتباط)</t>
  </si>
  <si>
    <t>✔︎ (تعليقات/تحقق جودة)</t>
  </si>
  <si>
    <t>✔︎ (امتثال/جودة)</t>
  </si>
  <si>
    <t>✔︎ (نهائي عند الحاجة)</t>
  </si>
  <si>
    <t>اعتماد خطة العمل/النطاق</t>
  </si>
  <si>
    <t>اعتماد التقرير النهائي</t>
  </si>
  <si>
    <t>توصية</t>
  </si>
  <si>
    <t>◐ (تأكيد معلومات العميل)</t>
  </si>
  <si>
    <t>توصية امتثال</t>
  </si>
  <si>
    <t>إرسال التقرير للعميل</t>
  </si>
  <si>
    <t>✔︎ (تنفيذ بعد الاعتماد)</t>
  </si>
  <si>
    <t>✔︎ (تنسيق التسليم)</t>
  </si>
  <si>
    <t>✔︎ (توقيع)</t>
  </si>
  <si>
    <t>إرجاع الملف لمرحلة سابقة مع سبب</t>
  </si>
  <si>
    <t>✔︎ (عند مخالفات)</t>
  </si>
  <si>
    <t>أمر الأرشفة</t>
  </si>
  <si>
    <t>تنفيذ الأرشفة/القفل/الاسترجاع</t>
  </si>
  <si>
    <t>الاطلاع عبر جميع الفروع</t>
  </si>
  <si>
    <t>حسب التفويض</t>
  </si>
  <si>
    <t>حسب التكليف</t>
  </si>
  <si>
    <t>ملفاته فقط</t>
  </si>
  <si>
    <t>دليل المراجعة: تعيين الأدوار للمهمة</t>
  </si>
  <si>
    <t>دليل المراجعة: تحرير المحتوى والإجراءات</t>
  </si>
  <si>
    <t>دليل الحسابات: إنشاء/تحرير</t>
  </si>
  <si>
    <t>دليل الحسابات: اعتماد</t>
  </si>
  <si>
    <t>ملاحظات وضوابط ضبط الجودة (إنشاء/إلزام)</t>
  </si>
  <si>
    <t>توضيحات مركّزة</t>
  </si>
  <si>
    <t xml:space="preserve">رئيسي / فرع / </t>
  </si>
  <si>
    <t>المكتب الرئيسي وكل الفروع</t>
  </si>
  <si>
    <t>الرئيسي وكل الفروع</t>
  </si>
  <si>
    <t xml:space="preserve">السكرتير بالفرع الرئيسي يمكن ان يري كل الفروع </t>
  </si>
  <si>
    <t>حسب المحدد بدليل المراجعة</t>
  </si>
  <si>
    <t>حسب المحدد بدليل المراجعة ودليل الحسابات</t>
  </si>
  <si>
    <t>حسب صفحة المستخدمين المرفقة يتم تعبئتها</t>
  </si>
  <si>
    <t>ن4-2-4-1</t>
  </si>
  <si>
    <t>نعم=3/لا=1/لا ينطبق=2</t>
  </si>
  <si>
    <t>سجل إجراءات عملية المراجعة</t>
  </si>
  <si>
    <t>ن4-2-4</t>
  </si>
  <si>
    <t>ن4+2+3-1</t>
  </si>
  <si>
    <t>القوائم المالية بعد اعتمادها</t>
  </si>
  <si>
    <t>ن4-2-3</t>
  </si>
  <si>
    <t>ن4-2-2-1</t>
  </si>
  <si>
    <t>A.8</t>
  </si>
  <si>
    <t>كتاب الملاحظات( خطاب الادارة)</t>
  </si>
  <si>
    <t>ن4-2-2</t>
  </si>
  <si>
    <t>ن4-2-1-1</t>
  </si>
  <si>
    <t>مرحلة تقييم الرقابة الداخلية</t>
  </si>
  <si>
    <t>الرقابة على إصدار القوائم المالية</t>
  </si>
  <si>
    <t>ن4-2-1</t>
  </si>
  <si>
    <t>حقائق معينة</t>
  </si>
  <si>
    <t>الاستفسار</t>
  </si>
  <si>
    <t>مرحلة اعداد التقرير</t>
  </si>
  <si>
    <t>2.4.2</t>
  </si>
  <si>
    <t>قسم المراجعة بعد اعتماد القوائم المالية</t>
  </si>
  <si>
    <t>ن4-2</t>
  </si>
  <si>
    <t>ن4-1-4-5</t>
  </si>
  <si>
    <t>ن4-1-4-4</t>
  </si>
  <si>
    <t>ن4-1-4-3</t>
  </si>
  <si>
    <t>ن4-1-4-2</t>
  </si>
  <si>
    <t>ن4-1-4-1</t>
  </si>
  <si>
    <t>قوائم العرض والافصاح</t>
  </si>
  <si>
    <t>ن4-1-4</t>
  </si>
  <si>
    <t>ن4-1-3-1</t>
  </si>
  <si>
    <t>التحليل المالي</t>
  </si>
  <si>
    <t>ن4-1-3</t>
  </si>
  <si>
    <t>B.15</t>
  </si>
  <si>
    <t>ن4-1-2-9</t>
  </si>
  <si>
    <t>شهادة رصيد جاري الشركاء</t>
  </si>
  <si>
    <t>ن4-1-2-8</t>
  </si>
  <si>
    <t>شهادة بنكية</t>
  </si>
  <si>
    <t>ن4-1-2-7</t>
  </si>
  <si>
    <t>ن4-1-2-6</t>
  </si>
  <si>
    <t>شهادة برصيد البنوك بالدفاتر</t>
  </si>
  <si>
    <t>ن4-1-2-5</t>
  </si>
  <si>
    <t>مرحلة الاغلاق والارشفة</t>
  </si>
  <si>
    <t>تعهد الاحتفاظ بالسجلات والمسؤولية عنها</t>
  </si>
  <si>
    <t>ن4-1-2-4</t>
  </si>
  <si>
    <t>مرحلة قبول العميل</t>
  </si>
  <si>
    <t>خطاب اعتماد القيام بالفحص والمراجعة لحسابات المنشأة</t>
  </si>
  <si>
    <t>ن4-1-2-3</t>
  </si>
  <si>
    <t>B.12</t>
  </si>
  <si>
    <t>تعزيزات نهاية العام</t>
  </si>
  <si>
    <t>ن4-1-2-2</t>
  </si>
  <si>
    <t>طلبات نهاية العام</t>
  </si>
  <si>
    <t>ن4-1-2-1</t>
  </si>
  <si>
    <t>خطابات المكتب " الإفصاح العام "</t>
  </si>
  <si>
    <t>ن4-1-2</t>
  </si>
  <si>
    <t>ن4-1-1-1</t>
  </si>
  <si>
    <t>مرحلة التخطيط</t>
  </si>
  <si>
    <t>ن4-1-1</t>
  </si>
  <si>
    <t>2.4.1</t>
  </si>
  <si>
    <t>قسم المراجعة قبل اعتماد القوائم المالية</t>
  </si>
  <si>
    <t>ن4-1</t>
  </si>
  <si>
    <t>قسم المراجعة والاعتماد للقوائم المالية</t>
  </si>
  <si>
    <t>ن4</t>
  </si>
  <si>
    <t>C346</t>
  </si>
  <si>
    <t>C345</t>
  </si>
  <si>
    <t>C344</t>
  </si>
  <si>
    <t>C343</t>
  </si>
  <si>
    <t>C342</t>
  </si>
  <si>
    <t>C341</t>
  </si>
  <si>
    <t>C340</t>
  </si>
  <si>
    <t>C339</t>
  </si>
  <si>
    <t>C338</t>
  </si>
  <si>
    <t>C337</t>
  </si>
  <si>
    <t>C336</t>
  </si>
  <si>
    <t>C335</t>
  </si>
  <si>
    <t>C334</t>
  </si>
  <si>
    <t>C233</t>
  </si>
  <si>
    <t>C232</t>
  </si>
  <si>
    <t>C231</t>
  </si>
  <si>
    <t>C230</t>
  </si>
  <si>
    <t>C229</t>
  </si>
  <si>
    <t>C228</t>
  </si>
  <si>
    <t>C227</t>
  </si>
  <si>
    <t>C226</t>
  </si>
  <si>
    <t>C225</t>
  </si>
  <si>
    <t>C224</t>
  </si>
  <si>
    <t>C223</t>
  </si>
  <si>
    <t>C222</t>
  </si>
  <si>
    <t>C221</t>
  </si>
  <si>
    <t>C220</t>
  </si>
  <si>
    <t>C219</t>
  </si>
  <si>
    <t>C218</t>
  </si>
  <si>
    <t>C217</t>
  </si>
  <si>
    <t>C216</t>
  </si>
  <si>
    <t>C215</t>
  </si>
  <si>
    <t>C214</t>
  </si>
  <si>
    <t>C213</t>
  </si>
  <si>
    <t>C212</t>
  </si>
  <si>
    <t>C211</t>
  </si>
  <si>
    <t>C210</t>
  </si>
  <si>
    <t>C129</t>
  </si>
  <si>
    <t>C128</t>
  </si>
  <si>
    <t>C127</t>
  </si>
  <si>
    <t>C126</t>
  </si>
  <si>
    <t>C125</t>
  </si>
  <si>
    <t>C124</t>
  </si>
  <si>
    <t>C123</t>
  </si>
  <si>
    <t>C122</t>
  </si>
  <si>
    <t>C121</t>
  </si>
  <si>
    <t>C120</t>
  </si>
  <si>
    <t>C119</t>
  </si>
  <si>
    <t>C118</t>
  </si>
  <si>
    <t>C117</t>
  </si>
  <si>
    <t>C116</t>
  </si>
  <si>
    <t>C115</t>
  </si>
  <si>
    <t>C114</t>
  </si>
  <si>
    <t>C113</t>
  </si>
  <si>
    <t>C112</t>
  </si>
  <si>
    <t>C111</t>
  </si>
  <si>
    <t>C110</t>
  </si>
  <si>
    <t>ن3-1-1-1</t>
  </si>
  <si>
    <t>بنود ميزان المراجعة</t>
  </si>
  <si>
    <t>الإجراءات التحليلية</t>
  </si>
  <si>
    <t>ن3-1-1</t>
  </si>
  <si>
    <t>2.3.1</t>
  </si>
  <si>
    <t>ن3-1</t>
  </si>
  <si>
    <t>الحسابات التحليلية " كشوفات حساب لكل بنود ميزان المراجعة" (دليل الحسابات)</t>
  </si>
  <si>
    <t>ن3</t>
  </si>
  <si>
    <t>D.2</t>
  </si>
  <si>
    <t>ن2-5-1-5</t>
  </si>
  <si>
    <t>ن2-5-1-4</t>
  </si>
  <si>
    <t>ن2-5-1-3</t>
  </si>
  <si>
    <t>ن2-5-1-2</t>
  </si>
  <si>
    <t>يبعغع</t>
  </si>
  <si>
    <t>منيبفغع</t>
  </si>
  <si>
    <t>بلتبلات</t>
  </si>
  <si>
    <t>ن2-5-1-1</t>
  </si>
  <si>
    <t>التوقيع</t>
  </si>
  <si>
    <t>الرمز</t>
  </si>
  <si>
    <t>الوظيفة</t>
  </si>
  <si>
    <t>الاسم</t>
  </si>
  <si>
    <t>ن2-5-1</t>
  </si>
  <si>
    <t>2.2.5</t>
  </si>
  <si>
    <t>سجل تواقيع ورموز فريق العمل بالمكتب</t>
  </si>
  <si>
    <t>ن2-5</t>
  </si>
  <si>
    <t xml:space="preserve">أدوات ربط </t>
  </si>
  <si>
    <t>⑭</t>
  </si>
  <si>
    <t>ن2-4-1-14</t>
  </si>
  <si>
    <t>تم التاكد من العرض و الافصاح المناسب</t>
  </si>
  <si>
    <t>⑬</t>
  </si>
  <si>
    <t>ن2-4-1-13</t>
  </si>
  <si>
    <t xml:space="preserve">التحقق من صحة الاحتساب </t>
  </si>
  <si>
    <t>⑫</t>
  </si>
  <si>
    <t>ن2-4-1-12</t>
  </si>
  <si>
    <t>تم التاكد من التقييم</t>
  </si>
  <si>
    <t>⑪</t>
  </si>
  <si>
    <t>ن2-4-1-11</t>
  </si>
  <si>
    <t>تم التاكد من الملكية</t>
  </si>
  <si>
    <t>⑩</t>
  </si>
  <si>
    <t>ن2-4-1-10</t>
  </si>
  <si>
    <t>تم التاكد من الاكتمال</t>
  </si>
  <si>
    <t>⑨</t>
  </si>
  <si>
    <t>ن2-4-1-9</t>
  </si>
  <si>
    <t>تم التاكد من الوجود</t>
  </si>
  <si>
    <t>⑧</t>
  </si>
  <si>
    <t>ن2-4-1-8</t>
  </si>
  <si>
    <t>تم التحقق من المؤيدات المستندية</t>
  </si>
  <si>
    <t>⑦</t>
  </si>
  <si>
    <t>ن2-4-1-7</t>
  </si>
  <si>
    <t xml:space="preserve">تاكيدات اضافية </t>
  </si>
  <si>
    <t>⑥</t>
  </si>
  <si>
    <t>ن2-4-1-6</t>
  </si>
  <si>
    <t>تم المطابقة مع الميزان والميزانية</t>
  </si>
  <si>
    <t>⑤</t>
  </si>
  <si>
    <t>ن2-4-1-5</t>
  </si>
  <si>
    <t xml:space="preserve">الرصيد غير مطابق  </t>
  </si>
  <si>
    <t>④</t>
  </si>
  <si>
    <t>ن2-4-1-4</t>
  </si>
  <si>
    <t>الرصيد مطابق لميزان المراجعة ويوجد مستند داخلي مؤيد للرصيد</t>
  </si>
  <si>
    <t>③</t>
  </si>
  <si>
    <t>ن2-4-1-3</t>
  </si>
  <si>
    <t>الرصيد مطابق لميزان المراجعة ويوجد مستند خارجي مؤيد للرصيد</t>
  </si>
  <si>
    <t>②</t>
  </si>
  <si>
    <t>ن2-4-1-2</t>
  </si>
  <si>
    <t>الرصيد مطابق لميزان المراجعة</t>
  </si>
  <si>
    <t>①</t>
  </si>
  <si>
    <t>ن2-4-1-1</t>
  </si>
  <si>
    <t>الشرح</t>
  </si>
  <si>
    <t>ن2-4-1</t>
  </si>
  <si>
    <t>2.2.4</t>
  </si>
  <si>
    <t>فهرس علامات المراجعة</t>
  </si>
  <si>
    <t>ن2-4</t>
  </si>
  <si>
    <t>استكمال المتطلبات الأساسية</t>
  </si>
  <si>
    <t>المدقق</t>
  </si>
  <si>
    <t>السكرتير</t>
  </si>
  <si>
    <t>الجودة</t>
  </si>
  <si>
    <t>الهيئة العامة للزكاة والدخل</t>
  </si>
  <si>
    <t>وزارة التجارة</t>
  </si>
  <si>
    <t>المدقق حسابات</t>
  </si>
  <si>
    <t>البرنامج</t>
  </si>
  <si>
    <t>اعمال</t>
  </si>
  <si>
    <t>مراحل الملف</t>
  </si>
  <si>
    <t>فواصل الملف</t>
  </si>
  <si>
    <t>ن2-3-1</t>
  </si>
  <si>
    <t>2.2.3</t>
  </si>
  <si>
    <t>تخصيص فريق العمل وموازنة الوقت</t>
  </si>
  <si>
    <t>ن2-3</t>
  </si>
  <si>
    <t>المراجعة.</t>
  </si>
  <si>
    <t>ن2-2-10-2</t>
  </si>
  <si>
    <t xml:space="preserve">حتى الاَن لا توجد أي مشاكل محاسبية معروفة أو عوائق هامة تشكل حساسية خاصة خلال أداء عمليات </t>
  </si>
  <si>
    <t>ن2-2-10-1</t>
  </si>
  <si>
    <t>المشاكل المحاسبية و العوائق خلال عملية المراجعة و طريقة معالجتها:</t>
  </si>
  <si>
    <t>ن2-2-10</t>
  </si>
  <si>
    <t>الاستفسار من الجهاز المحاسبي عن أسباب وجود أي اختلافات غير مبررة وطلب تعديلها.</t>
  </si>
  <si>
    <t>ن2-2-9-9</t>
  </si>
  <si>
    <t>توصية الإدارة بمعالجة نقاط الضعف في نظام الرقابة الداخلية من خلال خطاب الإدارة</t>
  </si>
  <si>
    <t>ن2-2-9-8</t>
  </si>
  <si>
    <t>ن2-2-9-7</t>
  </si>
  <si>
    <t>ن2-2-9-6</t>
  </si>
  <si>
    <t>ن2-2-9-5</t>
  </si>
  <si>
    <t>ن2-2-9-4</t>
  </si>
  <si>
    <t>ن2-2-9-3</t>
  </si>
  <si>
    <t>ن2-2-9-2</t>
  </si>
  <si>
    <t>الفحص المستندي للتحقق من التأكيدات التالية:</t>
  </si>
  <si>
    <t>ن2-2-9-1</t>
  </si>
  <si>
    <t>الإستراتيجية العامة للمراجعة:</t>
  </si>
  <si>
    <t>ن2-2-9</t>
  </si>
  <si>
    <t>A.6</t>
  </si>
  <si>
    <t>ن2-2-8-60</t>
  </si>
  <si>
    <t>مرحلة الاهمية النسبية</t>
  </si>
  <si>
    <t>طريقة العمل : سوف يتم اختيار عينة عشوائية غير منتظمة من الارصدة ( قائمة المركز المالى - قائمة الدخل ) تتعدا   قيمة الاهمية النسبية  مع الاخذ في الاعتبار مخاطر المعاينة  وبالتالي، يمكن للمراجع استخلاص استنتاجات مناسبة على أساس معلومات يتوصل إليها المراجع من عينة  ممثلة للمجتمع .</t>
  </si>
  <si>
    <t>ن2-2-8-59</t>
  </si>
  <si>
    <t>اختيار العينات:</t>
  </si>
  <si>
    <t>ن2-2-8-58</t>
  </si>
  <si>
    <t>ن2-2-8-57</t>
  </si>
  <si>
    <t>ن2-2-8-56</t>
  </si>
  <si>
    <t>ن2-2-8-55</t>
  </si>
  <si>
    <t>ن2-2-8-54</t>
  </si>
  <si>
    <t>ن2-2-8-53</t>
  </si>
  <si>
    <t>ن2-2-8-52</t>
  </si>
  <si>
    <t>ن2-2-8-51</t>
  </si>
  <si>
    <t>·   وجود شروط معينة في عقد قرض حصل عليه المنشأة يتطلب بقاء نسبة مالية معينة عند حد معين.</t>
  </si>
  <si>
    <t>ن2-2-8-50</t>
  </si>
  <si>
    <r>
      <t>·</t>
    </r>
    <r>
      <rPr>
        <sz val="12"/>
        <color indexed="8"/>
        <rFont val="Adobe Devanagari"/>
        <charset val="178"/>
      </rPr>
      <t>   موقف الإدارة أو وجهة نظرها تجاه سلامة وكمال القوائم المالية.</t>
    </r>
  </si>
  <si>
    <t>ن2-2-8-49</t>
  </si>
  <si>
    <r>
      <t>·</t>
    </r>
    <r>
      <rPr>
        <sz val="12"/>
        <color indexed="8"/>
        <rFont val="Adobe Devanagari"/>
        <charset val="178"/>
      </rPr>
      <t>   وجود عدم انتظام في اتجاه الأرباح من سنة لأخرى.</t>
    </r>
  </si>
  <si>
    <t>ن2-2-8-48</t>
  </si>
  <si>
    <t>·   احتمال حدوث مخالفات أو تصرف غير نظامي من قبل المنشأة.</t>
  </si>
  <si>
    <t>ن2-2-8-47</t>
  </si>
  <si>
    <r>
      <t>·</t>
    </r>
    <r>
      <rPr>
        <sz val="12"/>
        <color indexed="8"/>
        <rFont val="Adobe Devanagari"/>
        <charset val="178"/>
      </rPr>
      <t>   احتمال وجود مدفوعات غير قانونية.</t>
    </r>
  </si>
  <si>
    <t>ن2-2-8-46</t>
  </si>
  <si>
    <t>الإعتبارات النوعية للأهمية النسبية:</t>
  </si>
  <si>
    <t>ن2-2-8-45</t>
  </si>
  <si>
    <t>اجمالي حقوق الملكية</t>
  </si>
  <si>
    <t>ن2-2-8-44</t>
  </si>
  <si>
    <t>صافي الأصول الثابتة</t>
  </si>
  <si>
    <t>ن2-2-8-43</t>
  </si>
  <si>
    <t>نسبة من المصروفات</t>
  </si>
  <si>
    <t>ن2-2-8-42</t>
  </si>
  <si>
    <t>اجمالي الأصول الثابتة</t>
  </si>
  <si>
    <t>ن2-2-8-41</t>
  </si>
  <si>
    <t>نسبة من الإيرادات من النشاط الطبيعي للمنشأة</t>
  </si>
  <si>
    <t>ن2-2-8-40</t>
  </si>
  <si>
    <t>متوسط صافي الربح قبل الضرائب ونتائج العمليات غير المستمرة من 3 الي 5 سنوات</t>
  </si>
  <si>
    <t>ن2-2-8-39</t>
  </si>
  <si>
    <t>صافي الربح قبل الضرائب ونتائج العمليات غير المستمرة</t>
  </si>
  <si>
    <t>ن2-2-8-38</t>
  </si>
  <si>
    <t>تقدير الأهمية النسبية كميا لغرض تخطيط المراجعة</t>
  </si>
  <si>
    <t>ن2-2-8-37</t>
  </si>
  <si>
    <t>A.5</t>
  </si>
  <si>
    <t xml:space="preserve"> د اكبر من  و  اصغر من هـ  تعتبر المجموعة ذات أهمية نسبية خاضعة للتقدير المهني  لعرضها والافصاح عنها بالقوائم المالية</t>
  </si>
  <si>
    <t>ن2-2-8-36</t>
  </si>
  <si>
    <t xml:space="preserve"> د اصغر من و  تعتبر المجموعة ليست ذات أهمية نسبية ولايتعين عرضها والافصاح عنها بالقوائم المالية بعد تأكيد التقدير المهني</t>
  </si>
  <si>
    <t>ن2-2-8-35</t>
  </si>
  <si>
    <t xml:space="preserve"> د اكبر من او يساوي هـ تعتبر المجموعة ذات أهمية نسبية ويتعين عرضها والافصاح عنها بالقوائم المالية</t>
  </si>
  <si>
    <t>ن2-2-8-34</t>
  </si>
  <si>
    <t xml:space="preserve">مقارنة (د) بالقيم المبينة فى هـ - و </t>
  </si>
  <si>
    <t>ن2-2-8-33</t>
  </si>
  <si>
    <t>5% X  أ</t>
  </si>
  <si>
    <t>ن2-2-8-32</t>
  </si>
  <si>
    <t>10% X  أ</t>
  </si>
  <si>
    <t>ن2-2-8-31</t>
  </si>
  <si>
    <t>المجموعة المطلوب تحديد أهميته النسبية بغرض اظهارها في قائمة المركز المالي</t>
  </si>
  <si>
    <t>ن2-2-8-30</t>
  </si>
  <si>
    <t>الأكبر / الأقل من أ - ب</t>
  </si>
  <si>
    <t>ن2-2-8-29</t>
  </si>
  <si>
    <t>اجمالي المجموعة التي يقع فيها البند</t>
  </si>
  <si>
    <t>ن2-2-8-28</t>
  </si>
  <si>
    <t>القيمة النقدية نهاية المدة</t>
  </si>
  <si>
    <t>ن2-2-8-27</t>
  </si>
  <si>
    <t>صافى التدفق النقدي من الأنشطة التشغيلية</t>
  </si>
  <si>
    <t>ن2-2-8-26</t>
  </si>
  <si>
    <t>مجموعة حسابات قائمة التدفقات النقدية</t>
  </si>
  <si>
    <t>ن2-2-8-25</t>
  </si>
  <si>
    <t>ن2-2-8-24</t>
  </si>
  <si>
    <t>ن2-2-8-23</t>
  </si>
  <si>
    <t>ن2-2-8-22</t>
  </si>
  <si>
    <t>ن2-2-8-21</t>
  </si>
  <si>
    <t>ن2-2-8-20</t>
  </si>
  <si>
    <t>ن2-2-8-19</t>
  </si>
  <si>
    <t>ن2-2-8-18</t>
  </si>
  <si>
    <t>ن2-2-8-17</t>
  </si>
  <si>
    <t>ن2-2-8-16</t>
  </si>
  <si>
    <t>صافي الدخل</t>
  </si>
  <si>
    <t>ن2-2-8-15</t>
  </si>
  <si>
    <t>مجموعات حسابات قائمة الدخل</t>
  </si>
  <si>
    <t>ن2-2-8-14</t>
  </si>
  <si>
    <t>ن2-2-8-13</t>
  </si>
  <si>
    <t>ن2-2-8-12</t>
  </si>
  <si>
    <t>ن2-2-8-11</t>
  </si>
  <si>
    <t>ن2-2-8-10</t>
  </si>
  <si>
    <t>ن2-2-8-9</t>
  </si>
  <si>
    <t>ن2-2-8-8</t>
  </si>
  <si>
    <t>ن2-2-8-7</t>
  </si>
  <si>
    <t>ن2-2-8-6</t>
  </si>
  <si>
    <t>ن2-2-8-5</t>
  </si>
  <si>
    <t>ن2-2-8-4</t>
  </si>
  <si>
    <t>صافي الأصول</t>
  </si>
  <si>
    <t>ن2-2-8-3</t>
  </si>
  <si>
    <t>مجموعات حسابات المركز المالي</t>
  </si>
  <si>
    <t>ن2-2-8-2</t>
  </si>
  <si>
    <t>الاعلي قيمة</t>
  </si>
  <si>
    <t>الأقل قيمة</t>
  </si>
  <si>
    <t>آخر</t>
  </si>
  <si>
    <t>متوسط 5 سنوات</t>
  </si>
  <si>
    <t>السنة الحالية</t>
  </si>
  <si>
    <t>تحديد الأهمية النسبية لأغراض العرض والافصاح لمجموعات الحسابات في القوائم المالية</t>
  </si>
  <si>
    <t>ن2-2-8-1</t>
  </si>
  <si>
    <t>ن2-2-8</t>
  </si>
  <si>
    <t>وجود وظيفة للرقابة الداخلية:</t>
  </si>
  <si>
    <t>ن2-2-7-9</t>
  </si>
  <si>
    <t>مخاطر المراجعة = 30%× 35%×40% =4.2%</t>
  </si>
  <si>
    <t>ن2-2-7-8</t>
  </si>
  <si>
    <t xml:space="preserve">مخاطر عدم الاكتشاف : تم تحديدها بنسبة 40% حيث أن نشاط المنشأة بسيط وغير معقد ويوجد رقابة من الادارة وإدارة الحسابات </t>
  </si>
  <si>
    <t>ن2-2-7-7</t>
  </si>
  <si>
    <t>المخاطر الرقابية تم تحديدها بنسبة 35% بناء حكمنا الشخصي وذلك من خلال الرقابة الداخلية المطبقة في المنشأة.</t>
  </si>
  <si>
    <t>ن2-2-7-6</t>
  </si>
  <si>
    <t>المخاطر الذاتية تم تحديدها بنسبة 30% بناء حكمنا الشخصي في ظل دراسة الرقابة الداخلية للمنشأة.</t>
  </si>
  <si>
    <t>ن2-2-7-5</t>
  </si>
  <si>
    <t>بناء على الاستبيانات التي تم دراستها على المنشأة ( راجع نموذج ع/2) نجد ان مخاطر المراجعة كما يلي :</t>
  </si>
  <si>
    <t>ن2-2-7-4</t>
  </si>
  <si>
    <t>مخاطر المراجعة:</t>
  </si>
  <si>
    <t>ن2-2-7-3</t>
  </si>
  <si>
    <t>وصف مختصر للنظام الرقابي وتقدير مدى فعاليته في منع الأخطاء</t>
  </si>
  <si>
    <t>ن2-2-7-2</t>
  </si>
  <si>
    <t xml:space="preserve">تقدير البيئة الرقابية للعميل </t>
  </si>
  <si>
    <t>ن2-2-7-1</t>
  </si>
  <si>
    <t>قرارات التخطيط الفني:</t>
  </si>
  <si>
    <t>ن2-2-7</t>
  </si>
  <si>
    <t>خطاب الإدارة</t>
  </si>
  <si>
    <t>ن2-2-6-6</t>
  </si>
  <si>
    <t>تقرير مراقبي الحسابات</t>
  </si>
  <si>
    <t>ن2-2-6-5</t>
  </si>
  <si>
    <t>مرحلة العمل الميداني</t>
  </si>
  <si>
    <t>العمل الميداني النهائي</t>
  </si>
  <si>
    <t>ن2-2-6-4</t>
  </si>
  <si>
    <t>العمل الميداني المرحلي</t>
  </si>
  <si>
    <t>ن2-2-6-3</t>
  </si>
  <si>
    <t>تاريخ انتهاء أعمال التخطيط</t>
  </si>
  <si>
    <t>ن2-2-6-2</t>
  </si>
  <si>
    <t>خطاب الارتباط</t>
  </si>
  <si>
    <t>ن2-2-6-1</t>
  </si>
  <si>
    <t>المواعيد الهامة:</t>
  </si>
  <si>
    <t>ن2-2-6</t>
  </si>
  <si>
    <t>تم تخصيص المكان الملائم في المنشأة للشروع في ممارسة أعمال المراجعة</t>
  </si>
  <si>
    <t>ن2-2-5-3</t>
  </si>
  <si>
    <t>الاتفاق مع المنشأة على مكان مناسب لفريق المراجعة و الأجهزة المطلوبة:</t>
  </si>
  <si>
    <t>ن2-2-5-2</t>
  </si>
  <si>
    <t xml:space="preserve"> (تقديم كافة البيانات و المعلومات و السجلات المحاسبية التي تساعدنا في إنجاز مهمتنا)'المساعدة التي سيقدمها المنشأة في أعمال المراجعة:</t>
  </si>
  <si>
    <t>ن2-2-5-1</t>
  </si>
  <si>
    <t>الإلتزام بالإستقلالية:</t>
  </si>
  <si>
    <t>فريق المراجعة والمراجعون المشاركون:</t>
  </si>
  <si>
    <t>ن2-2-5</t>
  </si>
  <si>
    <t>لا يوجد بنود خاصة في خطاب التكليف</t>
  </si>
  <si>
    <t>ن2-2-4-1</t>
  </si>
  <si>
    <t>أى بنود هامة وردت ضمن خطاب التكليف والتى تتطلب الاهتمام بها:</t>
  </si>
  <si>
    <t>ن2-2-4</t>
  </si>
  <si>
    <t>مرحلة اختبار المعالجات بالحاسب الآلي</t>
  </si>
  <si>
    <t>النظام المحاسبي المستخدم نظامي اّلي يقوم بمجرد حفظ القيد بالترحيل الالي والتاثير على الحسابات الختامية والحسابات الفرعية لبنود الحسابات الرئيسية</t>
  </si>
  <si>
    <t>ن2-2-3-1</t>
  </si>
  <si>
    <t>وصف مختصر عن النظام المحاسبى وأية تغييرات حدثت فيه:</t>
  </si>
  <si>
    <t>ن2-2-3</t>
  </si>
  <si>
    <t>رقم الجوال</t>
  </si>
  <si>
    <t>الايميل</t>
  </si>
  <si>
    <t>رقم الهوية</t>
  </si>
  <si>
    <t>ن2-2-2-1</t>
  </si>
  <si>
    <t>بيانات عن العاملين الرئيسيين لدى المنشأة وكيفية الإتصال بهم:</t>
  </si>
  <si>
    <t>ن2-2-2</t>
  </si>
  <si>
    <t>ن2-2-1-1</t>
  </si>
  <si>
    <t>خلفية عن المنشأة و نشاطه و فروعه و حساباته و اسم صاحب المنشأة و رأس المال</t>
  </si>
  <si>
    <t>ن2-2-1</t>
  </si>
  <si>
    <t>مذكرة التخطيط ومخاطر المراجعة</t>
  </si>
  <si>
    <t>ن2-2</t>
  </si>
  <si>
    <t>B.6</t>
  </si>
  <si>
    <t>المستوي الخامس</t>
  </si>
  <si>
    <t>ن2-1-1-7</t>
  </si>
  <si>
    <t>المستوي الرابع</t>
  </si>
  <si>
    <t>ن2-1-1-6</t>
  </si>
  <si>
    <t>المستوي الثالث على الأقل</t>
  </si>
  <si>
    <t xml:space="preserve">استيراد بيانات من ميزان المراجعة </t>
  </si>
  <si>
    <t>ن2-1-1-5</t>
  </si>
  <si>
    <t>استيراد بيانات من دفاتر الأستاذ العام</t>
  </si>
  <si>
    <t>ن2-1-1-4</t>
  </si>
  <si>
    <t>استيراد بيانات من دفتر الأستاذ العام</t>
  </si>
  <si>
    <t>ن2-1-1-3</t>
  </si>
  <si>
    <t>استيراد بيانات من دفاتر اليومية المساعدة</t>
  </si>
  <si>
    <t>ن2-1-1-2</t>
  </si>
  <si>
    <t>استيراد بيانات من دفتر اليومية العام</t>
  </si>
  <si>
    <t>ن2-1-1-1</t>
  </si>
  <si>
    <t>رصيد</t>
  </si>
  <si>
    <t>دائن</t>
  </si>
  <si>
    <t>مدين</t>
  </si>
  <si>
    <t>الرصيد النهائي</t>
  </si>
  <si>
    <t>حركة خلال العام</t>
  </si>
  <si>
    <t>الرصيد الإفتتاحي</t>
  </si>
  <si>
    <t>ن2-1-1</t>
  </si>
  <si>
    <t>ميزان المراجعة العام والحسابات التحليلية</t>
  </si>
  <si>
    <t>ن2-1</t>
  </si>
  <si>
    <t>الملف الفني (التخطيط والمراجعة التحليلية)</t>
  </si>
  <si>
    <t>ن2</t>
  </si>
  <si>
    <t>A.3</t>
  </si>
  <si>
    <t>ن1-4-2-5</t>
  </si>
  <si>
    <t>ن1-4-2-4</t>
  </si>
  <si>
    <t>ن1-4-2-3</t>
  </si>
  <si>
    <t>ن1-4-2-2</t>
  </si>
  <si>
    <t>ن1-4-2-1</t>
  </si>
  <si>
    <t>محضر تعيين المحاسب القانوني</t>
  </si>
  <si>
    <t>ن1-4-2</t>
  </si>
  <si>
    <t>A.7</t>
  </si>
  <si>
    <t>الاستلام والموافق</t>
  </si>
  <si>
    <t>ن1-4-1-7</t>
  </si>
  <si>
    <t>طرق الدفع</t>
  </si>
  <si>
    <t>ن1-4-1-6</t>
  </si>
  <si>
    <t>الاتعاب المهنية</t>
  </si>
  <si>
    <t>ن1-4-1-5</t>
  </si>
  <si>
    <t>التعهدات</t>
  </si>
  <si>
    <t>ن1-4-1-4</t>
  </si>
  <si>
    <t>مسؤولية الإدارة وتاكيداتها</t>
  </si>
  <si>
    <t>ن1-4-1-3</t>
  </si>
  <si>
    <t>مسؤولية وحدود المراجعة</t>
  </si>
  <si>
    <t>ن1-4-1-2</t>
  </si>
  <si>
    <t>Upon your kind request, we submit an offer  to review the financial statements (balance sheets, statement of income,  Partners' rights  and cash flows for the year ending on.2020/12/31 We are pleased to present to you, as per this letter, our offer to express our opinion on the Enterprise's financial statements.</t>
  </si>
  <si>
    <t>بناءً على طلبكم منا لتقديم عرض لمراجعة القوائم المالية قائمة المركز المالي وقوائم الدخل والتغييرات في حقوق الشركاء والتدفقات النقدية للمنشأه للسنة المالية المنتهية في  2020/12/31م يسرنا ان نقدم لكم بموجب هذا الخطاب عرضنا التالي بغرض ابداء رأينا حول القوائم المالية للمنشأه</t>
  </si>
  <si>
    <t>العرض والتعاقد بناء علي</t>
  </si>
  <si>
    <t>ن1-4-1-1</t>
  </si>
  <si>
    <t xml:space="preserve">خطاب الارتباط </t>
  </si>
  <si>
    <t>ن1-4-1</t>
  </si>
  <si>
    <t>2.1.4</t>
  </si>
  <si>
    <t>خطاب الارتباط (التعمـــــــــــــــــــيد) / محضر تعيين المحاسب القانـــــــوني</t>
  </si>
  <si>
    <t>ن1-4</t>
  </si>
  <si>
    <t>D.1</t>
  </si>
  <si>
    <t>مكتب الرفيدي</t>
  </si>
  <si>
    <t>ن1-3-1-9</t>
  </si>
  <si>
    <t>وتقبلوا منا فائق الاحترام والتقدير ,,,</t>
  </si>
  <si>
    <t>ن1-3-1-8</t>
  </si>
  <si>
    <t xml:space="preserve">اذا لم يصلنا خطابكم خلال 15 يوما فإن هذا يعني موافقتكم على ذلك </t>
  </si>
  <si>
    <t>ن1-3-1-7</t>
  </si>
  <si>
    <t>إشارة للموضوع أعلاه وفي ضوء ما تقتضية الفقرة (3030)بمعيار ادلة وقرائن المراجعة وطبقا للقاعدة رقم (401) من قواعد سلوك وآداب المهنة الصادرة عن الهيئة السعودية للمحاسبين والمراجعين القانونيين ورغبة المنشأة في مراجعة حساباتة عن العام المنتهي في   التاريخ المحدد اعلاه من قبل مكتبنا  علية نأمل الافادة عما اذا كان لديكم أي اعتراضات مهنية منكم تحول دون قبولنا لعملية المراجعة المشار اليها اعلاه</t>
  </si>
  <si>
    <t>ن1-3-1-6</t>
  </si>
  <si>
    <t>ن1-3-1-5</t>
  </si>
  <si>
    <t>ن1-3-1-4</t>
  </si>
  <si>
    <t>ن1-3-1-3</t>
  </si>
  <si>
    <t>ن1-3-1-2</t>
  </si>
  <si>
    <t>ن1-3-1-1</t>
  </si>
  <si>
    <t>ن1-3-1</t>
  </si>
  <si>
    <t>2.1.3</t>
  </si>
  <si>
    <t>ن1-3</t>
  </si>
  <si>
    <t>A.1</t>
  </si>
  <si>
    <t>قرار القبـول :            وإصدار خطاب الارتباط</t>
  </si>
  <si>
    <t>ن1-2-2-11</t>
  </si>
  <si>
    <t>نموذج</t>
  </si>
  <si>
    <t>الحصول على الاتعاب مقدما</t>
  </si>
  <si>
    <t>ن1-2-2-10</t>
  </si>
  <si>
    <t>تخصيص مساعدين اكثر خبرة</t>
  </si>
  <si>
    <t>ن1-2-2-9</t>
  </si>
  <si>
    <t>استخدام مستشارين خارجيين</t>
  </si>
  <si>
    <t>ن1-2-2-8</t>
  </si>
  <si>
    <r>
      <t xml:space="preserve">بالنسبة لأي إجابات </t>
    </r>
    <r>
      <rPr>
        <sz val="12"/>
        <color indexed="8"/>
        <rFont val="Adobe Devanagari"/>
        <charset val="178"/>
      </rPr>
      <t xml:space="preserve">"بنعم" ، اشرح كيف يخطط المكتب لتخفيف أثر هذه المشاكل </t>
    </r>
  </si>
  <si>
    <t>ن1-2-2-7</t>
  </si>
  <si>
    <t>هل هناك مشكلة محتملة مع الإدارة أو الملاك لعدم فهمهم فهما كاملا للقيود على الخدمات التي سنقدمها (مثلا توقع الإدارة أننا سنكون مسئولين عن إكتشاف الغش</t>
  </si>
  <si>
    <t>ن1-2-2-6</t>
  </si>
  <si>
    <t>هل هناك عوامل مخاطرة عالية مرتبطة بالعملية قد تؤثر على قرارنا في قبول  المنشأة ؟</t>
  </si>
  <si>
    <t>ن1-2-2-5</t>
  </si>
  <si>
    <t>هل نحـن نعلم بأي مشاكل متعلقة بالاستقلال قد تؤثر على قدرتنا على مقابلة  احتياجات المنشأة ؟</t>
  </si>
  <si>
    <t>ن1-2-2-4</t>
  </si>
  <si>
    <t>هل تفوق احتياجات المنشأة إمكانياتنا الفنية أو قدرة منسوبينا  ؟</t>
  </si>
  <si>
    <t>ن1-2-2-3</t>
  </si>
  <si>
    <t>هل هنـاك ما يدل على  حدوث أي مشاكل محتملة في تحصيل الأتعاب  ؟</t>
  </si>
  <si>
    <t>ن1-2-2-2</t>
  </si>
  <si>
    <t xml:space="preserve">هل لدينا علم بأي خلافات مهمة بين الإدارة أو الملاك والمراجع السابق  ؟       </t>
  </si>
  <si>
    <t>ن1-2-2-1</t>
  </si>
  <si>
    <t>الجزء الثاني</t>
  </si>
  <si>
    <t>ن1-2-2</t>
  </si>
  <si>
    <t>وصف أي تغيرات رئيسية في المعلومات السابقة منذ آخر تقييم تم للعميل وأي أمـور أخرى عرفناها كانت ستستدعى رفضنا لهذا المنشأة لو كنا على علم بها عند قوبلنا</t>
  </si>
  <si>
    <t>ن1-2-1-19</t>
  </si>
  <si>
    <t>ن1-2-1-18</t>
  </si>
  <si>
    <t>وصف أي مشكلة مهمة قد تؤثر على العملية مثل نزاع قضائي أو أي طوارئ أخرى</t>
  </si>
  <si>
    <t>ن1-2-1-17</t>
  </si>
  <si>
    <t>B.11</t>
  </si>
  <si>
    <t xml:space="preserve">وصف اي مشاكل تتعلق بالشك فى الاستمرارية ؟ </t>
  </si>
  <si>
    <t>ن1-2-1-16</t>
  </si>
  <si>
    <t>الاطلاع علي آخر قوائم مالية وإقرارات زكوية وضريبية وتوضيح النتائج :</t>
  </si>
  <si>
    <t>ن1-2-1-15</t>
  </si>
  <si>
    <t>المستفيدين الأساسيين من الخدمة التى ستقدم (خاصة فى الخدمات الأخرى  غير  عملية المراجعة)</t>
  </si>
  <si>
    <t>ن1-2-1-14</t>
  </si>
  <si>
    <t>ب- مدة تكرارها</t>
  </si>
  <si>
    <t>ن1-2-1-13</t>
  </si>
  <si>
    <t>أ- نوع الخدمة</t>
  </si>
  <si>
    <t>ن1-2-1-12</t>
  </si>
  <si>
    <t>وصف نوع الخدمات التي سيقدمها المكتب لهذة المنشأة :</t>
  </si>
  <si>
    <t>ن1-2-1-11</t>
  </si>
  <si>
    <t>وصف علاقات تعامل المنشأة بالمؤسسات المالية (البنوك) :</t>
  </si>
  <si>
    <t>ن1-2-1-10</t>
  </si>
  <si>
    <t>ج -  خلافات حول الأتعاب :</t>
  </si>
  <si>
    <t>ن1-2-1-9</t>
  </si>
  <si>
    <t>ب -  الخلافات فى الرأي حول معايير المحاسبة أو المراجعة :</t>
  </si>
  <si>
    <t>ن1-2-1-8</t>
  </si>
  <si>
    <t>أ  -  نزاهة الإدارة والملاك :</t>
  </si>
  <si>
    <t>ن1-2-1-7</t>
  </si>
  <si>
    <t>توضيح نتائج الاستفسارات من المراجع السابق فيما يتعلق بالأمور الآتية :</t>
  </si>
  <si>
    <t>ن1-2-1-6</t>
  </si>
  <si>
    <t>اسم مراجع المنشأة السابق :</t>
  </si>
  <si>
    <t>ن1-2-1-5</t>
  </si>
  <si>
    <t>علاقات الارتباط بين المنشأة والافراد</t>
  </si>
  <si>
    <t>ن1-2-1-4</t>
  </si>
  <si>
    <r>
      <t>بيانات الملاك الرئيسيون ، المديرون التنفيذيون ، أعضاء مجلس الإدارة</t>
    </r>
    <r>
      <rPr>
        <sz val="12"/>
        <color indexed="8"/>
        <rFont val="Adobe Devanagari"/>
        <charset val="178"/>
      </rPr>
      <t xml:space="preserve"> :</t>
    </r>
  </si>
  <si>
    <t>ن1-2-1-3</t>
  </si>
  <si>
    <t>الكيان القانوني للمنشأة</t>
  </si>
  <si>
    <t>ن1-2-1-2</t>
  </si>
  <si>
    <t>وصف وطبيعة نشاط المنشأة</t>
  </si>
  <si>
    <t>ن1-2-1-1</t>
  </si>
  <si>
    <t>الجزء الأول</t>
  </si>
  <si>
    <t>ن1-2-1</t>
  </si>
  <si>
    <t>قبول العملاء واستمرارية العلاقة</t>
  </si>
  <si>
    <t>ن1-2</t>
  </si>
  <si>
    <t>A.2</t>
  </si>
  <si>
    <t>مرحلة الاستقلالية</t>
  </si>
  <si>
    <t>وقد اقر فريق العمل بالعلم على السياسات الخاصة بالاستقلالية والتي يتبعها المكتب  راجع نموذج رقم ( ن/1)</t>
  </si>
  <si>
    <t>ن1-1-1-25</t>
  </si>
  <si>
    <t>لاتوجد ارتباطات مالية بين فريق العمل وبين المنشأة</t>
  </si>
  <si>
    <t>ن1-1-1-24</t>
  </si>
  <si>
    <t xml:space="preserve">فريق العمل وعائلاتهم لديهم استقلال تام عن المنشأة </t>
  </si>
  <si>
    <t>ن1-1-1-23</t>
  </si>
  <si>
    <t>لايوجد موظف فى منشأة المنشأة كان شريكاً أو من كبار موظفي المكتب لدينا أو من المحتمل أن يكون كذلك بالإضافة الي ان اعمال الحسابات والأعمال الاخرى التى تتم نيابة عن المنشأة من إعداد وضبط للقوائم المالية هى أعمال مقبولة من قبلهم والمكتب لم يلعب دور الإدارة لهم وقد تم تخطيط اختبارات المراجعة لتغطى الاعمال المكلفين بها لإبداء الرأي في صحة هذة القوائم المالية</t>
  </si>
  <si>
    <t>ن1-1-1-22</t>
  </si>
  <si>
    <t xml:space="preserve">فريق العمل يستوعب المنشأة ولديهم القناعة بأنه يمكن الاستمرار فى التعامل مع المنشأة  </t>
  </si>
  <si>
    <t>ن1-1-1-21</t>
  </si>
  <si>
    <t>فريق العمل يعلم طبيعة نشاط المنشأة و لديه الخبرة الكافية للقيام بتلك الخدمة</t>
  </si>
  <si>
    <t>ن1-1-1-20</t>
  </si>
  <si>
    <t>لايوجد نزاع قضائى جارى بين المنشأة والمكتب</t>
  </si>
  <si>
    <t>ن1-1-1-19</t>
  </si>
  <si>
    <t>لاتوجد أتعاب مستحقة طرف المنشأة قد تؤثر فى موضوعية أداء المكتب واستقلاليته</t>
  </si>
  <si>
    <t>ن1-1-1-18</t>
  </si>
  <si>
    <t>فريق العمل ليس على علم بأى نزاع أو تعارض مصالح مع ذلك المنشأة / أو بين ذلك المنشأة وأى شخص آخر فى مكتبنا</t>
  </si>
  <si>
    <t>ن1-1-1-17</t>
  </si>
  <si>
    <t>هل أتعاب المراجعة وكافة المصروفات الجارية التى تم دفعها بواسطة ذلك المنشأة ليست بالقيمة التى تضعف من موضوعية أداء واستقلالية فريق العمل من المراجعين</t>
  </si>
  <si>
    <t>ن1-1-1-16</t>
  </si>
  <si>
    <t>هل أنت عضو في مجلس إدارة إحدى الشركات التي يشابه نشاطها نشاط المنشأة ؟</t>
  </si>
  <si>
    <t>ن1-1-1-15</t>
  </si>
  <si>
    <t>هل تمتلك شركة يشابه نشاطها نشاط المنشأة ؟</t>
  </si>
  <si>
    <t>ن1-1-1-14</t>
  </si>
  <si>
    <t>هل لديك قرض أو قروض من أحد المساهمين ذوى الشأن في المنشأة ؟</t>
  </si>
  <si>
    <t>ن1-1-1-13</t>
  </si>
  <si>
    <t>هل لديك قرض أو قروض من أحد أعضاء مجلس إدارة المنشأة ؟</t>
  </si>
  <si>
    <t>ن1-1-1-12</t>
  </si>
  <si>
    <t>هل لديك قرضا أو قروض من أحد مدراء المنشأة ؟</t>
  </si>
  <si>
    <t>ن1-1-1-11</t>
  </si>
  <si>
    <t>هل لديك قرض أو قروض من المنشأة ؟</t>
  </si>
  <si>
    <t>ن1-1-1-10</t>
  </si>
  <si>
    <t>هل أنت وصيا على تركة للعميل حصة فيها ؟</t>
  </si>
  <si>
    <t>ن1-1-1-9</t>
  </si>
  <si>
    <t xml:space="preserve">هل أنت ناظرا لوقف للعميل حصة فيه ؟ </t>
  </si>
  <si>
    <t>ن1-1-1-8</t>
  </si>
  <si>
    <t>هل أنت شريكا للعميل نفسه ؟</t>
  </si>
  <si>
    <t>ن1-1-1-7</t>
  </si>
  <si>
    <t xml:space="preserve">هل أنت شريكا لأحد كبار شركاء المنشأة ؟ </t>
  </si>
  <si>
    <t>ن1-1-1-6</t>
  </si>
  <si>
    <t>هل أنت شريكا لأحد موظفي المنشأة الرئيسيين ؟</t>
  </si>
  <si>
    <t>ن1-1-1-5</t>
  </si>
  <si>
    <t>ليس للمكتب او احد موظفية يعتبر  / يقدم / يمتلك / مساهما في تأسيس المنشأة وليس عضوا لمجلس الإدارة  / أي خدمات إستشارية وإدارية / اسهم ذات شأن</t>
  </si>
  <si>
    <t>ن1-1-1-4</t>
  </si>
  <si>
    <t>هل أحد المؤسسين أو أعضاء مجلس الإدارة أو المدراء التنفيذيين التالية أسمائهم للعميل قريبا لك من الدرجة الرابعة (يتعين تعبئة النموذج (2/1) قبل الإجابة على هذا السؤال) :</t>
  </si>
  <si>
    <t>ن1-1-1-3</t>
  </si>
  <si>
    <t>تم مراجعه قائمة أسماء المؤسسين وأعضاء مجلس الإدارة والمدراء التنفيذيين والشركاء للعميل بتاريخ القوائم المالية لمعرفة ما إذا كان هناك عمليات أو علاقات تخل بمتطلبات الاستقلال.</t>
  </si>
  <si>
    <t>ن1-1-1-2</t>
  </si>
  <si>
    <t>تم الإطلاع على قواعد الاستقلال وتفسيراته طبقا لما تتطلبه الأنظمة واللوائح ذات العلاقة بالمهنة والمعايير والقواعد المهنية الصادرة عن الهيئة السعودية للمحاسبين القانونيين والتشريعات الأخرى ذات العلاقة ؟  لقد قرأت وفهمت سياسات المكتب وإجراءاتة الخاصة بالاستقلال وأؤكد بهذا ان المعلومات والبيانات الموضحة ادناه عن السنة المالية المنتهية في تاريخ القوائم المالية طبقا لافضل علمي صحيحة واكون مسؤولا مسؤولية كاملة إذا تبين خلاف ذلك . وفى حالة الإجابة بنعم يتم تحديد ومناقشة تلك المصلحة مع الشريك المسؤول عن العملية وتحديد الاجراء اللازم</t>
  </si>
  <si>
    <t>ن1-1-1-1</t>
  </si>
  <si>
    <t>ضوابط وقواعد الاستقلال  'يقوم كل موظف من أفراد فريق عمل المراجعة بتعبئة هذا النموذج ومرفقاته قبل بدء عملية المراجعة ويحفظ فى الملف الدائم للعملية ويتم تحديثه قبل بداية المراجعة لكل سنة مالية.</t>
  </si>
  <si>
    <t>ن1-1-1</t>
  </si>
  <si>
    <t>استقلالية فريق العمل</t>
  </si>
  <si>
    <t>ن1-1</t>
  </si>
  <si>
    <t>الملف الإداري (المرحلة الثانية لقبول المنشأة والموافقة على الارتباط)</t>
  </si>
  <si>
    <t>ن1</t>
  </si>
  <si>
    <t>الملف الإداري للمراجعة</t>
  </si>
  <si>
    <t>يوجد ادمن للبرنامج</t>
  </si>
  <si>
    <t>ع2-5-4-5</t>
  </si>
  <si>
    <t>حماية البرنامج حسب راينا ويمكن الاعتماد عليها</t>
  </si>
  <si>
    <t>ع2-5-4-4</t>
  </si>
  <si>
    <t>تم اختبار بعض القيود</t>
  </si>
  <si>
    <t>ع2-5-4-3</t>
  </si>
  <si>
    <t xml:space="preserve">عدد المستخدمين </t>
  </si>
  <si>
    <t>ع2-5-4-2</t>
  </si>
  <si>
    <t>اسم البرنامج المحاسبي اسماك</t>
  </si>
  <si>
    <t>ع2-5-4-1</t>
  </si>
  <si>
    <t>تم مراجعة النموذج اعلاه بناء على المعطيات التالية:</t>
  </si>
  <si>
    <t>ع2-5-4</t>
  </si>
  <si>
    <t>توفير المخرجات للموظفين المختصين يتم في الوقت المناسب.</t>
  </si>
  <si>
    <t>ع2-5-3-3</t>
  </si>
  <si>
    <t>تداول المخرجات يقتصر على الموظفين المختصين.</t>
  </si>
  <si>
    <t>ع2-5-3-2</t>
  </si>
  <si>
    <t>تم التأكد من صحة نتائج المعالجات الآلية</t>
  </si>
  <si>
    <t>ع2-5-3-1</t>
  </si>
  <si>
    <t>الرقابة على المخرجات:</t>
  </si>
  <si>
    <t>ع2-5-3</t>
  </si>
  <si>
    <t xml:space="preserve">قد تم تحديد وتصحيح أخطاء المعالجة في الوقت المناسب. </t>
  </si>
  <si>
    <t>ع2-5-2-3</t>
  </si>
  <si>
    <t>لم يتم فقدان العمليات أو الإضافة إليها أو استنساخها أو تغييرها بصورة رسمية.</t>
  </si>
  <si>
    <t>ع2-5-2-2</t>
  </si>
  <si>
    <t>قد تمت معالجة العمليات بالحساب الالي ، بما في ذلك العمليات المحدثة بواسطة النظام .</t>
  </si>
  <si>
    <t>ع2-5-2-1</t>
  </si>
  <si>
    <t>الرقابة على المعالجة وملفات بيانات الحاسب الآلي:</t>
  </si>
  <si>
    <t>ع2-5-2</t>
  </si>
  <si>
    <t>قد تم تحديد أو تصحيح وإعادة تقديم العمليات غير الصحيحة في الوقت المناسب.</t>
  </si>
  <si>
    <t>ع2-5-1-4</t>
  </si>
  <si>
    <t>لا يتم فقد العمليات او إضافة عمليات او تكرارها أو تغيرها بشكل غير سليم.</t>
  </si>
  <si>
    <t>ع2-5-1-3</t>
  </si>
  <si>
    <t>قد تم تحويل العمليات بدقة إلى شكل مقروء للآلة وتم تسجيلها في ملفات بيانات  الحاسب الآلي بشكل صحيح</t>
  </si>
  <si>
    <t>ع2-5-1-2</t>
  </si>
  <si>
    <t>قد تمت الموافقة الرسمية على العمليات قبل معالجتها بالحاسب الآلي.</t>
  </si>
  <si>
    <t>ع2-5-1-1</t>
  </si>
  <si>
    <t>الرقابة على المدخلات:</t>
  </si>
  <si>
    <t>ع2-5-1</t>
  </si>
  <si>
    <t>1.2.5</t>
  </si>
  <si>
    <t>اختبار المعالجات</t>
  </si>
  <si>
    <t>ع2-5</t>
  </si>
  <si>
    <t>يتوفر وسائل الامان الكافية التى تكفل الحفاظ على أمن وسلامة الاجهزة والبرامج وهل يوجد ضوابط رقابية كافية تحول دون التلاعب فى البرامج .</t>
  </si>
  <si>
    <t>ع2-4-1-5</t>
  </si>
  <si>
    <t xml:space="preserve">يتم توثيق الادخال ( القيود المحاسبية ، البرامج ، تعليمات تشغيل الحاسب ، وظائف وإختصاصات الافراد الذين يقومون بالتشغيل ) </t>
  </si>
  <si>
    <t>ع2-4-1-4</t>
  </si>
  <si>
    <t xml:space="preserve">ـ البنود الظاهرة بالمخرجات مؤيدة بمستند مكتوب وفى حالة غياب ذلك بسبب إدخال المعلومات مباشرة يجب أن يعزز البند بإيضاح مكتوب . </t>
  </si>
  <si>
    <t>ع2-4-1-3</t>
  </si>
  <si>
    <t>ـ إستخراج بيانات مطبوعة من الحاسب الالى ( مخرجات ) بشكل دورى منتظم    ( شهرى ) وتكون هذه المخرجات باللغة العربية .</t>
  </si>
  <si>
    <t>ع2-4-1-2</t>
  </si>
  <si>
    <t>ـ يسمح بالتفتيش على المعلومات فى أى وقت . فى حالة إستخدام الحاسب الالى فى الحسابات باللغة العربية  هل يتصف الحاسب الالى بالضوابط الواردة باللائحة التنفيذية وتعديلاتها كالاتى</t>
  </si>
  <si>
    <t>ع2-4-1-1</t>
  </si>
  <si>
    <t>A.7.11</t>
  </si>
  <si>
    <t>الحاسب الآلي والدفاتر  يتعين التأكد من أن المنشأة لديها الحد الادنى للدفاتر التجارية التى يستلزم إمساكها منتظمة باللغة العربية وذلك وفقاً  "لما نص عليه المرسوم الملكى  رقم 61/م بتاريخ 17/12/ 1409هـ والقرارات الوزارية اللاحقة بالرقم 699 وتاريخ " 1410/7/29هـ والخاص باللائحة التنفيذية ، ورقم 1110 وتاريخ 24/ 1410/12هـ ورقم 1623 وتاريخ 1423/7/14هـ   "والخاص بتعديل المادة الثالثة من اللائحة التنفيذية</t>
  </si>
  <si>
    <t>ع2-4-1</t>
  </si>
  <si>
    <t>1.2.4</t>
  </si>
  <si>
    <t>تقييم الدفاتر</t>
  </si>
  <si>
    <t>ع2-4</t>
  </si>
  <si>
    <r>
      <rPr>
        <u/>
        <sz val="12"/>
        <rFont val="Adobe Devanagari"/>
        <charset val="178"/>
      </rPr>
      <t>الرأي :</t>
    </r>
    <r>
      <rPr>
        <sz val="12"/>
        <rFont val="Adobe Devanagari"/>
        <charset val="178"/>
      </rPr>
      <t xml:space="preserve"> نظيف ولا يوجد شك لدينا بأمور تجعلنا نتوقع حدوث عمليات غسيل أموال</t>
    </r>
  </si>
  <si>
    <t>ع2-3-4-1</t>
  </si>
  <si>
    <t>A.7.10</t>
  </si>
  <si>
    <t>راي المحاسب القانوني</t>
  </si>
  <si>
    <t>ع2-3-4</t>
  </si>
  <si>
    <t>ع2-3-3-1</t>
  </si>
  <si>
    <t>A.7.09</t>
  </si>
  <si>
    <t>راي مدير المراجعة</t>
  </si>
  <si>
    <t>ع2-3-3</t>
  </si>
  <si>
    <t>ع2-3-2-1</t>
  </si>
  <si>
    <t>A.7.08</t>
  </si>
  <si>
    <t>راي المراجع المباشر</t>
  </si>
  <si>
    <t>ع2-3-2</t>
  </si>
  <si>
    <t>هل توجد عمليات غير اعتيادية لدى المنشأة ؟</t>
  </si>
  <si>
    <t>ع2-3-1-6</t>
  </si>
  <si>
    <t>هل للمنشأة أية تعاملات مع مكاتب الصرافة في مجال تحويل العملات بمبالغ كبيرة خارج المملكة ؟</t>
  </si>
  <si>
    <t>ع2-3-1-5</t>
  </si>
  <si>
    <t>هل للمنشأة أية تعاملات في المجوهرات والأحجار الكريمة ذات القيمة العالية ؟</t>
  </si>
  <si>
    <t>ع2-3-1-4</t>
  </si>
  <si>
    <t>هل قامت المنشأة بإبرام اتفاقات اقتراض من بنوك أجنبية ؟</t>
  </si>
  <si>
    <t>ع2-3-1-3</t>
  </si>
  <si>
    <t>هل تتعامل المنشأة مع شركات الدَمي (شركات أجنبية مستترة) ؟</t>
  </si>
  <si>
    <t>ع2-3-1-2</t>
  </si>
  <si>
    <t>هل تلتزم المنشأة بالتعليمات والقوانين الصادرة عن وزارة التجارة فيما يخص مكافحة غسل الاموال وتمويل الإرهاب؟</t>
  </si>
  <si>
    <t>ع2-3-1-1</t>
  </si>
  <si>
    <t>A.7.07</t>
  </si>
  <si>
    <t>توثيق الفهم بنموذج غسيل الأموال</t>
  </si>
  <si>
    <t>ع2-3-1</t>
  </si>
  <si>
    <t>1.2.3</t>
  </si>
  <si>
    <t>قائمة إستبيان مكافحة غسيل الاموال</t>
  </si>
  <si>
    <t>ع2-3</t>
  </si>
  <si>
    <t>A.4</t>
  </si>
  <si>
    <t>هل تم اصدار وارسال خطاب المحاسب السابق ؟</t>
  </si>
  <si>
    <t>ع2-2-1-16</t>
  </si>
  <si>
    <t>هل تم تكوين المخصصات الكافية لمقابلة الالتزامات المحتملة الحدوث ؟</t>
  </si>
  <si>
    <t>ع2-2-1-15</t>
  </si>
  <si>
    <t>هل يوجد أي رهنيات أو حجوزات على موجودات المنشأة ؟</t>
  </si>
  <si>
    <t>ع2-2-1-14</t>
  </si>
  <si>
    <t>هل جرى أية تعديلات على السياسات المحاسبية التي اتبعتها المنشأة خلال العام المالي السابق ؟ (( تذكر التعديلات ومبرراتها (إن وجدت) ))</t>
  </si>
  <si>
    <t>ع2-2-1-13</t>
  </si>
  <si>
    <t>هل جميع الموجودات التي تخص المنشأة مسجلة في الدفاتر المحاسبية وفقا لأصول المحاسبة المتعارف عليها ؟</t>
  </si>
  <si>
    <t>ع2-2-1-12</t>
  </si>
  <si>
    <t>هل حصل خلال العام أية معاملات يمكن أن تؤثر بشكل مادي على المركز المالي للمنشأة ولم تنعكس بعد على حساباتها ؟</t>
  </si>
  <si>
    <t>ع2-2-1-11</t>
  </si>
  <si>
    <t>هل توجد قضايا قائمة مرفوعة من قبل المنشأة أو ضدها ؟ تذكر مبالغ المطالبات والموقف في نهاية العام</t>
  </si>
  <si>
    <t>ع2-2-1-10</t>
  </si>
  <si>
    <t>هل عقد مجلس الإدارة أو الجمعية العمومية اجتماعات خلال العام ؟ (في حالة الشركات) ((ترفق صور محاضر الاجتماعات ))</t>
  </si>
  <si>
    <t>ع2-2-1-9</t>
  </si>
  <si>
    <t>هل تم تجديد السجلات التجارية ؟ (( ترفق صورة التراخيص ))</t>
  </si>
  <si>
    <t>ع2-2-1-8</t>
  </si>
  <si>
    <t>هل تم تجديد التراخيص الممنوحة للمنشأة لمزاولة نشاطها ؟ (( ترفق صورة التراخيص ))</t>
  </si>
  <si>
    <t>ع2-2-1-7</t>
  </si>
  <si>
    <t>هل هناك قضايا لا زالت معلقة مع المصلحة ؟</t>
  </si>
  <si>
    <t>ع2-2-1-6</t>
  </si>
  <si>
    <t xml:space="preserve">هل تم توضيح الموقف الزكوي بايضاحات القوائم المالية </t>
  </si>
  <si>
    <t>ع2-2-1-5</t>
  </si>
  <si>
    <t>هل تم توضيح فروع المنشأة بالسياسات في القوائم ؟</t>
  </si>
  <si>
    <t>ع2-2-1-4</t>
  </si>
  <si>
    <t>هل قامت المنشأة بفتح فروع جديدة أو إضافة أنشطة جديدة خلال العام ؟</t>
  </si>
  <si>
    <t>ع2-2-1-3</t>
  </si>
  <si>
    <t>هل تم الانتهاء من الإجراءات النظامية المتعلقة بهذا التعديل ؟ ((ترفق صور الوثائق المتعلقة بذلك ))</t>
  </si>
  <si>
    <t>ع2-2-1-2</t>
  </si>
  <si>
    <t>هل أجري تعديل على عقد التأسيس خلال العام ؟           (في حالة الشركات)</t>
  </si>
  <si>
    <t>ع2-2-1-1</t>
  </si>
  <si>
    <t>A.4.01</t>
  </si>
  <si>
    <t xml:space="preserve">معرفة المنشأة وتوثيق الفهم </t>
  </si>
  <si>
    <t>ع2-2-1</t>
  </si>
  <si>
    <t xml:space="preserve">قائمة الاستقصاء </t>
  </si>
  <si>
    <t>ع2-2</t>
  </si>
  <si>
    <t>هل توجد سياسة ثابتة لمنح الموظفين والعمال السلف</t>
  </si>
  <si>
    <t>ع2-1-6-4</t>
  </si>
  <si>
    <t xml:space="preserve">هل تعتمد الرواتب من الرؤساء المباشرين والادارة </t>
  </si>
  <si>
    <t>ع2-1-6-3</t>
  </si>
  <si>
    <t>هل يتم عمل عقود  للعمال والموظفين</t>
  </si>
  <si>
    <t>ع2-1-6-2</t>
  </si>
  <si>
    <t>هل توجد لوائح ثابتة  للرواتب</t>
  </si>
  <si>
    <t>ع2-1-6-1</t>
  </si>
  <si>
    <t>A.7.06</t>
  </si>
  <si>
    <t>الرقابة الداخلية للرواتب والأجور</t>
  </si>
  <si>
    <t>ع2-1-6</t>
  </si>
  <si>
    <t>هل يتم استبعاد الاصول بناء على موافقة واعتماد الادارة .</t>
  </si>
  <si>
    <t>ع2-1-5-6</t>
  </si>
  <si>
    <t>هل يتم اضافة الاصول المشتراة لسجل الاصول.</t>
  </si>
  <si>
    <t>ع2-1-5-5</t>
  </si>
  <si>
    <t>هل توجد سياسة لرسملة المصروفات.</t>
  </si>
  <si>
    <t>ع2-1-5-4</t>
  </si>
  <si>
    <t>هل يتم ترقيم الموجدودات الثابتة</t>
  </si>
  <si>
    <t>ع2-1-5-3</t>
  </si>
  <si>
    <t>هل تسجل الاصول بتاريخ الشراء وتاريخ العمل</t>
  </si>
  <si>
    <t>ع2-1-5-2</t>
  </si>
  <si>
    <t>هل تحتفظ المنشأة بسجل للموجودات الثابنة</t>
  </si>
  <si>
    <t>ع2-1-5-1</t>
  </si>
  <si>
    <t>A.7.05</t>
  </si>
  <si>
    <t>تقييم الرقابة للموجودات الثابتة</t>
  </si>
  <si>
    <t>ع2-1-5</t>
  </si>
  <si>
    <t>هل يتم عمل عقود مع كبار العملاء  لتحديد الحد الاعلى  للمبيعات ومدة السداد .</t>
  </si>
  <si>
    <t>ع2-1-4-7</t>
  </si>
  <si>
    <t>هل يتم الزام المندوبين والمحصلين بتحصيل الديون من العملاء  .</t>
  </si>
  <si>
    <t>ع2-1-4-6</t>
  </si>
  <si>
    <t>هل يتم مراجعة اعمار الديون للعملاء وتكوين مخصص ديون مشكوك فيها مناسب   .</t>
  </si>
  <si>
    <t>ع2-1-4-5</t>
  </si>
  <si>
    <t>هل يتم فحص المرتجعات وهل هي بحالة جيدة في الحدود المسموح بها</t>
  </si>
  <si>
    <t>ع2-1-4-4</t>
  </si>
  <si>
    <t>هل يتم الفصل بين من يقوم باعتماد فاتورة المبيعات ومن يقوم بتسليم البضاعة ومن يقوم بتسجيل البيع محاسبيا</t>
  </si>
  <si>
    <t>ع2-1-4-3</t>
  </si>
  <si>
    <t>هل لا يسمح بخروج البضاعة الا بموجب سند اخراج بضاعة صادر من المبيعات مرفق صورة المبيعات المعتمدة</t>
  </si>
  <si>
    <t>ع2-1-4-2</t>
  </si>
  <si>
    <t>هل يتم تحرير الفواتير بناء على طلبات شراء من العملاء .</t>
  </si>
  <si>
    <t>ع2-1-4-1</t>
  </si>
  <si>
    <t>A.7.04</t>
  </si>
  <si>
    <t>الرقابة على المبيعات / الإيرادات والمديونية</t>
  </si>
  <si>
    <t>ع2-1-4</t>
  </si>
  <si>
    <t>هل يتم الاحتفاظ  بدفاتر الشيكات غير المستعملة  وكعوب الشيكات المستعملة منها بالخزينة  .</t>
  </si>
  <si>
    <t>ع2-1-3-9</t>
  </si>
  <si>
    <t>هل تحتفظ الخزينة بصور سندات الصرف والقبض وكعوب الشيكات وهل يتم جردها بصفة دورية .</t>
  </si>
  <si>
    <t>ع2-1-3-8</t>
  </si>
  <si>
    <t>هل يتم مراجعة مرفقات استعاضة السلفة من قبل الادارة المالية قبل صرف الاستعاضة .</t>
  </si>
  <si>
    <t>ع2-1-3-7</t>
  </si>
  <si>
    <t>هل تتضمن القوائم المالية قائمة التدفقات النقدية .</t>
  </si>
  <si>
    <t>ع2-1-3-6</t>
  </si>
  <si>
    <t>هل تشمل القيود اليومية وسندات الصرف والقبض كافة معاملات المنشأة المالية .</t>
  </si>
  <si>
    <t>ع2-1-3-5</t>
  </si>
  <si>
    <t>هل يتم جرد الخزينة جردا فجائياً</t>
  </si>
  <si>
    <t>ع2-1-3-4</t>
  </si>
  <si>
    <t>هل للمنشأة سياسة محاسبية تبلغ بها الادارة المالية وهل السجلات مقصور الاطلاع عليها على الادارة المالية .</t>
  </si>
  <si>
    <t>ع2-1-3-3</t>
  </si>
  <si>
    <t>هل يتم التأمين على أمين الخزينة .</t>
  </si>
  <si>
    <t>ع2-1-3-2</t>
  </si>
  <si>
    <t>هل يتم الفصل بين معتمد الصرف وامين الخزينة والقائم بتسجيل الصرف</t>
  </si>
  <si>
    <t>ع2-1-3-1</t>
  </si>
  <si>
    <t>A.7.03</t>
  </si>
  <si>
    <t>ع2-1-3</t>
  </si>
  <si>
    <t>هل يتم التحقق من المستلم قبل تسليمه الشيكات او النقدية</t>
  </si>
  <si>
    <t>ع2-1-2-4</t>
  </si>
  <si>
    <t>هل يتم مراجعة مرفقات سندات الصرف والقبض قبل اعتمادها</t>
  </si>
  <si>
    <t>ع2-1-2-3</t>
  </si>
  <si>
    <t>هل سندات الصرف والقبض مرقمة ويتم مراجعة التسلسل</t>
  </si>
  <si>
    <t>ع2-1-2-2</t>
  </si>
  <si>
    <t>هل يتم تدريب امناء الصندوق  والعهد</t>
  </si>
  <si>
    <t>ع2-1-2-1</t>
  </si>
  <si>
    <t>A.7.02</t>
  </si>
  <si>
    <t>الرقابة الداخلية على إدارة المقبوضات والمدفوعات</t>
  </si>
  <si>
    <t>ع2-1-2</t>
  </si>
  <si>
    <t>هل يوجد شخص يقوم بمراجعة قيود التسوية  غير الشخص الذي يقوم باعدادها .</t>
  </si>
  <si>
    <t>ع2-1-1-8</t>
  </si>
  <si>
    <t>هل يتم حفظ دفاتر الشيكات  والدفاتر المحاسبية في مكان امن .</t>
  </si>
  <si>
    <t>ع2-1-1-7</t>
  </si>
  <si>
    <t>هل من يقوم بتحرير سندات الصرف اشخاص غير امين الخزينة .</t>
  </si>
  <si>
    <t>ع2-1-1-6</t>
  </si>
  <si>
    <t>هل يجري التحري عن المسؤولين عن النقد قبل ترشيحهم ويتم التأمين عليهم ضد سوء الامانة والنقد في الطريق</t>
  </si>
  <si>
    <t>ع2-1-1-5</t>
  </si>
  <si>
    <t>هل ترفع تقارير دورية للادارة .</t>
  </si>
  <si>
    <t>ع2-1-1-4</t>
  </si>
  <si>
    <t>هل يوجد وصف للوظائف ولوائح للقائمين عليها حتى لاتتم الازدواجية في العمل .</t>
  </si>
  <si>
    <t>ع2-1-1-3</t>
  </si>
  <si>
    <t>هل لدى المنشأة لوائح معتمدة بالسياسات والاجراءات المحاسبية</t>
  </si>
  <si>
    <t>ع2-1-1-2</t>
  </si>
  <si>
    <t>هل يوجد رسما للهيكل التنظيمي للمنشأة</t>
  </si>
  <si>
    <t>ع2-1-1-1</t>
  </si>
  <si>
    <t>A7.01</t>
  </si>
  <si>
    <t>تقييم الجهاز التنظيمي والمحاسبة العامة</t>
  </si>
  <si>
    <t>ع2-1-1</t>
  </si>
  <si>
    <t xml:space="preserve">قوائم استبيان الرقابة الداخلية </t>
  </si>
  <si>
    <t>ع2-1</t>
  </si>
  <si>
    <t>قوائم الاستبيان والاستقصاء والتقييم والاختبار  (المرحلة الاولي لقبول المنشأة والموافقة على الارتباط)</t>
  </si>
  <si>
    <t>ع2</t>
  </si>
  <si>
    <t>B.160113</t>
  </si>
  <si>
    <t>B.160112</t>
  </si>
  <si>
    <t>B.160111</t>
  </si>
  <si>
    <t>B.160110</t>
  </si>
  <si>
    <t>نموذج/ PDF</t>
  </si>
  <si>
    <t>خطاب عدم مزاولة النشـــــــــــــــــــــــــــــــــــــــــاط ان كانت لم تمارس النشاط</t>
  </si>
  <si>
    <t>ع1-1-1-10</t>
  </si>
  <si>
    <t>B.160109</t>
  </si>
  <si>
    <t xml:space="preserve">تفويض برفع القوائم المالية عبر الموقع الالكترونى بوزارة التجارة </t>
  </si>
  <si>
    <t>ع1-1-1-9</t>
  </si>
  <si>
    <t>B.160108</t>
  </si>
  <si>
    <t>خلفية عن نشاط المنشأة وفروعـــــــــــــــــــــــــــــــــه</t>
  </si>
  <si>
    <t>ع1-1-1-8</t>
  </si>
  <si>
    <t>B.160107</t>
  </si>
  <si>
    <t>PDF</t>
  </si>
  <si>
    <t>بيان الاستيراد من الجمارك  (في حالة وجود استيراد من الخارج)</t>
  </si>
  <si>
    <t>ع1-1-1-7</t>
  </si>
  <si>
    <t>B.160106</t>
  </si>
  <si>
    <t>شهادة التامينات باجمالى الرواتب قيمة وعــــــــــــــدد</t>
  </si>
  <si>
    <t>ع1-1-1-6</t>
  </si>
  <si>
    <t>B.160105</t>
  </si>
  <si>
    <t>صورة آخر شهادة زكاة شرعية (شركة / مؤسســـــــة)</t>
  </si>
  <si>
    <t>ع1-1-1-5</t>
  </si>
  <si>
    <t>B.160104</t>
  </si>
  <si>
    <t>صور هويات الشركاء / صاحب المنشأة</t>
  </si>
  <si>
    <t>ع1-1-1-4</t>
  </si>
  <si>
    <t>B.160103</t>
  </si>
  <si>
    <t>ترخيص المزاولة مختـــــــــــــــــــــــــــــــــــــــــــــــوم</t>
  </si>
  <si>
    <t>ع1-1-1-3</t>
  </si>
  <si>
    <t>B.160102</t>
  </si>
  <si>
    <t>عقد تأسيس المنشأة وتعديلاتة وصور من محاضر اجتماعات مجلس الإدارة</t>
  </si>
  <si>
    <t>ع1-1-1-2</t>
  </si>
  <si>
    <t>B.160101</t>
  </si>
  <si>
    <t>السجل التجــــــــــــــــــــــــــــاري وفروع السجل التجاري</t>
  </si>
  <si>
    <t>ع1-1-1-1</t>
  </si>
  <si>
    <t>B.16.01</t>
  </si>
  <si>
    <t>صورمن المستندات الرسمية الرسمية للمنشأة</t>
  </si>
  <si>
    <t>ع1-1-1</t>
  </si>
  <si>
    <t>المستندات من المنشأة</t>
  </si>
  <si>
    <t>ع1-1</t>
  </si>
  <si>
    <t>الملف الدائم (مرحلة استكمال المتطلبات الأساسية</t>
  </si>
  <si>
    <t>ع1</t>
  </si>
  <si>
    <t>نوع الإجابة</t>
  </si>
  <si>
    <t>ملف عموميات</t>
  </si>
  <si>
    <t>ع</t>
  </si>
  <si>
    <t>بيان</t>
  </si>
  <si>
    <t>فهرس الملــــــــــــــــــــــــــــــــــــف</t>
  </si>
  <si>
    <t>ورقة عمل رقم</t>
  </si>
  <si>
    <t>فاصل</t>
  </si>
  <si>
    <t>امثلة الاستخدام</t>
  </si>
  <si>
    <t>الاجراء</t>
  </si>
  <si>
    <t>وفقا لمعيار التدقيق الدولي رقم (500) هنالك عدة إجراءات يستخدمها المدقق للحصول على أدلة تدقيق، وهي</t>
  </si>
  <si>
    <t>المعيار الدولي</t>
  </si>
  <si>
    <t>الوظيفة والتوقيع</t>
  </si>
  <si>
    <t>فريق العمل</t>
  </si>
  <si>
    <t>الرجاء كتابة الدليل المرفق هنا</t>
  </si>
  <si>
    <t>الرأي : نظيف ولا يوجد شك لدينا بأمور تجعلنا نتوقع حدوث عمليات غسيل أموال</t>
  </si>
  <si>
    <t>الحاسب الآلي والدفاتر  يتعين التأكد من أن المنشأة لديها الحد الادنى للدفاتر التجارية...</t>
  </si>
  <si>
    <t>ـ يسمح بالتفتيش على المعلومات فى أى وقت ... (ضوابط اللائحة التنفيذية)</t>
  </si>
  <si>
    <t>ـ إستخراج بيانات مطبوعة من الحاسب الالى (مخرجات) بشكل دورى منتظم (شهرى) باللغة العربية.</t>
  </si>
  <si>
    <t>ـ البنود الظاهرة بالمخرجات مؤيدة بمستند مكتوب...</t>
  </si>
  <si>
    <t>توثيق الادخال (القيود/البرامج/تعليمات التشغيل/الوظائف...)</t>
  </si>
  <si>
    <t>وسائل الأمان والضوابط ضد التلاعب في البرامج.</t>
  </si>
  <si>
    <t>قد تم تحويل العمليات بدقة إلى شكل مقروء للآلة...</t>
  </si>
  <si>
    <t>قد تم تحديد أو تصحيح وإعادة تقديم العمليات غير الصحيحة...</t>
  </si>
  <si>
    <t>قد تمت معالجة العمليات بالحساب الالي...</t>
  </si>
  <si>
    <t>ضوابط وقواعد الاستقلال  'يقوم كل موظف...</t>
  </si>
  <si>
    <t>تم الإطلاع على قواعد الاستقلال...</t>
  </si>
  <si>
    <t>تم مراجعه قائمة أسماء المؤسسين...</t>
  </si>
  <si>
    <t>هل أحد المؤسسين أو أعضاء مجلس الإدارة...</t>
  </si>
  <si>
    <t>ليس للمكتب او احد موظفية يعتبر...</t>
  </si>
  <si>
    <t>هل أنت عضو في مجلس إدارة إحدى الشركات...</t>
  </si>
  <si>
    <t>هل أتعاب المراجعة... ليست بالقيمة التى تضعف...</t>
  </si>
  <si>
    <t>فريق العمل ليس على علم بأى نزاع...</t>
  </si>
  <si>
    <t>لاتوجد أتعاب مستحقة طرف المنشأة...</t>
  </si>
  <si>
    <t>فريق العمل يعلم طبيعة نشاط المنشأة...</t>
  </si>
  <si>
    <t>فريق العمل يستوعب المنشأة...</t>
  </si>
  <si>
    <t>لايوجد موظف فى منشأة المنشأة كان شريكاً...</t>
  </si>
  <si>
    <t>فريق العمل وعائلاتهم لديهم استقلال تام...</t>
  </si>
  <si>
    <t>وقد اقر فريق العمل بالعلم على السياسات الخاصة...</t>
  </si>
  <si>
    <t>بيانات الملاك الرئيسيون ، المديرون التنفيذيون ، أعضاء مجلس الإدارة :</t>
  </si>
  <si>
    <t>توضيح نتائج الاستفسارات من المراجع السابق...</t>
  </si>
  <si>
    <t>وصف نوع الخدمات التي سيقدمها المكتب...</t>
  </si>
  <si>
    <t>المستفيدين الأساسيين من الخدمة...</t>
  </si>
  <si>
    <t>الاطلاع علي آخر قوائم مالية وإقرارات زكوية...</t>
  </si>
  <si>
    <t>وصف أي مشكلة مهمة قد تؤثر على العملية...</t>
  </si>
  <si>
    <t>وصف أي تغيرات رئيسية...</t>
  </si>
  <si>
    <t>هل لدينا علم بأي خلافات مهمة بين الإدارة...</t>
  </si>
  <si>
    <t>هل تفوق احتياجات المنشأة إمكانياتنا الفنية...</t>
  </si>
  <si>
    <t>هل نحـن نعلم بأي مشاكل متعلقة بالاستقلال...</t>
  </si>
  <si>
    <t>هل هناك عوامل مخاطرة عالية...</t>
  </si>
  <si>
    <t>هل هناك مشكلة محتملة مع الإدارة...</t>
  </si>
  <si>
    <t>بالنسبة لأي إجابات "بنعم" ، اشرح...</t>
  </si>
  <si>
    <t>إشارة للموضوع أعلاه ... نأمل الافادة...</t>
  </si>
  <si>
    <t>بناءً على طلبكم منا لتقديم عرض...</t>
  </si>
  <si>
    <t>خلفية عن المنشأة و نشاطه...</t>
  </si>
  <si>
    <t>بيانات عن العاملين الرئيسيين...</t>
  </si>
  <si>
    <t>وصف مختصر عن النظام المحاسبى...</t>
  </si>
  <si>
    <t>النظام المحاسبي المستخدم نظامي اّلي...</t>
  </si>
  <si>
    <t>أى بنود هامة ضمن خطاب التكليف...</t>
  </si>
  <si>
    <t>(المساعدة التي سيقدمها المنشأة...)</t>
  </si>
  <si>
    <t>الاتفاق على مكان مناسب لفريق المراجعة...</t>
  </si>
  <si>
    <t>تم تخصيص المكان الملائم...</t>
  </si>
  <si>
    <t>وصف مختصر للنظام الرقابي...</t>
  </si>
  <si>
    <t>بناء على الاستبيانات...</t>
  </si>
  <si>
    <t>المخاطر الذاتية 30%...</t>
  </si>
  <si>
    <t>المخاطر الرقابية 35%...</t>
  </si>
  <si>
    <t>مخاطر عدم الاكتشاف 40%...</t>
  </si>
  <si>
    <t>تحديد الأهمية النسبية...</t>
  </si>
  <si>
    <t>الفحص المستندي للتحقق من التأكيدات...</t>
  </si>
  <si>
    <t>توصية الإدارة بمعالجة نقاط الضعف...</t>
  </si>
  <si>
    <t>الاستفسار من الجهاز المحاسبي...</t>
  </si>
  <si>
    <t>ن2-2-9-10</t>
  </si>
  <si>
    <t>توسيع الاستراتيجية العامة: ربط المخاطر بالإدعاءات والإجراءات</t>
  </si>
  <si>
    <t>المشاكل المحاسبية و العوائق خلال عملية المراجعة...</t>
  </si>
  <si>
    <t>حتى الاَن لا توجد أي مشاكل...</t>
  </si>
  <si>
    <t>النقد وما في حكمة</t>
  </si>
  <si>
    <t>ذمم وارصدة مدينة تجارية</t>
  </si>
  <si>
    <t>المخزون السلعي  ( البضاعة )</t>
  </si>
  <si>
    <t>ذمم وارصدة مدينة اخري</t>
  </si>
  <si>
    <t>مستحق من اطراف ذات علاقة</t>
  </si>
  <si>
    <t>أرصدة مدينة مدفوعة مقدما</t>
  </si>
  <si>
    <t>مصاريف تمويل مؤجلة</t>
  </si>
  <si>
    <t>تعويضات مستحقة</t>
  </si>
  <si>
    <t>أوراق قبض</t>
  </si>
  <si>
    <t>خطابات ضمان</t>
  </si>
  <si>
    <t>مخزون غير معد للبيع</t>
  </si>
  <si>
    <t>الإيرادات المستحقة</t>
  </si>
  <si>
    <t>مجموع الموجودات المتداولة</t>
  </si>
  <si>
    <t>أصول بموجب عقود ايجار تمويلي</t>
  </si>
  <si>
    <t>استثمارات طويلة الاجل</t>
  </si>
  <si>
    <t>مصاريف ايرادية مؤجلة</t>
  </si>
  <si>
    <t>مصاريف التاسيس ومشاريع تحت التنفيذ</t>
  </si>
  <si>
    <t>الممتلكات والالات والمعدات</t>
  </si>
  <si>
    <t>مجموع الموجودات غير المتداولة</t>
  </si>
  <si>
    <t xml:space="preserve"> إجمالي الموجودات</t>
  </si>
  <si>
    <t>المطلوبات وحقوق الشركاء</t>
  </si>
  <si>
    <t>المطلوبات المتداولة:</t>
  </si>
  <si>
    <t>ذمم وارصدة دائنة تجارية</t>
  </si>
  <si>
    <t>ذمم وارصدة دائنة اخري</t>
  </si>
  <si>
    <t>مستحق الي أطرف ذات علاقة ضمن المطلوبات المتداولة شركات شقيقة</t>
  </si>
  <si>
    <t>مستحق الي أطرف ذات علاقة ضمن المطلوبات المتداولة شركاء</t>
  </si>
  <si>
    <t>الجزء المتداول من الالتزامات بموجب عقود ايجار تمويلي</t>
  </si>
  <si>
    <t>الجزء المتداول من قروض قصيرة الاجل</t>
  </si>
  <si>
    <t>الجزء المتداول من قروض طويلة الاجل</t>
  </si>
  <si>
    <t>اوراق دفع</t>
  </si>
  <si>
    <t>مجموع المطلوبات المتداولة</t>
  </si>
  <si>
    <t>المطلوبات غير المتداولة:</t>
  </si>
  <si>
    <t>مستحق الي أطرف ذات علاقة ضمن المطلوبات غير المتداولة شركات شقيقة</t>
  </si>
  <si>
    <t>مستحق الي أطرف ذات علاقة ضمن المطلوبات غير المتداولة شركاء</t>
  </si>
  <si>
    <t>الجزء الغير متداول من الالتزامات بموجب عقود ايجار تمويلي</t>
  </si>
  <si>
    <t>الجزء الغير متداول من قروض قصيرة الاجل</t>
  </si>
  <si>
    <t>مجموع المطلوبات غير المتداولة</t>
  </si>
  <si>
    <t>حقوق الشركاء</t>
  </si>
  <si>
    <t>راس المال</t>
  </si>
  <si>
    <t>الاحتياطي النظامي</t>
  </si>
  <si>
    <t>الاحتياطي الاختياري</t>
  </si>
  <si>
    <t>احتياطات اخري</t>
  </si>
  <si>
    <t>إضافة حساب جديد 1(حقوق الملكية / الشركاء / المساهمين)</t>
  </si>
  <si>
    <t>إضافة حساب جديد 2(حقوق الملكية / الشركاء / المساهمين)</t>
  </si>
  <si>
    <t>صافي الأرباح المبقاه</t>
  </si>
  <si>
    <t>مجموع حقوق الشركاء</t>
  </si>
  <si>
    <t>مجموع المطلوبات</t>
  </si>
  <si>
    <t>إجمالي حقوق الشركاء والمطلوبات</t>
  </si>
  <si>
    <t>قائمة الدخل والدخل الشامل الآخر</t>
  </si>
  <si>
    <t>Tuesday, December 31, 2024</t>
  </si>
  <si>
    <t>تكلفة الإيرادات</t>
  </si>
  <si>
    <t>مجمل ربح التشغيل</t>
  </si>
  <si>
    <t>مصاريف العمليات المستمرة</t>
  </si>
  <si>
    <t xml:space="preserve">مصروفات بيعيه وتسويقية </t>
  </si>
  <si>
    <t>مصروفات عمومية وإدارية</t>
  </si>
  <si>
    <t>أرباح / خسائر راسمالية</t>
  </si>
  <si>
    <t>مصروفات تمويلية</t>
  </si>
  <si>
    <t>مجموع المصروفات</t>
  </si>
  <si>
    <t>صافي ربح التشغيل من النشاط الرئيسي</t>
  </si>
  <si>
    <t>العمليات غير المستمرة</t>
  </si>
  <si>
    <t xml:space="preserve">إيرادات اخري </t>
  </si>
  <si>
    <t>تكاليف اخري</t>
  </si>
  <si>
    <t>صافي ربح / خسارة العمليات غير المستمرة</t>
  </si>
  <si>
    <t>دخل (خسارة) السنة قبل الزكاة والضريبة</t>
  </si>
  <si>
    <t>الزكاة الشرعية</t>
  </si>
  <si>
    <t>ضريبة الدخل</t>
  </si>
  <si>
    <t>صافي أرباح السنة</t>
  </si>
  <si>
    <t>الدخل الشامل الاخر</t>
  </si>
  <si>
    <t>بنود لم يتم إعادة تصنيفها ضمن الربح والخسارة</t>
  </si>
  <si>
    <t>أرباح / خسائر اكتوارية من إعادة قياس منافع الموظفين</t>
  </si>
  <si>
    <t>إعادة احتساب استهلاك الأصول الثابتة</t>
  </si>
  <si>
    <t xml:space="preserve"> الدخل والدخل الشامل الآخر للسنة </t>
  </si>
  <si>
    <t xml:space="preserve">ربحية السهم </t>
  </si>
  <si>
    <t>تم إحتساب ربحية السهم...</t>
  </si>
  <si>
    <t>ن4-1-5</t>
  </si>
  <si>
    <t>قوالب تقرير المراجع (غير معدل/معدل/تحفظ/امتناع/فقرات لفت انتباه)</t>
  </si>
  <si>
    <t>ن4-1-6</t>
  </si>
  <si>
    <t>إجراءات الأحداث اللاحقة حتى تاريخ التقرير</t>
  </si>
  <si>
    <t>ن2-2-11</t>
  </si>
  <si>
    <t>تحليلات تخطيطية (إجرائية)</t>
  </si>
  <si>
    <t>ن2-2-12</t>
  </si>
  <si>
    <t>تحليلات ختامية</t>
  </si>
  <si>
    <t>ن2-2-13</t>
  </si>
  <si>
    <t>مصفوفة ربط المخاطر بالإجراءات</t>
  </si>
  <si>
    <t>ن2-2-14</t>
  </si>
  <si>
    <t>برنامج مخصص للغش (اختبارات قيود غير عادية، تسويات، مقابلات)</t>
  </si>
  <si>
    <t>ن2-2-15</t>
  </si>
  <si>
    <t>الامتثال للأنظمة واللوائح (بخلاف مكافحة غسل الأموال)</t>
  </si>
  <si>
    <t>ن2-2-16</t>
  </si>
  <si>
    <t>التقديرات المحاسبية والتقييمات</t>
  </si>
  <si>
    <t>ن2-2-17</t>
  </si>
  <si>
    <t>الأطراف ذات العلاقة</t>
  </si>
  <si>
    <t>ن2-2-18</t>
  </si>
  <si>
    <t>الأحداث اللاحقة لتاريخ القوائم</t>
  </si>
  <si>
    <t>ن2-2-19</t>
  </si>
  <si>
    <t>الاستمرارية</t>
  </si>
  <si>
    <t>ن2-2-20</t>
  </si>
  <si>
    <t>المصادقات الخارجية العامة (بنوك/عملاء/موردون/أرصدة أخرى)</t>
  </si>
  <si>
    <t>ن2-2-21</t>
  </si>
  <si>
    <t>حضور جرد المخزون وإجراءات القصّ والتوصيل</t>
  </si>
  <si>
    <t>ن2-2-22</t>
  </si>
  <si>
    <t>إقرارات الإدارة المكتوبة</t>
  </si>
  <si>
    <t>ن2-2-23</t>
  </si>
  <si>
    <t>الأرصدة الافتتاحية والمراجع السابق</t>
  </si>
  <si>
    <t>ن2-2-24</t>
  </si>
  <si>
    <t>استخدام خبير</t>
  </si>
  <si>
    <t>ن2-2-25</t>
  </si>
  <si>
    <t>المنظمات الخدمية (تقارير نوع 1/2)</t>
  </si>
  <si>
    <t>ن2-2-26</t>
  </si>
  <si>
    <t>المراجعة المجمّعة/المكوّنات</t>
  </si>
  <si>
    <t>ن2-2-27</t>
  </si>
  <si>
    <t>الاتصال مع المسؤولين عن الحوكمة</t>
  </si>
  <si>
    <t>ن2-2-28</t>
  </si>
  <si>
    <t>Check-list توثيق ملف المراجعة</t>
  </si>
  <si>
    <t>المجموعة المطلوب تحديد أهميته النسبية...</t>
  </si>
  <si>
    <t>د اكبر من او يساوي هـ تعتبر المجموعة ذات أهمية نسبية...</t>
  </si>
  <si>
    <t>د اصغر من و تعتبر المجموعة ليست ذات أهمية نسبية...</t>
  </si>
  <si>
    <t>د اكبر من و اصغر من هـ تعتبر المجموعة ذات أهمية نسبية...</t>
  </si>
  <si>
    <t>·   احتمال وجود مدفوعات غير قانونية.</t>
  </si>
  <si>
    <t>·   احتمال حدوث مخالفات أو تصرف غير نظامي من قبل المنشأة.</t>
  </si>
  <si>
    <t>·   وجود عدم انتظام في اتجاه الأرباح من سنة لأخرى.</t>
  </si>
  <si>
    <t>·   موقف الإدارة أو وجهة نظرها تجاه سلامة وكمال القوائم المالية.</t>
  </si>
  <si>
    <t>·   وجود شروط معينة في عقد قرض حصل عليه المنشأة يتطلب بقاء نسبة مالية معينة عند حد معين.</t>
  </si>
  <si>
    <t>طريقة العمل : سوف يتم اختيار عينة عشوائية غير منتظمة...</t>
  </si>
  <si>
    <t>ن4-1-7</t>
  </si>
  <si>
    <t>نماذج مراسلات الحوكمة (نطاق/مخاطر/عيوب رقابية/توقيت) — ISA 260</t>
  </si>
  <si>
    <t>ن4-1-8</t>
  </si>
  <si>
    <t>قوالب تقارير للأطر ذات الغرض الخاص — ISA 800/805/810</t>
  </si>
  <si>
    <t>ن4-2-4-2</t>
  </si>
  <si>
    <t>أرشفة ملف المراجعة ومهلة الإقفال وإدارة النسخ — ISA 230</t>
  </si>
  <si>
    <t># إضافات تغلق الثغرات ضمن ن2-2 (مدمجة)</t>
  </si>
  <si>
    <t>ن2-2-26-1</t>
  </si>
  <si>
    <t>المادية على مستوى المكوّن والأداء للمكوّن — ISA 600</t>
  </si>
  <si>
    <t>ن2-2-26-2</t>
  </si>
  <si>
    <t>تعليمات المدقق المكوّن ونطاق عمله ومتطلباته الاتصالية — ISA 600</t>
  </si>
  <si>
    <t>ن2-2-26-3</t>
  </si>
  <si>
    <t>مراجعة أعمال المدققين المكوّنين وتقييم كفايتها — ISA 600</t>
  </si>
  <si>
    <t>ن2-2-29</t>
  </si>
  <si>
    <t>أخذ عينات المراجعة (منهجية وتقييم النتائج) — ISA 530</t>
  </si>
  <si>
    <t>ن2-2-30</t>
  </si>
  <si>
    <t>الاستفادة من عمل التدقيق الداخلي — ISA 610</t>
  </si>
  <si>
    <t>ن2-2-31</t>
  </si>
  <si>
    <t>التواصل بأوجه القصور الجوهرية في الرقابة — ISA 265</t>
  </si>
  <si>
    <t>ن2-2-32</t>
  </si>
  <si>
    <t>المعلومات المقارنة/الأرقام المقابلة — ISA 710</t>
  </si>
  <si>
    <t>ن2-2-33</t>
  </si>
  <si>
    <t>المعلومات الأخرى المرفقة بالتقرير السنوي — ISA 720</t>
  </si>
  <si>
    <t>ن2-2-34</t>
  </si>
  <si>
    <t>مخاطبات المستشارين القانونيين للدعاوى والالتزامات — تكملة لـ ISA 501</t>
  </si>
  <si>
    <t>ن2-2-35</t>
  </si>
  <si>
    <t>حقائق لاحقة بعد إصدار التقرير وإجراءاتها — ISA 560</t>
  </si>
  <si>
    <t>ن2-2-36</t>
  </si>
  <si>
    <t>المادية للأداء وحد التفاهة (تحديد/تحديث/استخدام) — ISA 320</t>
  </si>
  <si>
    <t>ن2-2-37</t>
  </si>
  <si>
    <t>أطر الغرض الخاص والتقارير الخاصة — ISA 800/805/810</t>
  </si>
  <si>
    <t>ن2-2-38</t>
  </si>
  <si>
    <t>دليل تطبيقي مختصر لمنشآت (IFRS for SMEs) وعرض الفروق الرئيسية</t>
  </si>
  <si>
    <t>ن2-2-39</t>
  </si>
  <si>
    <t>امتثال الضرائب المحلية (ZATCA): ضريبة القيمة المضافة/الاستقطاع/الانتقائية + الزكاة</t>
  </si>
  <si>
    <t>ن2-2-40</t>
  </si>
  <si>
    <t>الخصوصية والأمن السيبراني والامتثال لـ PDPL (سعودي) وأثره على الأدلة</t>
  </si>
  <si>
    <t>ن2-2-41</t>
  </si>
  <si>
    <t>حوكمة الشركات للشركات المساهمة (متطلبات CMA) وتأثيرها على الإفصاح والتواصل</t>
  </si>
  <si>
    <t>ن2-2-42</t>
  </si>
  <si>
    <t>حِزم قطاعية: إنشاءات/مقاولات، تصنيع، تجزئة، خدمات، غير ربحي (إرشادات وإجراءات إضافية)</t>
  </si>
  <si>
    <t>ن2-2-42-1</t>
  </si>
  <si>
    <t>إنشاءات/مقاولات — تركيز المخاطر والإجراءات الرئيسية</t>
  </si>
  <si>
    <t>ن2-2-42-1-1</t>
  </si>
  <si>
    <t>الاعتراف بالإيراد وفق نسبة الإنجاز/IFRS 15: مراجعة العقود وجداول الكميات والأوامر التغييرية وشهادات الإنجاز</t>
  </si>
  <si>
    <t>ن2-2-42-1-2</t>
  </si>
  <si>
    <t>مطابقة التكلفة إلى تاريخ التقرير: تتبع كميات/مواد ومقاولين فرعيين واختبار الاستحقاق</t>
  </si>
  <si>
    <t>ن2-2-42-1-3</t>
  </si>
  <si>
    <t>مخصصات المطالبات/الغرامات وتأثيرها على هامش العقد</t>
  </si>
  <si>
    <t>ن2-2-42-1-4</t>
  </si>
  <si>
    <t>اختبارات الجرد بالموقع وأعمال تحت التنفيذ (قصّ/توصيل/قطع الفترة)</t>
  </si>
  <si>
    <t>ن2-2-42-2</t>
  </si>
  <si>
    <t>تصنيع — تركيز المخاطر والإجراءات الرئيسية</t>
  </si>
  <si>
    <t>ن2-2-42-2-1</t>
  </si>
  <si>
    <t>تقييم المخزون وتكلفة الإنتاج المعيارية/الفعلية وفروقاتها (سعر/كمية/كفاءة)</t>
  </si>
  <si>
    <t>ن2-2-42-2-2</t>
  </si>
  <si>
    <t>اختبارات هبوط المخزون والبضاعة البطيئة/الراكدة</t>
  </si>
  <si>
    <t>ن2-2-42-2-3</t>
  </si>
  <si>
    <t>ضوابط BOM ومسارات الإنتاج وسجلات الإهلاك للمكائن</t>
  </si>
  <si>
    <t>ن2-2-42-2-4</t>
  </si>
  <si>
    <t>اعتراف الإيراد عند التسليم/FOB ومطابقات الشحن والفواتير</t>
  </si>
  <si>
    <t>ن2-2-42-3</t>
  </si>
  <si>
    <t>تجزئة — تركيز المخاطر والإجراءات الرئيسية</t>
  </si>
  <si>
    <t>ن2-2-42-3-1</t>
  </si>
  <si>
    <t>ضوابط نقاط البيع (POS) والخصومات والعوائد وكوبونات الولاء</t>
  </si>
  <si>
    <t>ن2-2-42-3-2</t>
  </si>
  <si>
    <t>جرد دوري/فجائي وتسويات لاختلافات الصندوق والمخزون</t>
  </si>
  <si>
    <t>ن2-2-42-3-3</t>
  </si>
  <si>
    <t>اختبارات الإيرادات عبر قنوات متعددة (متجر/أونلاين/مندوبي مبيعات)</t>
  </si>
  <si>
    <t>ن2-2-42-3-4</t>
  </si>
  <si>
    <t>ضريبة القيمة المضافة على المبيعات والعوائد (تطبيق/إقرار/مصادقات)</t>
  </si>
  <si>
    <t>ن2-2-42-4</t>
  </si>
  <si>
    <t>خدمات — تركيز المخاطر والإجراءات الرئيسية</t>
  </si>
  <si>
    <t>ن2-2-42-4-1</t>
  </si>
  <si>
    <t>الاعتراف بالإيراد المبني على الوقت/المعالم (Time &amp; Materials/Fixed Fee/Milestones)</t>
  </si>
  <si>
    <t>ن2-2-42-4-2</t>
  </si>
  <si>
    <t>اختبارات تراكُم الإيراد غير المفوتر/الإيراد المؤجل واتساق العقود مع IFRS 15</t>
  </si>
  <si>
    <t>ن2-2-42-4-3</t>
  </si>
  <si>
    <t>ضوابط ساعات العمل والتكاليف المباشرة والإسناد لمشروعات العملاء</t>
  </si>
  <si>
    <t>ن2-2-42-4-4</t>
  </si>
  <si>
    <t>المخاطر القانونية لمسؤولية تقديم الخدمة والالتزامات المحتملة</t>
  </si>
  <si>
    <t>ن2-2-42-5</t>
  </si>
  <si>
    <t>غير ربحي — تركيز المخاطر والإجراءات الرئيسية</t>
  </si>
  <si>
    <t>ن2-2-42-5-1</t>
  </si>
  <si>
    <t>قيود الموارد المقيدة/غير المقيدة وتتبع المصروفات حسب البرامج</t>
  </si>
  <si>
    <t>ن2-2-42-5-2</t>
  </si>
  <si>
    <t>إيرادات التبرعات والمنح المشروطة/غير المشروطة وإثباتها</t>
  </si>
  <si>
    <t>ن2-2-42-5-3</t>
  </si>
  <si>
    <t>امتثال الحوكمة والشفافية ومتطلبات الجهات المانحة/الجهات المنظمة</t>
  </si>
  <si>
    <t>ن2-2-42-5-4</t>
  </si>
  <si>
    <t>المخاطر المتعلقة باستقلالية مجلس الأمناء وتضارب المصالح</t>
  </si>
  <si>
    <t>المستوي</t>
  </si>
  <si>
    <t>خطاب المراجع السابق</t>
  </si>
  <si>
    <t xml:space="preserve">طبقا للفقرة 3030 من معيار ادلة وقرائن المراجعة  والقاعدة رقم 401 من قواعد سلوك وآداب المهنة الصادرة عن الهيئة السعودية للمحاسبين والمراجعين القانونيون </t>
  </si>
  <si>
    <t>التعريف المختصر</t>
  </si>
  <si>
    <t>متى يُستخدم</t>
  </si>
  <si>
    <t>مثال صياغة قصيرة</t>
  </si>
  <si>
    <t>✅</t>
  </si>
  <si>
    <t>مطابق</t>
  </si>
  <si>
    <t>مستوفٍ للمتطلبات دون ملاحظات</t>
  </si>
  <si>
    <t>بعد تحقق كامل من الالتزام</t>
  </si>
  <si>
    <t>✅ مطابق لسياسة المشتريات الإصدار 3</t>
  </si>
  <si>
    <t>⚠️</t>
  </si>
  <si>
    <t>قصور بسيط/فرصة تحسين لا يرقى لعدم مطابقة</t>
  </si>
  <si>
    <t>عند وجود نقص محدود التأثير</t>
  </si>
  <si>
    <t>⚠️ نقص ختم الاستلام لا يؤثر على الصرف</t>
  </si>
  <si>
    <t>❌</t>
  </si>
  <si>
    <t>عدم مطابقة</t>
  </si>
  <si>
    <t>مخالفة صريحة لمعيار/سياسة/نظام</t>
  </si>
  <si>
    <t>عند وجود خرق مُلزِم</t>
  </si>
  <si>
    <t>❌ صرف دون تفويض معتمد</t>
  </si>
  <si>
    <t>❓</t>
  </si>
  <si>
    <t>استيضاح</t>
  </si>
  <si>
    <t>مطلوب معلومات/توضيح إضافي</t>
  </si>
  <si>
    <t>عند الغموض أو التضارب</t>
  </si>
  <si>
    <t>❓ فرق تاريخ العقد وملحقه</t>
  </si>
  <si>
    <t>⏳</t>
  </si>
  <si>
    <t>مؤجّل</t>
  </si>
  <si>
    <t>الإجراء متعثر بانتظار حدث/مستند</t>
  </si>
  <si>
    <t>⏳ انتظار موافقة المورد</t>
  </si>
  <si>
    <t>📄</t>
  </si>
  <si>
    <t>يلزم إرفاق/استكمال مستند</t>
  </si>
  <si>
    <t>نقص مرفقات إلزامية</t>
  </si>
  <si>
    <t>📄 مفقود نموذج التسوية</t>
  </si>
  <si>
    <t>🔁</t>
  </si>
  <si>
    <t>تكرار</t>
  </si>
  <si>
    <t>تكرار ملاحظة سابقة غير مُغلقة</t>
  </si>
  <si>
    <t>🔁 تكرار تأخير مطابقة العهد</t>
  </si>
  <si>
    <t>🧭</t>
  </si>
  <si>
    <t>خارج النطاق</t>
  </si>
  <si>
    <t>لا يندرج ضمن نطاق المراجعة</t>
  </si>
  <si>
    <t>طلبات خارج التكليف الحالي</t>
  </si>
  <si>
    <t>🧭 المشروع غير مشمول بفترة المراجعة</t>
  </si>
  <si>
    <t>🧪</t>
  </si>
  <si>
    <t>اختبار إضافي</t>
  </si>
  <si>
    <t>يلزم توسيع العينة/الاختبار</t>
  </si>
  <si>
    <t>عند الاشتباه بنمط خلل</t>
  </si>
  <si>
    <t>🧪 زيادة عينة أوامر الشراء</t>
  </si>
  <si>
    <t>⭐</t>
  </si>
  <si>
    <t>ممارسة جيدة</t>
  </si>
  <si>
    <t>ممارسة متميزة يُوصى بتعميمها</t>
  </si>
  <si>
    <t>توثيق تحسينات واضحة</t>
  </si>
  <si>
    <t>⭐ أتمتة مطابقة الفواتير</t>
  </si>
  <si>
    <t>🛠️</t>
  </si>
  <si>
    <t>إجراء تصحيحي مطلوب</t>
  </si>
  <si>
    <t>عند وجود خلل قائم</t>
  </si>
  <si>
    <t>🛠️ تفعيل اعتماد إلكتروني قبل الصرف</t>
  </si>
  <si>
    <t>🛡️</t>
  </si>
  <si>
    <t>إجراء وقائي مطلوب</t>
  </si>
  <si>
    <t>بعد تحديد السبب الجذري</t>
  </si>
  <si>
    <t>🛡️ تحديث ضوابط الفصل بين المهام</t>
  </si>
  <si>
    <t>👀</t>
  </si>
  <si>
    <t>متابعة</t>
  </si>
  <si>
    <t>لملاحظات قيد التنفيذ</t>
  </si>
  <si>
    <t>👀 متابعة أسبوعية حتى 05/10/2025</t>
  </si>
  <si>
    <t>✅‍🗂️</t>
  </si>
  <si>
    <t>تحقق</t>
  </si>
  <si>
    <t>فحص دلائل التنفيذ قبل الإغلاق</t>
  </si>
  <si>
    <t>قبل اعتماد الإقفال</t>
  </si>
  <si>
    <t>✅‍🗂️ تحقق من تقرير الصلاحيات</t>
  </si>
  <si>
    <t>📌</t>
  </si>
  <si>
    <t>إغلاق مطلوب</t>
  </si>
  <si>
    <t>استيفاء المتطلبات وجاهز للإقفال</t>
  </si>
  <si>
    <t>عند اكتمال الأدلة</t>
  </si>
  <si>
    <t>📌 جاهز للإغلاق بانتظار الاعتماد</t>
  </si>
  <si>
    <t>⬆️</t>
  </si>
  <si>
    <t>تصعيد</t>
  </si>
  <si>
    <t>تجاوزت الملاحظة المهل المحددة</t>
  </si>
  <si>
    <t>عند التأخر عن الموعد</t>
  </si>
  <si>
    <t>⬆️ تصعيد للإدارة لتأخر 7 أيام</t>
  </si>
  <si>
    <t>المرحلة المقترحة</t>
  </si>
  <si>
    <t>التقرير</t>
  </si>
  <si>
    <t>التنفيذ/الأدلة</t>
  </si>
  <si>
    <t>إذا كان الإقفال مرهونًا بطرف خارجي</t>
  </si>
  <si>
    <t>عند ظهور الخلل نفسه مجددًا</t>
  </si>
  <si>
    <t>التخطيط</t>
  </si>
  <si>
    <t>تنفيذ إجراء لإزالة السبب</t>
  </si>
  <si>
    <t>المتابعة/الإغلاق</t>
  </si>
  <si>
    <t>إجراء لمنع تكرار الخلل مستقبلًا</t>
  </si>
  <si>
    <t>تتبّع التقدم حتى الإقفال</t>
  </si>
  <si>
    <t>NC</t>
  </si>
  <si>
    <t>عدم مطابقة (اختصار)</t>
  </si>
  <si>
    <t>Non-Conformity</t>
  </si>
  <si>
    <t>للإشارة النصية بدل الرمز</t>
  </si>
  <si>
    <t>NC: صرف دون تفويض معتمد</t>
  </si>
  <si>
    <t>Obs</t>
  </si>
  <si>
    <t>ملاحظة (اختصار)</t>
  </si>
  <si>
    <t>Observation</t>
  </si>
  <si>
    <t>Obs: نقص ختم الاستلام</t>
  </si>
  <si>
    <t>OFI</t>
  </si>
  <si>
    <t>فرصة تحسين (اختصار)</t>
  </si>
  <si>
    <t>Opportunity for Improvement</t>
  </si>
  <si>
    <t>تحسين مقترح غير إلزامي</t>
  </si>
  <si>
    <t>OFI: تبسيط خطوات اعتماد السلفة</t>
  </si>
  <si>
    <t>🔒</t>
  </si>
  <si>
    <t>ضبط وصول مطلوب</t>
  </si>
  <si>
    <t>ثغرة في الصلاحيات أو الفصل بين المهام</t>
  </si>
  <si>
    <t>التنفيذ/المتابعة</t>
  </si>
  <si>
    <t>عند وجود صلاحيات زائدة أو مستخدمين غير مُراجَعين</t>
  </si>
  <si>
    <t>🔒 إزالة صلاحية إنشاء/اعتماد لنفس المستخدم خلال 48 ساعة</t>
  </si>
  <si>
    <t>🪪</t>
  </si>
  <si>
    <t>تفويض مطلوب</t>
  </si>
  <si>
    <t>غياب تفويض أو اعتماد رسمي</t>
  </si>
  <si>
    <t>التنفيذ</t>
  </si>
  <si>
    <t>قبل الصرف/التعاقد دون تفويض ساري</t>
  </si>
  <si>
    <t>🪪 يلزم تفويض مدير المشتريات للاتفاقية الإطارية</t>
  </si>
  <si>
    <t>🧾</t>
  </si>
  <si>
    <t>تسوية مطلوبة</t>
  </si>
  <si>
    <t>فرق يستلزم تسوية محاسبية</t>
  </si>
  <si>
    <t>الفروق بين الدفاتر/البنوك/الأطراف</t>
  </si>
  <si>
    <t>🧾 تسوية فرق بنك أغسطس 12,430 ر.س</t>
  </si>
  <si>
    <t>🧼</t>
  </si>
  <si>
    <t>تنظيف بيانات</t>
  </si>
  <si>
    <t>بيانات غير دقيقة/مكررة/ناقصة</t>
  </si>
  <si>
    <t>عند تأثير جودة البيانات على الحكم</t>
  </si>
  <si>
    <t>🧼 تحديث أرقام الموردين المكررة قبل التحليل</t>
  </si>
  <si>
    <t>🧯</t>
  </si>
  <si>
    <t>احتواء فوري</t>
  </si>
  <si>
    <t>إجراء مؤقت لوقف أثر خلل قائم</t>
  </si>
  <si>
    <t>عند وجود مخاطرة حالية تحتاج إيقاف سريع</t>
  </si>
  <si>
    <t>🧯 إيقاف صلاحية الصرف حتى اكتمال الضوابط</t>
  </si>
  <si>
    <t>🧰</t>
  </si>
  <si>
    <t>حل مؤقت (Workaround)</t>
  </si>
  <si>
    <t>تدبير مؤقت لحين التصحيح الجذري</t>
  </si>
  <si>
    <t>المتابعة</t>
  </si>
  <si>
    <t>عند تأخر المعالجة النهائية</t>
  </si>
  <si>
    <t>🧰 تحميل كشف يدوي يومي لحين إصلاح التكامل</t>
  </si>
  <si>
    <t>🔄</t>
  </si>
  <si>
    <t>إعادة اختبار</t>
  </si>
  <si>
    <t>إعادة تنفيذ الاختبار للتحقق بعد التصحيح</t>
  </si>
  <si>
    <t>بعد تنفيذ الإجراء التصحيحي</t>
  </si>
  <si>
    <t>🔄 إعادة اختبار عينة فواتير سبتمبر</t>
  </si>
  <si>
    <t>🎫</t>
  </si>
  <si>
    <t>استثناء معتمد</t>
  </si>
  <si>
    <t>مخالفة مُدارة بموافقة رسمية موثقة</t>
  </si>
  <si>
    <t>عند قبول مخاطرة محسوبة</t>
  </si>
  <si>
    <t>🎫 استثناء معتمد لسقف الشراء لمرة واحدة</t>
  </si>
  <si>
    <t>🔗</t>
  </si>
  <si>
    <t>تكامل أنظمة مطلوب</t>
  </si>
  <si>
    <t>حاجة لربط/واجهة بين أنظمة</t>
  </si>
  <si>
    <t>التنفيذ/التحسين</t>
  </si>
  <si>
    <t>عند تكرار إدخال يدوي أو أخطاء ترحيل</t>
  </si>
  <si>
    <t>🔗 تفعيل واجهة ERP–المخزون</t>
  </si>
  <si>
    <t>📚</t>
  </si>
  <si>
    <t>سياسة/إجراء مطلوب</t>
  </si>
  <si>
    <t>غياب وثيقة مرجعية ملزمة</t>
  </si>
  <si>
    <t>التخطيط/التنفيذ</t>
  </si>
  <si>
    <t>عند عدم وجود سياسة تغطي الحالة</t>
  </si>
  <si>
    <t>📚 إعداد سياسة سلف الموظفين واعتمادها</t>
  </si>
  <si>
    <t>📦</t>
  </si>
  <si>
    <t>أرشفة/حفظ سجلات</t>
  </si>
  <si>
    <t>وجوب حفظ/تنظيم الأدلة والسجلات</t>
  </si>
  <si>
    <t>التنفيذ/الإغلاق</t>
  </si>
  <si>
    <t>عند تشتت الأدلة أو انتهاء مدد الحفظ</t>
  </si>
  <si>
    <t>📦 أرشفة عقود 2023 وفق لائحة الحفظ</t>
  </si>
  <si>
    <t>📊</t>
  </si>
  <si>
    <t>تأثير على مؤشر أداء</t>
  </si>
  <si>
    <t>الملاحظة تؤثر KPI/لوحة قياس</t>
  </si>
  <si>
    <t>للتنبيه على أثر قياسي/زمني</t>
  </si>
  <si>
    <t>📊 أثر على دورة أمر الشراء +3 أيام</t>
  </si>
  <si>
    <t>➕</t>
  </si>
  <si>
    <t>توسيع النطاق</t>
  </si>
  <si>
    <t>يلزم إضافة عمليات/فروع/فترات للاختبار</t>
  </si>
  <si>
    <t>عند ظهور نمط خلل خارج العينة</t>
  </si>
  <si>
    <t>➕ شمول فرع جدة في الاختبار</t>
  </si>
  <si>
    <t>🧑‍🏫</t>
  </si>
  <si>
    <t>تدريب مطلوب</t>
  </si>
  <si>
    <t>حاجة لتأهيل/توعية المستخدمين</t>
  </si>
  <si>
    <t>عند تكرار أخطاء تشغيلية/امتثال</t>
  </si>
  <si>
    <t>🧑‍🏫 ورشة اعتماد المصروفات لموظفي القسم</t>
  </si>
  <si>
    <t>🪫</t>
  </si>
  <si>
    <t>نقص موارد/قدرة</t>
  </si>
  <si>
    <t>قصور في الأشخاص/الأنظمة يعيق الالتزام</t>
  </si>
  <si>
    <t>عند تكدس الأعمال أو بطء النظام</t>
  </si>
  <si>
    <t>🪫 نقص مدققين للفترة الربع سنوية</t>
  </si>
  <si>
    <t>قائمة بالعلامات المستخدة تظهر في أوراق العمل كقائمة منسدلة يقوم المدقق الفني ومساعدية ومدير التدق باستعمالها</t>
  </si>
  <si>
    <t>اختيار من قائمة منسدلة</t>
  </si>
  <si>
    <t>العلامة المختارة في مكان ظاهر بورقة العمل</t>
  </si>
  <si>
    <t>اختياري ويدل علي انة تم فحص البند</t>
  </si>
  <si>
    <t>القطاع/وسم</t>
  </si>
  <si>
    <t>التوكيد (Assertion)</t>
  </si>
  <si>
    <t>المعيار المرجعي</t>
  </si>
  <si>
    <t>مستوى_الخطورة</t>
  </si>
  <si>
    <t>وزن_الخطورة(اختياري)</t>
  </si>
  <si>
    <t>[امتثال]</t>
  </si>
  <si>
    <t>اكتمال/التقيد</t>
  </si>
  <si>
    <t>[تشغيلي]</t>
  </si>
  <si>
    <t>اكتمال</t>
  </si>
  <si>
    <t>[امتثال][مالي]</t>
  </si>
  <si>
    <t>تقيد/صحة</t>
  </si>
  <si>
    <t>سياسة صلاحيات الاعتماد</t>
  </si>
  <si>
    <t>[قانوني]</t>
  </si>
  <si>
    <t>عرض/دقة</t>
  </si>
  <si>
    <t>[مشتريات]</t>
  </si>
  <si>
    <t>[مالي]</t>
  </si>
  <si>
    <t>إجراء التسوية</t>
  </si>
  <si>
    <t>[حوكمة]</t>
  </si>
  <si>
    <t>[تخطيط]</t>
  </si>
  <si>
    <t>خطاب نطاق المهمة</t>
  </si>
  <si>
    <t>[ضبط جودة]</t>
  </si>
  <si>
    <t>وجود/اكتمال</t>
  </si>
  <si>
    <t>برنامج المراجعة</t>
  </si>
  <si>
    <t>[تحسين]</t>
  </si>
  <si>
    <t>خطة الإجراء التصحيحي (CA)</t>
  </si>
  <si>
    <t>خطة الإجراء الوقائي (PA)</t>
  </si>
  <si>
    <t>إطار المتابعة</t>
  </si>
  <si>
    <t>مراجعة طرف ثانٍ</t>
  </si>
  <si>
    <t>محضر الإغلاق</t>
  </si>
  <si>
    <t>مصفوفة التصعيد</t>
  </si>
  <si>
    <t>تقيد</t>
  </si>
  <si>
    <t>ISO 19011 / سياسة داخلية</t>
  </si>
  <si>
    <t>ISO 19011</t>
  </si>
  <si>
    <t>[تقني][امتثال]</t>
  </si>
  <si>
    <t>تفويض/صحة</t>
  </si>
  <si>
    <t>سياسة إدارة الوصول (IAM)</t>
  </si>
  <si>
    <t>[قانوني][امتثال]</t>
  </si>
  <si>
    <t>تفويض</t>
  </si>
  <si>
    <t>سياسة الصلاحيات</t>
  </si>
  <si>
    <t>دقة/اكتمال</t>
  </si>
  <si>
    <t>IAS/إجراءات التسويات</t>
  </si>
  <si>
    <t>[بيانات]</t>
  </si>
  <si>
    <t>سياسة جودة البيانات</t>
  </si>
  <si>
    <t>[مخاطر]</t>
  </si>
  <si>
    <t>خطة الاستجابة للمخاطر</t>
  </si>
  <si>
    <t>[حوكمة][مخاطر]</t>
  </si>
  <si>
    <t>سياسة الاستثناءات</t>
  </si>
  <si>
    <t>[تقني]</t>
  </si>
  <si>
    <t>اكتمال/دقة</t>
  </si>
  <si>
    <t>معيار تكامل الأنظمة</t>
  </si>
  <si>
    <t>سلم السياسات والإجراءات</t>
  </si>
  <si>
    <t>[سجلات]</t>
  </si>
  <si>
    <t>[أداء]</t>
  </si>
  <si>
    <t>اتفاقيات مستوى الخدمة (SLA)</t>
  </si>
  <si>
    <t>[موارد بشرية]</t>
  </si>
  <si>
    <t>خطة التدريب</t>
  </si>
  <si>
    <t>[قدرات]</t>
  </si>
  <si>
    <t>الخامس</t>
  </si>
  <si>
    <t>إضافة فرع</t>
  </si>
  <si>
    <t xml:space="preserve">سكرتارية </t>
  </si>
  <si>
    <t xml:space="preserve">مدير المراجعة </t>
  </si>
  <si>
    <t xml:space="preserve">المدقق الفني </t>
  </si>
  <si>
    <t>SC</t>
  </si>
  <si>
    <t>AM</t>
  </si>
  <si>
    <t>TA</t>
  </si>
  <si>
    <t>FA</t>
  </si>
  <si>
    <t>AT</t>
  </si>
  <si>
    <t>QC</t>
  </si>
  <si>
    <t>MP</t>
  </si>
  <si>
    <t>AR</t>
  </si>
  <si>
    <t>الإدارات بالبرنامج</t>
  </si>
  <si>
    <t>Secretary</t>
  </si>
  <si>
    <t>Audit Manager</t>
  </si>
  <si>
    <t>Technical Auditor</t>
  </si>
  <si>
    <t>Field Auditor</t>
  </si>
  <si>
    <t>Assistant Technical Auditor</t>
  </si>
  <si>
    <t>Quality Control</t>
  </si>
  <si>
    <t>Managing Partner</t>
  </si>
  <si>
    <t>Archive</t>
  </si>
  <si>
    <t>مواقع ذات علاقة</t>
  </si>
  <si>
    <t>CONTACT PERSON</t>
  </si>
  <si>
    <t>CO</t>
  </si>
  <si>
    <t>Regulatory Filings Officer</t>
  </si>
  <si>
    <t>RF</t>
  </si>
  <si>
    <t>المهمة</t>
  </si>
  <si>
    <t>المسؤوليات</t>
  </si>
  <si>
    <t>واجهات العمل</t>
  </si>
  <si>
    <t xml:space="preserve"> مركز الخدمات الإدارية والدعم اللوجستي للمكتب.</t>
  </si>
  <si>
    <t xml:space="preserve"> تخطيط وتنفيذ ومتابعة مهام المراجعة وضمان الالتزام بالمعايير.</t>
  </si>
  <si>
    <t xml:space="preserve"> الإسناد الفني المتخصص وحل القضايا المعقدة في المعايير المحاسبية والمراجعية.</t>
  </si>
  <si>
    <t xml:space="preserve"> تنفيذ إجراءات المراجعة في مواقع العملاء وجمع الأدلة الكافية والملائمة.</t>
  </si>
  <si>
    <t xml:space="preserve"> مساندة الإدارة الفنية بالبحوث والإعداد الفني الأولي.</t>
  </si>
  <si>
    <t xml:space="preserve"> قناة الاتصال المركزية وتنسيق التسليمات بين المكتب والعميل.</t>
  </si>
  <si>
    <t xml:space="preserve"> الإشراف على نظام إدارة الجودة والامتثال للاستقلالية.</t>
  </si>
  <si>
    <t xml:space="preserve"> القيادة الاستراتيجية والتشغيلية والحوكمة الشاملة للمكتب.</t>
  </si>
  <si>
    <t xml:space="preserve"> إدارة تقديم القوائم والتقارير عبر منصات الجهات الحكومية ذات العلاقة.</t>
  </si>
  <si>
    <t xml:space="preserve"> حفظ وأمن واسترجاع ملفات المهام والمراسلات وسجلات الجودة.</t>
  </si>
  <si>
    <t xml:space="preserve"> استقبال الاتصالات، تنظيم المواعيد والزيارات، إعداد المحاضر والمراسلات، تنسيق السفر، متابعة المهام.</t>
  </si>
  <si>
    <t xml:space="preserve"> خطة المراجعة السنوية، توزيع الفرق، الإشراف على التنفيذ، مراجعة أوراق العمل، التواصل مع العملاء، اعتماد التقارير.</t>
  </si>
  <si>
    <t xml:space="preserve"> مذكرات فنية، آراء فنية في المجالات عالية المخاطر، مراجعة الإفصاحات، تدريب فني.</t>
  </si>
  <si>
    <t xml:space="preserve"> اختبارات ضوابط وإجراءات تفصيلية، توثيق نتائج، رفع الاستفسارات، سجلات أخطاء.</t>
  </si>
  <si>
    <t xml:space="preserve"> بحوث معيارية، مسودات مذكرات، إعداد جداول إفصاح، تنسيق بيانات فنية.</t>
  </si>
  <si>
    <t xml:space="preserve"> إستلام وتحويل الطلبات، إدارة الجداول الزمنية، توثيق المراسلات، ترتيب الاجتماعات، تصعيد العقبات.</t>
  </si>
  <si>
    <t xml:space="preserve"> مراجعات جودة المشاركة (عند اللزوم)، فحوصات ما قبل/ما بعد الإصدار، مراقبة الاستقلالية، تحديث السياسات والتدريب.</t>
  </si>
  <si>
    <t xml:space="preserve"> استراتيجية وأهداف، إدارة المخاطر والجودة، اعتماد التعيينات والميزانيات، تنمية الأعمال، التمثيل الخارجي.</t>
  </si>
  <si>
    <t xml:space="preserve"> إعداد وجدولة الرفع (وزارة التجارة، زاتكا/ZATCA…)، فحص المتطلبات الشكلية والفنية، متابعة الحالات ومعالجة الرفض، حفظ الإيصالات.</t>
  </si>
  <si>
    <t xml:space="preserve"> فهرسة وهيكلة الحفظ، إدارة صلاحيات الوصول والنسخ الاحتياطي، تلبية طلبات الاسترجاع، الإتلاف الآمن بعد مدة الاحتفاظ.</t>
  </si>
  <si>
    <t xml:space="preserve"> تقويم مُحدّث، محاضر واجتماعات منظمة، مراسلات مؤرشفة.</t>
  </si>
  <si>
    <t xml:space="preserve"> خطط مهمات، تقارير مراجعة معتمدة، جداول تقدم.</t>
  </si>
  <si>
    <t xml:space="preserve"> أوراق موقف فني، إرشادات تطبيقية، تحديثات معيارية.</t>
  </si>
  <si>
    <t xml:space="preserve"> أوراق عمل مكتملة، جداول ملاحظات وأخطاء.</t>
  </si>
  <si>
    <t xml:space="preserve"> مسودات فنية مُراجعة، قوائم تحقق إفصاحات.</t>
  </si>
  <si>
    <t xml:space="preserve"> سجل مراسلات، خطة تسليمات، محاضر تنسيق.</t>
  </si>
  <si>
    <t xml:space="preserve"> تقارير فحص جودة، سجلات استقلالية، إجراءات مُحدّثة.</t>
  </si>
  <si>
    <t xml:space="preserve"> خطط وأهداف سنوية، قرارات وسياسات مُعتمدة.</t>
  </si>
  <si>
    <t xml:space="preserve"> إيصالات تقديم، سجل التزام بالمواعيد، تقارير حالة.</t>
  </si>
  <si>
    <t xml:space="preserve"> قاعدة أرشيف مُحدّثة، سجل حركة ملفات، تقارير امتثال خصوصية.</t>
  </si>
  <si>
    <t xml:space="preserve"> جميع الإدارات، العملاء، المورّدون.</t>
  </si>
  <si>
    <t xml:space="preserve"> المدققون، الجودة، الشريك الإداري، العميل.</t>
  </si>
  <si>
    <t xml:space="preserve"> إدارة المراجعة، مساعدو الفني، الجودة</t>
  </si>
  <si>
    <t xml:space="preserve"> إدارة المراجعة، العميل، الإدارة الفنية.</t>
  </si>
  <si>
    <t xml:space="preserve"> الإدارة الفنية، إدارة المراجعة.</t>
  </si>
  <si>
    <t xml:space="preserve"> العميل، إدارة المراجعة، السكرتارية، الإدارات الداعمة</t>
  </si>
  <si>
    <t xml:space="preserve"> جميع إدارات المراجعة، الشريك الإداري.</t>
  </si>
  <si>
    <t xml:space="preserve"> جميع الإدارات، جهات مهنية ورقابية رئيسية</t>
  </si>
  <si>
    <t xml:space="preserve"> العميل، إدارة المراجعة، الاتصال، السكرتارية</t>
  </si>
  <si>
    <t xml:space="preserve"> جميع الإدارات، الجودة، تقنية المعلومات (إن وجدت).</t>
  </si>
  <si>
    <t>الإدارات</t>
  </si>
  <si>
    <t>ترجمة اسم الإدارة</t>
  </si>
  <si>
    <t>رمز الإدارة</t>
  </si>
  <si>
    <t>إضافة مستخدم</t>
  </si>
  <si>
    <t>من قائمة منسدلة يجب اختيار الإدارة</t>
  </si>
  <si>
    <t>من قائمة منسدلة يجب اختيار رئيسي / فرع</t>
  </si>
  <si>
    <t>البيانات الأساسية (إلزامية)</t>
  </si>
  <si>
    <t>بيانات مساعدة (مستحسنة)</t>
  </si>
  <si>
    <t>متطلبات أمنية عند الإنشاء</t>
  </si>
  <si>
    <t>المسؤولية ببرنامج المدقق</t>
  </si>
  <si>
    <t>اعداد خطاب الارتباط  وارفاق المستندات حسب متطلبات دليل المراجعة من العميل</t>
  </si>
  <si>
    <t>المهام لكل إدارة</t>
  </si>
  <si>
    <t>إضافة عقود الارتباط الجديدة</t>
  </si>
  <si>
    <t xml:space="preserve">استلام عقود الارتباط المراد تسجيل زيارات لها والقيام بالاعمال الخاصة بتلك الزيارة </t>
  </si>
  <si>
    <t>يتم الادخال</t>
  </si>
  <si>
    <t>يتم الادخال رمز الإدارة وثلاثة حروف من الاسم</t>
  </si>
  <si>
    <r>
      <t>1. الاسم الكامل</t>
    </r>
    <r>
      <rPr>
        <sz val="8"/>
        <color theme="1"/>
        <rFont val="Arial"/>
        <family val="2"/>
        <scheme val="minor"/>
      </rPr>
      <t xml:space="preserve"> (Full Name)</t>
    </r>
  </si>
  <si>
    <r>
      <t>2. المسمّى الوظيفي/الإدارة</t>
    </r>
    <r>
      <rPr>
        <sz val="8"/>
        <color theme="1"/>
        <rFont val="Arial"/>
        <family val="2"/>
        <scheme val="minor"/>
      </rPr>
      <t xml:space="preserve"> (Job Title / Department)</t>
    </r>
  </si>
  <si>
    <r>
      <t>3. البريد الإلكتروني الوظيفي</t>
    </r>
    <r>
      <rPr>
        <sz val="8"/>
        <color theme="1"/>
        <rFont val="Arial"/>
        <family val="2"/>
        <scheme val="minor"/>
      </rPr>
      <t xml:space="preserve"> (Work Email)</t>
    </r>
  </si>
  <si>
    <r>
      <t>4. رقم الجوال للعمل</t>
    </r>
    <r>
      <rPr>
        <sz val="8"/>
        <color theme="1"/>
        <rFont val="Arial"/>
        <family val="2"/>
        <scheme val="minor"/>
      </rPr>
      <t xml:space="preserve"> أو وسيلة تواصل موثوقة (Work Mobile / Contact)</t>
    </r>
  </si>
  <si>
    <r>
      <t>5. اسم المستخدم المقترح</t>
    </r>
    <r>
      <rPr>
        <sz val="8"/>
        <color theme="1"/>
        <rFont val="Arial"/>
        <family val="2"/>
        <scheme val="minor"/>
      </rPr>
      <t xml:space="preserve"> (Username)</t>
    </r>
  </si>
  <si>
    <r>
      <t>6. مستوى الصلاحيات</t>
    </r>
    <r>
      <rPr>
        <sz val="8"/>
        <color theme="1"/>
        <rFont val="Arial"/>
        <family val="2"/>
        <scheme val="minor"/>
      </rPr>
      <t xml:space="preserve"> ودور النظام (Access Role/Permissions)</t>
    </r>
  </si>
  <si>
    <r>
      <t>7. المدير المباشر</t>
    </r>
    <r>
      <rPr>
        <sz val="8"/>
        <color theme="1"/>
        <rFont val="Arial"/>
        <family val="2"/>
        <scheme val="minor"/>
      </rPr>
      <t xml:space="preserve"> (Direct Manager)</t>
    </r>
  </si>
  <si>
    <r>
      <t>8. تاريخ بدء العمل</t>
    </r>
    <r>
      <rPr>
        <sz val="8"/>
        <color theme="1"/>
        <rFont val="Arial"/>
        <family val="2"/>
        <scheme val="minor"/>
      </rPr>
      <t xml:space="preserve"> (Start Date)</t>
    </r>
  </si>
  <si>
    <r>
      <t>رقم الموظف الداخلي</t>
    </r>
    <r>
      <rPr>
        <sz val="8"/>
        <color theme="1"/>
        <rFont val="Arial"/>
        <family val="2"/>
        <scheme val="minor"/>
      </rPr>
      <t xml:space="preserve"> (Employee ID)</t>
    </r>
  </si>
  <si>
    <r>
      <t>اللغة المفضلة والمنطقة الزمنية</t>
    </r>
    <r>
      <rPr>
        <sz val="8"/>
        <color theme="1"/>
        <rFont val="Arial"/>
        <family val="2"/>
        <scheme val="minor"/>
      </rPr>
      <t xml:space="preserve"> (Preferred Language &amp; Time Zone)</t>
    </r>
  </si>
  <si>
    <r>
      <t>مكان العمل</t>
    </r>
    <r>
      <rPr>
        <sz val="8"/>
        <color theme="1"/>
        <rFont val="Arial"/>
        <family val="2"/>
        <scheme val="minor"/>
      </rPr>
      <t xml:space="preserve"> (Work Location: مدينة/مكتب/عن بُعد)</t>
    </r>
  </si>
  <si>
    <r>
      <t>صورة شخصية مهنية</t>
    </r>
    <r>
      <rPr>
        <sz val="8"/>
        <color theme="1"/>
        <rFont val="Arial"/>
        <family val="2"/>
        <scheme val="minor"/>
      </rPr>
      <t xml:space="preserve"> (Profile Photo)</t>
    </r>
  </si>
  <si>
    <r>
      <t>توقيع إلكتروني</t>
    </r>
    <r>
      <rPr>
        <sz val="8"/>
        <color theme="1"/>
        <rFont val="Arial"/>
        <family val="2"/>
        <scheme val="minor"/>
      </rPr>
      <t xml:space="preserve"> للاستخدام في المراسلات (Email Signature)</t>
    </r>
  </si>
  <si>
    <r>
      <t>بيانات الطوارئ</t>
    </r>
    <r>
      <rPr>
        <sz val="8"/>
        <color theme="1"/>
        <rFont val="Arial"/>
        <family val="2"/>
        <scheme val="minor"/>
      </rPr>
      <t xml:space="preserve"> (Emergency Contact)</t>
    </r>
  </si>
  <si>
    <r>
      <t>الأجهزة المخصصة</t>
    </r>
    <r>
      <rPr>
        <sz val="8"/>
        <color theme="1"/>
        <rFont val="Arial"/>
        <family val="2"/>
        <scheme val="minor"/>
      </rPr>
      <t xml:space="preserve"> ورقمها التسلسلي إن وُجد (Assigned Devices &amp; Serials)</t>
    </r>
  </si>
  <si>
    <r>
      <t>بريد/هاتف استرداد</t>
    </r>
    <r>
      <rPr>
        <sz val="8"/>
        <color theme="1"/>
        <rFont val="Arial"/>
        <family val="2"/>
        <scheme val="minor"/>
      </rPr>
      <t xml:space="preserve"> لحالات فقدان الوصول (Recovery Email/Phone).</t>
    </r>
  </si>
  <si>
    <r>
      <t>سياسة كلمة المرور</t>
    </r>
    <r>
      <rPr>
        <sz val="8"/>
        <color theme="1"/>
        <rFont val="Arial"/>
        <family val="2"/>
        <scheme val="minor"/>
      </rPr>
      <t>: لا تُحفظ كلمات مرور بنص صريح؛ أرسل رابط تفعيل لتعيينها ذاتيًا.</t>
    </r>
  </si>
  <si>
    <r>
      <t xml:space="preserve">تعيين </t>
    </r>
    <r>
      <rPr>
        <b/>
        <sz val="8"/>
        <color theme="1"/>
        <rFont val="Arial"/>
        <family val="2"/>
        <scheme val="minor"/>
      </rPr>
      <t>سياسات الوصول</t>
    </r>
    <r>
      <rPr>
        <sz val="8"/>
        <color theme="1"/>
        <rFont val="Arial"/>
        <family val="2"/>
        <scheme val="minor"/>
      </rPr>
      <t xml:space="preserve"> (مجموعات، قنوات، مجلدات، تطبيقات) حسب دور المستخدم ومبدأ أقل صلاحية.</t>
    </r>
  </si>
  <si>
    <r>
      <t>المدقق الميداني:</t>
    </r>
    <r>
      <rPr>
        <sz val="8"/>
        <color theme="1"/>
        <rFont val="Arial"/>
        <family val="2"/>
        <scheme val="minor"/>
      </rPr>
      <t xml:space="preserve"> ينفّذ الاختبارات في مواقع العميل، يرفع الأدلة، ويحرر أجزاء “دليل المراجعة” و”دليل الحسابات” الخاصة بالعمل الميداني. يقترح تعديلات للمدقق الفني، لكن الاعتماد داخل الفريق يتم بواسطة المدقق الفني/مدير المراجعة.</t>
    </r>
  </si>
  <si>
    <r>
      <t>ضابط اتصال الشركة محل المراجعة:</t>
    </r>
    <r>
      <rPr>
        <sz val="8"/>
        <color theme="1"/>
        <rFont val="Arial"/>
        <family val="2"/>
        <scheme val="minor"/>
      </rPr>
      <t xml:space="preserve"> قناة رسمية مع العميل؛ يرفع المستندات المطلوبة، يؤكد صحة البيانات التعريفية، ينسّق تسليم/استلام التقرير، ويطّلع على ما يخصه فقط (لا يعدّل المنهجية المهنية).</t>
    </r>
  </si>
  <si>
    <r>
      <t>تعدّد المستخدمين بالفرع:</t>
    </r>
    <r>
      <rPr>
        <sz val="8"/>
        <color theme="1"/>
        <rFont val="Arial"/>
        <family val="2"/>
        <scheme val="minor"/>
      </rPr>
      <t xml:space="preserve"> يمكن وجود أكثر من سكرتير/مدير مراجعة/مدقق فني/مدقق ميداني؛ التطبيق يقيّد الصلاحيات تلقائيًا بفرع الملف.</t>
    </r>
  </si>
  <si>
    <t>الموافقة علي استمرارية العلاقة والارتباط بالعميل واعتماد النماذج المكلف بها نظاما في دليل المراجعة</t>
  </si>
  <si>
    <t>استيراد ميزان المراجعة واعداد القوائم المالية واوراق العمل ضمن التخطيط بالبرنامج واعتماد النماذج المكلف بها نظاما في دليل المراجعة</t>
  </si>
  <si>
    <t>أداء الاعمال الموكلة له من المدقق الفني واعداد النماذج الكلف بها نظاما ضمن دليل المراجعة</t>
  </si>
  <si>
    <t xml:space="preserve">توفير المتطلبات ضمن دليل المراجعة ودليل المحاسبة والتي تظهر في البوابة الخاصة بة عند انشاء عقد الارتباط </t>
  </si>
  <si>
    <t>مراجعة ملف عقد الارتباط بالكامل ضمن ضوابط دليل ضبط الجودة</t>
  </si>
  <si>
    <t>مراجعة ملف عقد الارتباط ضمن متطلبات التوقيع</t>
  </si>
  <si>
    <t>مواقع الزكاة ومواقع وزارة التجارة قوائم واي مواقع اخري تظهر لاحقا</t>
  </si>
  <si>
    <t xml:space="preserve">تقفيل الملف وسحب عقود الارتباط المنتهية من كل الادارت  ويصبح غير متوفر الا بطلب رسمي من الجهة </t>
  </si>
  <si>
    <t xml:space="preserve">حسب المسؤولية المعطاه ببرنامج المدقق </t>
  </si>
  <si>
    <t>كل إدارة لها مدير ويتمثل في المرحلة السابقة</t>
  </si>
  <si>
    <t>حين توفير إدارة لشؤون الموظفين في موديولات التطوير لاحقا</t>
  </si>
  <si>
    <t>اختيار من قائمة منسلدة  من بين اللغات المكونة</t>
  </si>
  <si>
    <t>اختيار الفرع من قائمة منسدلة</t>
  </si>
  <si>
    <t>يتم التحديد مسبقا من صفحة المشترك وتقرأ هنا فقط للاطلاع</t>
  </si>
  <si>
    <t>الموافقة علي نماذج الاستمرارية والاستقلالية او ارجاع العقد للعميل لاستكمال النواقص او التعديل</t>
  </si>
  <si>
    <t>ظهور عقد الارتباط في نافذتة لاستكمال الاعمال المحددة لة وفق ضوابط برنامج المدقق</t>
  </si>
  <si>
    <t xml:space="preserve">عند الضغط علي العقد المصدر من السكرتارية تظهر جميع بيانات العقد / او عند الضغط علي ايقونة مضافة بالعقد مكتوب عليها دليل المراجعة تفتح نافذة بها المهام المكلف بها مدير المراجعة </t>
  </si>
  <si>
    <t xml:space="preserve">عند الضغط علي العقد المصدر من السكرتارية والموافق علية من مدير المراجعة تظهر جميع بيانات العقد  او عند الضغط علي ايقونة مضافة بالعقد مكتوب عليها دليل المراجعة تفتح نافذة بها المهام المكلف بها مدير المراجعة </t>
  </si>
  <si>
    <t>ولا يمكن التعديل علية وفى حالة وجود تعديل يتم ارجاعة الي السكرتارية فيما يخصة او الي مدير المراجعة فيما يخصة /</t>
  </si>
  <si>
    <t>مرفق عقد الارتباط المرفوع بدليل المراجعة من السكرتارية</t>
  </si>
  <si>
    <t>رقم</t>
  </si>
  <si>
    <t>البيان</t>
  </si>
  <si>
    <t>الغرض</t>
  </si>
  <si>
    <t>المسؤول</t>
  </si>
  <si>
    <t>تاريخ الإعداد</t>
  </si>
  <si>
    <t>تاريخ المراجعة</t>
  </si>
  <si>
    <t>الاستنتاج</t>
  </si>
  <si>
    <t>مرفقات/روابط</t>
  </si>
  <si>
    <t>تعريف عام بالعميل والمستندات الرئيسية</t>
  </si>
  <si>
    <t>إدارة العملية والاتفاقيات</t>
  </si>
  <si>
    <t>التأكد من الاستقلال وعدم التعارض</t>
  </si>
  <si>
    <t>قبول العملاء واستمرارية العلاقة (Go/No-Go)</t>
  </si>
  <si>
    <t>قرار قبول/استمرار موثق</t>
  </si>
  <si>
    <t>التواصل مع المراجع السابق</t>
  </si>
  <si>
    <t>الامتثال للمتطلبات المهنية</t>
  </si>
  <si>
    <t>خطاب الارتباط/محضر التعيين</t>
  </si>
  <si>
    <t>تحديد نطاق ومسؤوليات المراجعة</t>
  </si>
  <si>
    <t>استبيانات الرقابة الداخلية حسب الدورات</t>
  </si>
  <si>
    <t>توثيق الفهم وتقييم المخاطر</t>
  </si>
  <si>
    <t>قائمة الاستقصاء (Understanding &amp; Documentation)</t>
  </si>
  <si>
    <t>فهم المنشأة وبيئتها</t>
  </si>
  <si>
    <t>مكافحة غسل الأموال وتمويل الإرهاب</t>
  </si>
  <si>
    <t>امتثال القوانين ذات العلاقة</t>
  </si>
  <si>
    <t>تقييم الدفاتر والأنظمة (متطلبات اللغة العربية)</t>
  </si>
  <si>
    <t>امتثال تنظيمي وتقني</t>
  </si>
  <si>
    <t>اختبار معالجات النظام (ITAC) – مُحدَّث</t>
  </si>
  <si>
    <t>ضوابط مدخلات/معالجة/مخرجات</t>
  </si>
  <si>
    <t>متخصص نظم</t>
  </si>
  <si>
    <t>قاعدة بيانات الحسابات</t>
  </si>
  <si>
    <t>مذكرة التخطيط ومخاطر المراجعة (Risk-Based)</t>
  </si>
  <si>
    <t>استراتيجية واستجابات المراجعة</t>
  </si>
  <si>
    <t>ن2-2-ISA240</t>
  </si>
  <si>
    <t>ورقة الغش (ISA 240)</t>
  </si>
  <si>
    <t>تقييم مخاطر الغش وإجراءات غير متوقعة</t>
  </si>
  <si>
    <t>ن2-2-ISA250</t>
  </si>
  <si>
    <t>القوانين والأنظمة (ISA 250)</t>
  </si>
  <si>
    <t>تحديد وعدم الامتثال المحتمل</t>
  </si>
  <si>
    <t>ن2-2-ISA260</t>
  </si>
  <si>
    <t>الاتصال مع الحوكمة (ISA 260)</t>
  </si>
  <si>
    <t>قناة اتصال ومحتوى الاجتماعات</t>
  </si>
  <si>
    <t>ن2-2-ISA540</t>
  </si>
  <si>
    <t>التقديرات المحاسبية (ISA 540 Updated)</t>
  </si>
  <si>
    <t>تقييم التحيز والنطاقات الحساسة</t>
  </si>
  <si>
    <t>ن2-2-ISA550</t>
  </si>
  <si>
    <t>الأطراف ذات العلاقة (ISA 550)</t>
  </si>
  <si>
    <t>تعريف واختبار المعاملات غير العادية</t>
  </si>
  <si>
    <t>ن2-2-ISA560</t>
  </si>
  <si>
    <t>الأحداث اللاحقة (ISA 560)</t>
  </si>
  <si>
    <t>بحث وتقييم الأثر اللاحق</t>
  </si>
  <si>
    <t>ن2-2-ISA570</t>
  </si>
  <si>
    <t>الاستمرارية (ISA 570)</t>
  </si>
  <si>
    <t>مؤشرات وشواهد وخطط الإدارة</t>
  </si>
  <si>
    <t>ن2-8</t>
  </si>
  <si>
    <t>الأهمية النسبية والأهمية للأداء</t>
  </si>
  <si>
    <t>تحديد المادية وحدود التجميع</t>
  </si>
  <si>
    <t>ن2-8-530</t>
  </si>
  <si>
    <t>المعاينة الإحصائية (ISA 530)</t>
  </si>
  <si>
    <t>تحديد حجم العينة وتقييم النتائج</t>
  </si>
  <si>
    <t>ن4-AR</t>
  </si>
  <si>
    <t>الذمم المدينة والمبيعات</t>
  </si>
  <si>
    <t>تأكيدات، Cut-off، كفاية المخصصات</t>
  </si>
  <si>
    <t>ن4-AP</t>
  </si>
  <si>
    <t>الدائنون والمشتريات</t>
  </si>
  <si>
    <t>مطابقات، Cut-off، التزامات محتملة</t>
  </si>
  <si>
    <t>ن4-INV</t>
  </si>
  <si>
    <t>المخزون والجرد</t>
  </si>
  <si>
    <t>إجراءات حضور الجرد/العدّات المفاجئة</t>
  </si>
  <si>
    <t>ن4-CASH</t>
  </si>
  <si>
    <t>النقدية والبنوك</t>
  </si>
  <si>
    <t>مطابقات، مصادقات، ضوابط الشيكات</t>
  </si>
  <si>
    <t>ن4-FA</t>
  </si>
  <si>
    <t>الأصول الثابتة</t>
  </si>
  <si>
    <t>الإضافة/الاستبعاد/الإهلاك/الهبوط</t>
  </si>
  <si>
    <t>ن4-REVOTH</t>
  </si>
  <si>
    <t>إيرادات/مصروفات أخرى</t>
  </si>
  <si>
    <t>تحليلات ومسوغات</t>
  </si>
  <si>
    <t>ن4-TAX</t>
  </si>
  <si>
    <t>الزكاة والضريبة وVAT/ZATCA</t>
  </si>
  <si>
    <t>مطابقة الإقرارات والفوترة الإلكترونية</t>
  </si>
  <si>
    <t>ن4-FIN</t>
  </si>
  <si>
    <t>الأدوات المالية</t>
  </si>
  <si>
    <t>IFRS 9 وخسائر ائتمانية متوقعة</t>
  </si>
  <si>
    <t>ن4-LIAB</t>
  </si>
  <si>
    <t>الالتزامات والاحتياطيات</t>
  </si>
  <si>
    <t>قضايا وتعهدات، التزامات محتملة</t>
  </si>
  <si>
    <t>ن4-EQUITY</t>
  </si>
  <si>
    <t>حقوق الملكية والتوزيعات</t>
  </si>
  <si>
    <t>امتثال نظامي ومحاضر</t>
  </si>
  <si>
    <t>صناعة-مقاولات</t>
  </si>
  <si>
    <t>IND-CONTRACTS</t>
  </si>
  <si>
    <t>ملف عقود المشاريع (IFRS 15)</t>
  </si>
  <si>
    <t>الالتزامات/VOs/Retention/WIP/تكلفة لاستكمال</t>
  </si>
  <si>
    <t>IND-WIP</t>
  </si>
  <si>
    <t>تحليل WIP ومطابقات النظام</t>
  </si>
  <si>
    <t>سجلات تفصيلية وربط بالقوائم</t>
  </si>
  <si>
    <t>IND-CLAIMS</t>
  </si>
  <si>
    <t>المطالبات والنزاعات والضمانات</t>
  </si>
  <si>
    <t>تقييم الاعتراف والقياس والإفصاح</t>
  </si>
  <si>
    <t>IND-SUBS</t>
  </si>
  <si>
    <t>مقاولو الباطن</t>
  </si>
  <si>
    <t>مصادقات، Cut-off، تبعيات</t>
  </si>
  <si>
    <t>صناعة-تصنيع</t>
  </si>
  <si>
    <t>IND-MFG</t>
  </si>
  <si>
    <t>برنامج مراجعة التصنيع</t>
  </si>
  <si>
    <t>تكاليف ومخزون تحت التشغيل وفروقات</t>
  </si>
  <si>
    <t>صناعة-تجارة</t>
  </si>
  <si>
    <t>IND-TRD</t>
  </si>
  <si>
    <t>برنامج تجارة/تجزئة</t>
  </si>
  <si>
    <t>POS، انكماش، مرتجعات</t>
  </si>
  <si>
    <t>صناعة-خدمات</t>
  </si>
  <si>
    <t>IND-SRV</t>
  </si>
  <si>
    <t>برنامج الخدمات</t>
  </si>
  <si>
    <t>توقيت الاعتراف وإيرادات متأجلة</t>
  </si>
  <si>
    <t>صناعة-عقارات</t>
  </si>
  <si>
    <t>IND-INVPROP</t>
  </si>
  <si>
    <t>عقارات استثمارية</t>
  </si>
  <si>
    <t>IFRS 16/القيمة العادلة</t>
  </si>
  <si>
    <t>ن6</t>
  </si>
  <si>
    <t>ن6-600</t>
  </si>
  <si>
    <t>مراجعة المجموعة (ISA 600)</t>
  </si>
  <si>
    <t>المكوّنات، المادية للمكوّن، تعليمات وتقارير</t>
  </si>
  <si>
    <t>ن6-CONS</t>
  </si>
  <si>
    <t>أوراق توحيد وترحيل فروقات</t>
  </si>
  <si>
    <t>إزالة التعاملات البينية والسياسات</t>
  </si>
  <si>
    <t>IT</t>
  </si>
  <si>
    <t>IT-ITGC</t>
  </si>
  <si>
    <t>برنامج ITGC</t>
  </si>
  <si>
    <t>صلاحيات، فصل واجبات، تغييرات النظام، نسخ احتياطي</t>
  </si>
  <si>
    <t>IT-Reports</t>
  </si>
  <si>
    <t>ضوابط تقارير النظام</t>
  </si>
  <si>
    <t>إثبات اتساق التقارير مع الأستاذ العام</t>
  </si>
  <si>
    <t>REP</t>
  </si>
  <si>
    <t>REP-TMPL</t>
  </si>
  <si>
    <t>نماذج تقارير المراجع (غير/معدّل، KAMs)</t>
  </si>
  <si>
    <t>اتساق الصياغة مع المعايير</t>
  </si>
  <si>
    <t>REP-MNG</t>
  </si>
  <si>
    <t>خطاب الإدارة بالملاحظات</t>
  </si>
  <si>
    <t>تصنيف المخاطر وخطة المعالجة</t>
  </si>
  <si>
    <t>FIN</t>
  </si>
  <si>
    <t>FIN-POST</t>
  </si>
  <si>
    <t>القوائم المالية بعد الاعتماد</t>
  </si>
  <si>
    <t>نسخة نهائية مع إفصاحات</t>
  </si>
  <si>
    <t>CLS</t>
  </si>
  <si>
    <t>CLS-COMP</t>
  </si>
  <si>
    <t>استكمال المراجعة واستنتاج الشريك</t>
  </si>
  <si>
    <t>Checklists وإقفال الملف</t>
  </si>
  <si>
    <t>ARC</t>
  </si>
  <si>
    <t>ARC-POL</t>
  </si>
  <si>
    <t>سياسة الأرشفة والاحتفاظ</t>
  </si>
  <si>
    <t>فترات الحفظ وإقفال التعديلات</t>
  </si>
  <si>
    <t>الحقل</t>
  </si>
  <si>
    <t>القيمة</t>
  </si>
  <si>
    <t>اسم العميل</t>
  </si>
  <si>
    <t>اختياري</t>
  </si>
  <si>
    <t>نهاية السنة المالية</t>
  </si>
  <si>
    <t>31/12/2024</t>
  </si>
  <si>
    <t>صيغة تاريخ</t>
  </si>
  <si>
    <t>الإطار المحاسبي</t>
  </si>
  <si>
    <t>الإطار المهني للمراجعة</t>
  </si>
  <si>
    <t>ISAs</t>
  </si>
  <si>
    <t>المُعدّ</t>
  </si>
  <si>
    <t>اسم المدقق</t>
  </si>
  <si>
    <t>المراجع</t>
  </si>
  <si>
    <t>اسم المدير/الشريك</t>
  </si>
  <si>
    <t>(أ) اختيار المعيار (Benchmark)</t>
  </si>
  <si>
    <t>الربح قبل الضريبة</t>
  </si>
  <si>
    <t>اختر: الربح قبل الضريبة / الإيرادات / إجمالي الأصول / حقوق الملكية / متوسط ربح 3-5 سنوات / آخر</t>
  </si>
  <si>
    <t>(ب) قيمة المعيار المختار</t>
  </si>
  <si>
    <t>أدخل رقمًا</t>
  </si>
  <si>
    <t>(ج) النسبة المختارة للأهمية الشاملة (OM)</t>
  </si>
  <si>
    <t>النطاقات الشائعة: PBT 5–10%، الإيرادات 0.5–2%، الأصول 1–2%، حقوق الملكية 1%</t>
  </si>
  <si>
    <t>الأهمية الشاملة (Overall Materiality - OM)</t>
  </si>
  <si>
    <t>حساب تلقائي = (نسبة ج × قيمة ب)</t>
  </si>
  <si>
    <t>نسبة الأهمية للأداء (Performance Materiality %)</t>
  </si>
  <si>
    <t>عادةً 50–75% وفقًا للمخاطر</t>
  </si>
  <si>
    <t>الأهمية للأداء (PM)</t>
  </si>
  <si>
    <t>حساب تلقائي = نسبة PM × OM</t>
  </si>
  <si>
    <t>نسبة حدّ التجميع (Posting/Trivial Threshold %)</t>
  </si>
  <si>
    <t>عادةً 3–10% من OM</t>
  </si>
  <si>
    <t>حدّ التجميع (Posting Threshold)</t>
  </si>
  <si>
    <t>حساب تلقائي = نسبة × OM</t>
  </si>
  <si>
    <t>ملاحظات قرار المعيار</t>
  </si>
  <si>
    <t>اذكر سبب اختيار المعيار والنسبة بالرجوع لطبيعة النشاط والمخاطر</t>
  </si>
  <si>
    <t>البرنامج المعتمد للمراجعة (Approved Audit Program)</t>
  </si>
  <si>
    <t>الاكتمال (Completeness)</t>
  </si>
  <si>
    <t>درجة أولوية(وزن النتيجة X وزن الخطورة)</t>
  </si>
  <si>
    <t>وزن النتيجة(اختياري)</t>
  </si>
  <si>
    <t>تصنيف_الأولوية</t>
  </si>
  <si>
    <t>Low</t>
  </si>
  <si>
    <t>High</t>
  </si>
  <si>
    <t>Medium</t>
  </si>
  <si>
    <t>Critical</t>
  </si>
  <si>
    <t>مهام السكرتارية   ( يوجد ملاحظات في الخلية    )</t>
  </si>
  <si>
    <t>كل عقد ارتباط يمثل ملف شركة ولة رقم لا يمكن ان يتكرر في نفس السنة او أي سنة لاحقة  يمثل هذا الرقم رقم ال700 للشركة + سنة موسم القوائم المالية + سنة القوائم المالية +مسلسل مثال(7000530741/2023/015) وفي العام القادم يكون الرقم (7000530741/2024/087)</t>
  </si>
  <si>
    <t>يتم كتابة رقم السجل التجاري او الرقم المميز للشركة والسنة المالية المراد  التعاقد عليها لاصدار القوائم المالية</t>
  </si>
  <si>
    <t xml:space="preserve">دليل يتم تعريف علامات المراجة بة للاستعمال في أوراق العمل ولكل علامة وزن نسبي يعتمد احتسابة كما مبين في الجدول </t>
  </si>
  <si>
    <t xml:space="preserve">لا يوجد بيانات مدخلة ولكن يقوم المدقق باختيار من تم تعيينة في فريق المراجعة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</si>
</sst>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Red]\-#,##0\ "/>
    <numFmt numFmtId="165" formatCode="#,##0_ ;[Red]\(#,##0\ \)"/>
    <numFmt numFmtId="166" formatCode="[$-F800]dddd\,\ mmmm\ dd\,\ yyyy"/>
    <numFmt numFmtId="167" formatCode="0_ ;\-0\ "/>
    <numFmt numFmtId="168" formatCode="0.0%"/>
    <numFmt numFmtId="169" formatCode="[$-1010000]yyyy/mm/dd;@"/>
  </numFmts>
  <fonts count="134">
    <font>
      <sz val="11"/>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b/>
      <sz val="12"/>
      <color theme="1"/>
      <name val="Arial"/>
      <family val="2"/>
      <scheme val="minor"/>
    </font>
    <font>
      <sz val="12"/>
      <color theme="1"/>
      <name val="Arial"/>
      <family val="2"/>
      <scheme val="minor"/>
    </font>
    <font>
      <b/>
      <sz val="8"/>
      <color theme="1"/>
      <name val="Arial"/>
      <family val="2"/>
      <scheme val="minor"/>
    </font>
    <font>
      <sz val="11"/>
      <color rgb="FF3B3B3B"/>
      <name val="Arial"/>
      <family val="2"/>
      <scheme val="minor"/>
    </font>
    <font>
      <b/>
      <sz val="11"/>
      <color rgb="FF3B3B3B"/>
      <name val="Arial"/>
      <family val="2"/>
      <scheme val="minor"/>
    </font>
    <font>
      <b/>
      <sz val="11"/>
      <color theme="1"/>
      <name val="Arial"/>
      <family val="2"/>
      <scheme val="minor"/>
    </font>
    <font>
      <b/>
      <sz val="14"/>
      <color theme="1"/>
      <name val="Arial"/>
      <family val="2"/>
      <scheme val="minor"/>
    </font>
    <font>
      <sz val="14"/>
      <color theme="1"/>
      <name val="Arial"/>
      <family val="2"/>
      <scheme val="minor"/>
    </font>
    <font>
      <b/>
      <sz val="13.5"/>
      <color theme="1"/>
      <name val="Arial"/>
      <family val="2"/>
      <scheme val="minor"/>
    </font>
    <font>
      <b/>
      <sz val="9"/>
      <color theme="1"/>
      <name val="Arial"/>
      <family val="2"/>
      <scheme val="minor"/>
    </font>
    <font>
      <sz val="9"/>
      <color theme="1"/>
      <name val="Arial"/>
      <family val="2"/>
      <scheme val="minor"/>
    </font>
    <font>
      <b/>
      <sz val="16"/>
      <color theme="1"/>
      <name val="Arial"/>
      <family val="2"/>
      <scheme val="minor"/>
    </font>
    <font>
      <sz val="16"/>
      <color theme="1"/>
      <name val="Arial"/>
      <family val="2"/>
      <scheme val="minor"/>
    </font>
    <font>
      <b/>
      <sz val="20"/>
      <color theme="1"/>
      <name val="Arial"/>
      <family val="2"/>
      <scheme val="minor"/>
    </font>
    <font>
      <sz val="20"/>
      <color theme="1"/>
      <name val="Arial"/>
      <family val="2"/>
      <scheme val="minor"/>
    </font>
    <font>
      <b/>
      <sz val="18"/>
      <color rgb="FFFF0000"/>
      <name val="Arial"/>
      <family val="2"/>
      <scheme val="minor"/>
    </font>
    <font>
      <sz val="10"/>
      <color rgb="FF3B3B3B"/>
      <name val="Arial"/>
      <family val="2"/>
      <scheme val="minor"/>
    </font>
    <font>
      <b/>
      <sz val="10"/>
      <color rgb="FF3B3B3B"/>
      <name val="Arial"/>
      <family val="2"/>
      <scheme val="minor"/>
    </font>
    <font>
      <b/>
      <sz val="16"/>
      <color rgb="FFFFFF00"/>
      <name val="Arial"/>
      <family val="2"/>
      <scheme val="minor"/>
    </font>
    <font>
      <b/>
      <sz val="12"/>
      <name val="Arial"/>
      <family val="2"/>
      <scheme val="minor"/>
    </font>
    <font>
      <sz val="12"/>
      <name val="Arial"/>
      <family val="2"/>
      <scheme val="minor"/>
    </font>
    <font>
      <b/>
      <sz val="16"/>
      <name val="Arial"/>
      <family val="2"/>
      <scheme val="minor"/>
    </font>
    <font>
      <b/>
      <sz val="16"/>
      <color rgb="FFFF0000"/>
      <name val="Arial"/>
      <family val="2"/>
      <scheme val="minor"/>
    </font>
    <font>
      <b/>
      <u val="double"/>
      <sz val="12"/>
      <color theme="1"/>
      <name val="Arial"/>
      <family val="2"/>
      <scheme val="minor"/>
    </font>
    <font>
      <b/>
      <sz val="14"/>
      <color rgb="FFFF0000"/>
      <name val="Arial"/>
      <family val="2"/>
      <scheme val="minor"/>
    </font>
    <font>
      <b/>
      <sz val="36"/>
      <color theme="1"/>
      <name val="Arial"/>
      <family val="2"/>
      <scheme val="minor"/>
    </font>
    <font>
      <sz val="36"/>
      <color theme="1"/>
      <name val="Arial"/>
      <family val="2"/>
      <scheme val="minor"/>
    </font>
    <font>
      <sz val="10"/>
      <color theme="1"/>
      <name val="Arial"/>
      <family val="2"/>
      <scheme val="minor"/>
    </font>
    <font>
      <sz val="11"/>
      <color theme="1"/>
      <name val="Arial"/>
      <family val="2"/>
      <scheme val="minor"/>
    </font>
    <font>
      <b/>
      <sz val="14"/>
      <color rgb="FFFFFF00"/>
      <name val="Arial"/>
      <family val="2"/>
      <scheme val="minor"/>
    </font>
    <font>
      <b/>
      <sz val="10"/>
      <color rgb="FFFFFF00"/>
      <name val="Arial"/>
      <family val="2"/>
      <scheme val="minor"/>
    </font>
    <font>
      <b/>
      <sz val="10"/>
      <color theme="1"/>
      <name val="Arial"/>
      <family val="2"/>
      <scheme val="minor"/>
    </font>
    <font>
      <b/>
      <sz val="11"/>
      <color rgb="FFFFFF00"/>
      <name val="Arial"/>
      <family val="2"/>
      <scheme val="minor"/>
    </font>
    <font>
      <b/>
      <sz val="11"/>
      <color rgb="FFFFC000"/>
      <name val="Arial"/>
      <family val="2"/>
      <scheme val="minor"/>
    </font>
    <font>
      <sz val="8"/>
      <color rgb="FFFFFF00"/>
      <name val="Arial"/>
      <family val="2"/>
      <scheme val="minor"/>
    </font>
    <font>
      <b/>
      <sz val="12"/>
      <color rgb="FFFFFF00"/>
      <name val="Arial"/>
      <family val="2"/>
      <scheme val="minor"/>
    </font>
    <font>
      <b/>
      <sz val="24"/>
      <color rgb="FFFFFF00"/>
      <name val="Arial"/>
      <family val="2"/>
      <scheme val="minor"/>
    </font>
    <font>
      <sz val="24"/>
      <color theme="1"/>
      <name val="Arial"/>
      <family val="2"/>
      <scheme val="minor"/>
    </font>
    <font>
      <b/>
      <sz val="9"/>
      <color rgb="FFFFFF00"/>
      <name val="Arial"/>
      <family val="2"/>
      <scheme val="minor"/>
    </font>
    <font>
      <sz val="8"/>
      <color theme="1"/>
      <name val="Arial"/>
      <family val="2"/>
      <scheme val="minor"/>
    </font>
    <font>
      <b/>
      <sz val="8"/>
      <color rgb="FFFFFF00"/>
      <name val="Arial"/>
      <family val="2"/>
      <scheme val="minor"/>
    </font>
    <font>
      <sz val="12"/>
      <name val="Adobe Devanagari"/>
      <charset val="178"/>
    </font>
    <font>
      <sz val="9"/>
      <name val="Adobe Devanagari"/>
      <charset val="178"/>
    </font>
    <font>
      <b/>
      <sz val="12"/>
      <name val="Adobe Devanagari"/>
      <charset val="178"/>
    </font>
    <font>
      <b/>
      <u/>
      <sz val="12"/>
      <name val="Adobe Devanagari"/>
      <charset val="178"/>
    </font>
    <font>
      <sz val="12"/>
      <color theme="1"/>
      <name val="Adobe Devanagari"/>
      <charset val="178"/>
    </font>
    <font>
      <b/>
      <sz val="9"/>
      <name val="Adobe Devanagari"/>
      <charset val="178"/>
    </font>
    <font>
      <b/>
      <sz val="10"/>
      <name val="Adobe Devanagari"/>
      <charset val="178"/>
    </font>
    <font>
      <sz val="10"/>
      <name val="Arial"/>
      <family val="2"/>
    </font>
    <font>
      <b/>
      <sz val="14"/>
      <color rgb="FF7030A0"/>
      <name val="Adobe Devanagari"/>
      <charset val="178"/>
    </font>
    <font>
      <b/>
      <sz val="16"/>
      <color rgb="FFFF0000"/>
      <name val="Adobe Devanagari"/>
      <charset val="178"/>
    </font>
    <font>
      <b/>
      <sz val="12"/>
      <name val="Arial"/>
      <family val="2"/>
    </font>
    <font>
      <sz val="9"/>
      <name val="Arial"/>
      <family val="2"/>
    </font>
    <font>
      <sz val="12"/>
      <name val="Arial"/>
      <family val="2"/>
    </font>
    <font>
      <sz val="16"/>
      <name val="Arial Black"/>
      <family val="2"/>
    </font>
    <font>
      <b/>
      <sz val="4"/>
      <name val="Adobe Devanagari"/>
      <charset val="178"/>
    </font>
    <font>
      <b/>
      <sz val="12"/>
      <color rgb="FF002060"/>
      <name val="Adobe Devanagari"/>
      <charset val="178"/>
    </font>
    <font>
      <b/>
      <sz val="9"/>
      <name val="Arial Black"/>
      <family val="2"/>
    </font>
    <font>
      <b/>
      <sz val="12"/>
      <color rgb="FF00B050"/>
      <name val="Adobe Devanagari"/>
      <charset val="178"/>
    </font>
    <font>
      <sz val="10"/>
      <name val="Arial"/>
      <family val="2"/>
      <charset val="178"/>
    </font>
    <font>
      <b/>
      <sz val="12"/>
      <name val="Times New Roman"/>
      <family val="1"/>
      <charset val="178"/>
    </font>
    <font>
      <b/>
      <sz val="14"/>
      <color rgb="FF7030A0"/>
      <name val="Arial"/>
      <family val="2"/>
    </font>
    <font>
      <b/>
      <u/>
      <sz val="14"/>
      <color rgb="FF7030A0"/>
      <name val="Arial"/>
      <family val="2"/>
    </font>
    <font>
      <b/>
      <sz val="14"/>
      <color rgb="FF7030A0"/>
      <name val="Simple Bold Jut Out"/>
      <charset val="178"/>
    </font>
    <font>
      <b/>
      <sz val="12"/>
      <color theme="1"/>
      <name val="Adobe Devanagari"/>
      <charset val="178"/>
    </font>
    <font>
      <b/>
      <sz val="16"/>
      <color rgb="FFFF0000"/>
      <name val="Arial"/>
      <family val="2"/>
    </font>
    <font>
      <u/>
      <sz val="10"/>
      <color theme="10"/>
      <name val="Arial"/>
      <family val="2"/>
    </font>
    <font>
      <b/>
      <u/>
      <sz val="16"/>
      <color rgb="FFFF0000"/>
      <name val="Arial"/>
      <family val="2"/>
    </font>
    <font>
      <b/>
      <sz val="16"/>
      <color rgb="FFFF0000"/>
      <name val="Simple Bold Jut Out"/>
      <charset val="178"/>
    </font>
    <font>
      <b/>
      <sz val="14"/>
      <name val="Arial"/>
      <family val="2"/>
    </font>
    <font>
      <b/>
      <u/>
      <sz val="12"/>
      <color rgb="FF002060"/>
      <name val="Adobe Devanagari"/>
      <charset val="178"/>
    </font>
    <font>
      <b/>
      <u/>
      <sz val="16"/>
      <color theme="10"/>
      <name val="Arial"/>
      <family val="2"/>
    </font>
    <font>
      <b/>
      <u/>
      <sz val="12"/>
      <color theme="10"/>
      <name val="Arial"/>
      <family val="2"/>
    </font>
    <font>
      <b/>
      <sz val="16"/>
      <name val="Adobe Devanagari"/>
      <charset val="178"/>
    </font>
    <font>
      <u/>
      <sz val="10"/>
      <name val="Arial"/>
      <family val="2"/>
    </font>
    <font>
      <b/>
      <u/>
      <sz val="14"/>
      <name val="Arial"/>
      <family val="2"/>
    </font>
    <font>
      <sz val="10"/>
      <color rgb="FF002060"/>
      <name val="Arial"/>
      <family val="2"/>
    </font>
    <font>
      <b/>
      <u/>
      <sz val="12"/>
      <color theme="1"/>
      <name val="Calibri"/>
      <family val="2"/>
    </font>
    <font>
      <b/>
      <sz val="5"/>
      <name val="Adobe Devanagari"/>
      <charset val="178"/>
    </font>
    <font>
      <b/>
      <sz val="5"/>
      <name val="Cambria"/>
      <family val="1"/>
      <charset val="178"/>
    </font>
    <font>
      <sz val="5"/>
      <name val="Cambria"/>
      <family val="1"/>
      <charset val="178"/>
    </font>
    <font>
      <b/>
      <sz val="10"/>
      <name val="Arial Black"/>
      <family val="2"/>
    </font>
    <font>
      <sz val="11"/>
      <name val="Arial Black"/>
      <family val="2"/>
    </font>
    <font>
      <sz val="11"/>
      <name val="Adobe Devanagari"/>
      <charset val="178"/>
    </font>
    <font>
      <sz val="6"/>
      <name val="Adobe Devanagari"/>
      <charset val="178"/>
    </font>
    <font>
      <sz val="6"/>
      <name val="Cambria"/>
      <family val="1"/>
      <charset val="178"/>
    </font>
    <font>
      <sz val="11"/>
      <name val="Cambria"/>
      <family val="1"/>
      <charset val="178"/>
    </font>
    <font>
      <sz val="11"/>
      <name val="Arial"/>
      <family val="2"/>
    </font>
    <font>
      <b/>
      <sz val="11"/>
      <name val="Adobe Devanagari"/>
      <charset val="178"/>
    </font>
    <font>
      <b/>
      <sz val="7"/>
      <name val="Adobe Devanagari"/>
      <charset val="178"/>
    </font>
    <font>
      <sz val="7"/>
      <name val="Arial"/>
      <family val="2"/>
    </font>
    <font>
      <sz val="8"/>
      <name val="Arial"/>
      <family val="2"/>
    </font>
    <font>
      <b/>
      <sz val="8"/>
      <name val="Adobe Devanagari"/>
      <charset val="178"/>
    </font>
    <font>
      <sz val="9"/>
      <name val="Arial Black"/>
      <family val="2"/>
    </font>
    <font>
      <b/>
      <sz val="9"/>
      <name val="Simple Bold Jut Out"/>
      <charset val="178"/>
    </font>
    <font>
      <b/>
      <sz val="12"/>
      <name val="Simple Bold Jut Out"/>
      <charset val="178"/>
    </font>
    <font>
      <b/>
      <sz val="8"/>
      <name val="Simple Bold Jut Out"/>
      <charset val="178"/>
    </font>
    <font>
      <sz val="12"/>
      <color indexed="8"/>
      <name val="Adobe Devanagari"/>
      <charset val="178"/>
    </font>
    <font>
      <sz val="9"/>
      <name val="Simple Bold Jut Out"/>
      <charset val="178"/>
    </font>
    <font>
      <b/>
      <u/>
      <sz val="9"/>
      <color theme="9" tint="-0.249977111117893"/>
      <name val="Simple Bold Jut Out"/>
      <charset val="178"/>
    </font>
    <font>
      <b/>
      <sz val="10"/>
      <color theme="1"/>
      <name val="Adobe Devanagari"/>
      <charset val="178"/>
    </font>
    <font>
      <b/>
      <sz val="10"/>
      <name val="Arial"/>
      <family val="2"/>
    </font>
    <font>
      <sz val="6"/>
      <name val="Arial"/>
      <family val="2"/>
    </font>
    <font>
      <b/>
      <sz val="6"/>
      <name val="Simple Bold Jut Out"/>
      <charset val="178"/>
    </font>
    <font>
      <b/>
      <sz val="12"/>
      <name val="Arial Black"/>
      <family val="2"/>
    </font>
    <font>
      <sz val="16"/>
      <name val="Arial"/>
      <family val="2"/>
    </font>
    <font>
      <b/>
      <u/>
      <sz val="16"/>
      <name val="Adobe Devanagari"/>
      <charset val="178"/>
    </font>
    <font>
      <b/>
      <sz val="18"/>
      <color theme="0"/>
      <name val="Adobe Devanagari"/>
      <charset val="178"/>
    </font>
    <font>
      <b/>
      <u/>
      <sz val="18"/>
      <color theme="0"/>
      <name val="Adobe Devanagari"/>
      <charset val="178"/>
    </font>
    <font>
      <sz val="18"/>
      <color theme="0"/>
      <name val="Arial"/>
      <family val="2"/>
    </font>
    <font>
      <b/>
      <sz val="18"/>
      <color theme="0"/>
      <name val="Simple Bold Jut Out"/>
      <charset val="178"/>
    </font>
    <font>
      <u/>
      <sz val="12"/>
      <name val="Adobe Devanagari"/>
      <charset val="178"/>
    </font>
    <font>
      <sz val="12"/>
      <name val="Arial Black"/>
      <family val="2"/>
    </font>
    <font>
      <b/>
      <sz val="18"/>
      <name val="Arial"/>
      <family val="2"/>
    </font>
    <font>
      <sz val="18"/>
      <name val="Adobe Devanagari"/>
      <charset val="178"/>
    </font>
    <font>
      <b/>
      <sz val="20"/>
      <color theme="1"/>
      <name val="Adobe Devanagari"/>
      <charset val="178"/>
    </font>
    <font>
      <b/>
      <sz val="9"/>
      <name val="Arial"/>
      <family val="2"/>
    </font>
    <font>
      <sz val="14"/>
      <name val="Adobe Devanagari"/>
      <charset val="178"/>
    </font>
    <font>
      <b/>
      <u/>
      <sz val="12"/>
      <name val="Arial"/>
      <family val="2"/>
    </font>
    <font>
      <b/>
      <sz val="8"/>
      <name val="Arial"/>
      <family val="2"/>
    </font>
    <font>
      <sz val="11"/>
      <color rgb="FFFFC000"/>
      <name val="Arial"/>
      <family val="2"/>
      <scheme val="minor"/>
    </font>
    <font>
      <b/>
      <sz val="8"/>
      <color rgb="FFFFC000"/>
      <name val="Arial"/>
      <family val="2"/>
      <scheme val="minor"/>
    </font>
    <font>
      <b/>
      <sz val="14"/>
      <color rgb="FFFFC000"/>
      <name val="Arial"/>
      <family val="2"/>
      <scheme val="minor"/>
    </font>
    <font>
      <sz val="8"/>
      <name val="Arial"/>
      <family val="2"/>
      <scheme val="minor"/>
    </font>
    <font>
      <b/>
      <u/>
      <sz val="14"/>
      <color theme="1"/>
      <name val="Arial"/>
      <family val="2"/>
      <scheme val="minor"/>
    </font>
    <font>
      <b/>
      <sz val="10"/>
      <color rgb="FFFFC000"/>
      <name val="Arial"/>
      <family val="2"/>
      <scheme val="minor"/>
    </font>
    <font>
      <b/>
      <sz val="11"/>
      <color theme="0"/>
      <name val="Arial"/>
      <family val="2"/>
      <scheme val="minor"/>
    </font>
  </fonts>
  <fills count="37">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gray125">
        <bgColor rgb="FFFFFF00"/>
      </patternFill>
    </fill>
    <fill>
      <patternFill patternType="gray125">
        <bgColor theme="4" tint="0.59996337778862885"/>
      </patternFill>
    </fill>
    <fill>
      <patternFill patternType="solid">
        <fgColor theme="2" tint="-0.249977111117893"/>
        <bgColor indexed="64"/>
      </patternFill>
    </fill>
    <fill>
      <patternFill patternType="solid">
        <fgColor rgb="FFFFFFFF"/>
        <bgColor indexed="64"/>
      </patternFill>
    </fill>
    <fill>
      <patternFill patternType="solid">
        <fgColor rgb="FFD0D8FF"/>
        <bgColor indexed="64"/>
      </patternFill>
    </fill>
    <fill>
      <patternFill patternType="solid">
        <fgColor theme="7" tint="0.59999389629810485"/>
        <bgColor auto="1"/>
      </patternFill>
    </fill>
    <fill>
      <patternFill patternType="solid">
        <fgColor theme="6" tint="0.39997558519241921"/>
        <bgColor indexed="64"/>
      </patternFill>
    </fill>
    <fill>
      <patternFill patternType="solid">
        <fgColor theme="4" tint="0.59996337778862885"/>
        <bgColor indexed="64"/>
      </patternFill>
    </fill>
    <fill>
      <patternFill patternType="gray0625">
        <fgColor rgb="FFFF0000"/>
        <bgColor theme="5" tint="0.59999389629810485"/>
      </patternFill>
    </fill>
    <fill>
      <patternFill patternType="gray0625">
        <fgColor rgb="FFFF0000"/>
        <bgColor theme="5" tint="0.79998168889431442"/>
      </patternFill>
    </fill>
    <fill>
      <patternFill patternType="gray0625">
        <fgColor rgb="FFFF0000"/>
      </patternFill>
    </fill>
    <fill>
      <patternFill patternType="solid">
        <fgColor theme="4" tint="-0.499984740745262"/>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BFBFBF"/>
        <bgColor indexed="64"/>
      </patternFill>
    </fill>
    <fill>
      <patternFill patternType="solid">
        <fgColor rgb="FF00B0F0"/>
        <bgColor indexed="64"/>
      </patternFill>
    </fill>
    <fill>
      <patternFill patternType="solid">
        <fgColor theme="4"/>
        <bgColor indexed="64"/>
      </patternFill>
    </fill>
    <fill>
      <patternFill patternType="solid">
        <fgColor rgb="FFFFC000"/>
        <bgColor indexed="64"/>
      </patternFill>
    </fill>
    <fill>
      <patternFill patternType="solid">
        <fgColor theme="0"/>
        <bgColor theme="0"/>
      </patternFill>
    </fill>
    <fill>
      <patternFill patternType="solid">
        <fgColor theme="0"/>
        <bgColor indexed="64"/>
      </patternFill>
    </fill>
    <fill>
      <patternFill patternType="solid">
        <fgColor rgb="FF002060"/>
        <bgColor indexed="64"/>
      </patternFill>
    </fill>
    <fill>
      <patternFill patternType="solid">
        <fgColor theme="7" tint="-0.49998474074526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7"/>
        <bgColor indexed="64"/>
      </patternFill>
    </fill>
  </fills>
  <borders count="40">
    <border>
      <left/>
      <right/>
      <top/>
      <bottom/>
      <diagonal/>
    </border>
    <border>
      <left style="medium">
        <color rgb="FFCCCCCC"/>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style="medium">
        <color rgb="FFCCCCCC"/>
      </right>
      <top/>
      <bottom style="medium">
        <color rgb="FFCCCCCC"/>
      </bottom>
      <diagonal/>
    </border>
    <border>
      <left/>
      <right/>
      <top style="thick">
        <color auto="1"/>
      </top>
      <bottom/>
      <diagonal/>
    </border>
    <border>
      <left/>
      <right/>
      <top/>
      <bottom style="thick">
        <color auto="1"/>
      </bottom>
      <diagonal/>
    </border>
    <border>
      <left style="dashDotDot">
        <color auto="1"/>
      </left>
      <right style="dashDotDot">
        <color auto="1"/>
      </right>
      <top/>
      <bottom style="dashDotDot">
        <color auto="1"/>
      </bottom>
      <diagonal/>
    </border>
    <border>
      <left style="dashDotDot">
        <color auto="1"/>
      </left>
      <right style="dashDotDot">
        <color auto="1"/>
      </right>
      <top style="dashDotDot">
        <color auto="1"/>
      </top>
      <bottom style="dashDotDot">
        <color auto="1"/>
      </bottom>
      <diagonal/>
    </border>
    <border>
      <left style="dashDotDot">
        <color auto="1"/>
      </left>
      <right style="dashDotDot">
        <color auto="1"/>
      </right>
      <top style="dashDotDot">
        <color auto="1"/>
      </top>
      <bottom/>
      <diagonal/>
    </border>
    <border>
      <left style="double">
        <color auto="1"/>
      </left>
      <right style="double">
        <color auto="1"/>
      </right>
      <top style="double">
        <color auto="1"/>
      </top>
      <bottom style="double">
        <color auto="1"/>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dashDotDot">
        <color auto="1"/>
      </left>
      <right style="dashDotDot">
        <color auto="1"/>
      </right>
      <top/>
      <bottom/>
      <diagonal/>
    </border>
    <border>
      <left style="dashDotDot">
        <color auto="1"/>
      </left>
      <right/>
      <top style="dashDotDot">
        <color auto="1"/>
      </top>
      <bottom style="dashDotDot">
        <color auto="1"/>
      </bottom>
      <diagonal/>
    </border>
    <border>
      <left style="double">
        <color rgb="FFFF0000"/>
      </left>
      <right style="double">
        <color rgb="FFFF0000"/>
      </right>
      <top style="double">
        <color rgb="FFFF0000"/>
      </top>
      <bottom style="double">
        <color rgb="FFFF0000"/>
      </bottom>
      <diagonal/>
    </border>
    <border>
      <left/>
      <right/>
      <top/>
      <bottom style="double">
        <color rgb="FFFF0000"/>
      </bottom>
      <diagonal/>
    </border>
    <border>
      <left style="double">
        <color rgb="FFFF0000"/>
      </left>
      <right style="dashDotDot">
        <color auto="1"/>
      </right>
      <top style="dashDotDot">
        <color auto="1"/>
      </top>
      <bottom/>
      <diagonal/>
    </border>
    <border>
      <left style="double">
        <color rgb="FFFF0000"/>
      </left>
      <right style="dashDotDot">
        <color auto="1"/>
      </right>
      <top/>
      <bottom/>
      <diagonal/>
    </border>
    <border>
      <left style="double">
        <color rgb="FFFF0000"/>
      </left>
      <right style="dashDotDot">
        <color auto="1"/>
      </right>
      <top/>
      <bottom style="dashDotDot">
        <color auto="1"/>
      </bottom>
      <diagonal/>
    </border>
    <border>
      <left/>
      <right style="double">
        <color rgb="FFFF0000"/>
      </right>
      <top style="double">
        <color rgb="FFFF0000"/>
      </top>
      <bottom/>
      <diagonal/>
    </border>
    <border>
      <left/>
      <right style="double">
        <color rgb="FFFF0000"/>
      </right>
      <top/>
      <bottom/>
      <diagonal/>
    </border>
    <border>
      <left/>
      <right style="double">
        <color rgb="FFFF0000"/>
      </right>
      <top/>
      <bottom style="double">
        <color rgb="FFFF0000"/>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right/>
      <top style="double">
        <color indexed="64"/>
      </top>
      <bottom style="double">
        <color indexed="64"/>
      </bottom>
      <diagonal/>
    </border>
    <border>
      <left/>
      <right/>
      <top style="thin">
        <color indexed="64"/>
      </top>
      <bottom style="double">
        <color indexed="64"/>
      </bottom>
      <diagonal/>
    </border>
    <border>
      <left/>
      <right/>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bottom style="hair">
        <color indexed="64"/>
      </bottom>
      <diagonal/>
    </border>
    <border>
      <left/>
      <right/>
      <top style="double">
        <color rgb="FFFF0000"/>
      </top>
      <bottom/>
      <diagonal/>
    </border>
    <border>
      <left style="mediumDashed">
        <color rgb="FFFF0000"/>
      </left>
      <right style="mediumDashed">
        <color rgb="FFFF0000"/>
      </right>
      <top style="mediumDashed">
        <color rgb="FFFF0000"/>
      </top>
      <bottom style="mediumDashed">
        <color rgb="FFFF0000"/>
      </bottom>
      <diagonal/>
    </border>
  </borders>
  <cellStyleXfs count="8">
    <xf numFmtId="0" fontId="0" fillId="0" borderId="0"/>
    <xf numFmtId="9" fontId="35" fillId="0" borderId="0" applyFont="0" applyFill="0" applyBorder="0" applyAlignment="0" applyProtection="0"/>
    <xf numFmtId="0" fontId="35" fillId="0" borderId="0"/>
    <xf numFmtId="0" fontId="55" fillId="0" borderId="0"/>
    <xf numFmtId="0" fontId="66" fillId="0" borderId="0"/>
    <xf numFmtId="0" fontId="73" fillId="0" borderId="0" applyNumberFormat="0" applyFill="0" applyBorder="0" applyAlignment="0" applyProtection="0"/>
    <xf numFmtId="9" fontId="55" fillId="0" borderId="0" applyFont="0" applyFill="0" applyBorder="0" applyAlignment="0" applyProtection="0"/>
    <xf numFmtId="0" fontId="66" fillId="0" borderId="0"/>
  </cellStyleXfs>
  <cellXfs count="544">
    <xf numFmtId="0" fontId="0" fillId="0" borderId="0" xfId="0"/>
    <xf numFmtId="164" fontId="7" fillId="0" borderId="0" xfId="0" applyNumberFormat="1" applyFont="1" applyAlignment="1">
      <alignment horizontal="center" vertical="center" shrinkToFit="1"/>
    </xf>
    <xf numFmtId="0" fontId="8" fillId="0" borderId="0" xfId="0" applyFont="1" applyAlignment="1">
      <alignment horizontal="center" vertical="center" wrapText="1" shrinkToFit="1"/>
    </xf>
    <xf numFmtId="164" fontId="7" fillId="3" borderId="0" xfId="0" applyNumberFormat="1" applyFont="1" applyFill="1" applyAlignment="1">
      <alignment horizontal="center" vertical="center" shrinkToFit="1"/>
    </xf>
    <xf numFmtId="164" fontId="7" fillId="4" borderId="0" xfId="0" applyNumberFormat="1" applyFont="1" applyFill="1" applyAlignment="1">
      <alignment horizontal="center" vertical="center" shrinkToFit="1"/>
    </xf>
    <xf numFmtId="164" fontId="7" fillId="5" borderId="0" xfId="0" applyNumberFormat="1" applyFont="1" applyFill="1" applyAlignment="1">
      <alignment horizontal="center" vertical="center" shrinkToFit="1"/>
    </xf>
    <xf numFmtId="164" fontId="7" fillId="5" borderId="0" xfId="0" applyNumberFormat="1" applyFont="1" applyFill="1" applyAlignment="1">
      <alignment horizontal="center" vertical="center" wrapText="1" shrinkToFit="1"/>
    </xf>
    <xf numFmtId="164" fontId="7" fillId="6" borderId="0" xfId="0" applyNumberFormat="1" applyFont="1" applyFill="1" applyAlignment="1">
      <alignment horizontal="center" vertical="center" shrinkToFit="1"/>
    </xf>
    <xf numFmtId="164" fontId="7" fillId="8" borderId="0" xfId="0" applyNumberFormat="1" applyFont="1" applyFill="1" applyAlignment="1">
      <alignment horizontal="center" vertical="center" shrinkToFit="1"/>
    </xf>
    <xf numFmtId="164" fontId="7" fillId="0" borderId="0" xfId="0" applyNumberFormat="1" applyFont="1" applyAlignment="1">
      <alignment horizontal="center" vertical="center" wrapText="1" shrinkToFit="1"/>
    </xf>
    <xf numFmtId="164" fontId="7" fillId="4" borderId="0" xfId="0" applyNumberFormat="1" applyFont="1" applyFill="1" applyAlignment="1">
      <alignment horizontal="center" vertical="center" wrapText="1" shrinkToFit="1"/>
    </xf>
    <xf numFmtId="0" fontId="9" fillId="0" borderId="0" xfId="0" applyFont="1" applyAlignment="1">
      <alignment horizontal="right" vertical="center" wrapText="1"/>
    </xf>
    <xf numFmtId="0" fontId="8" fillId="3" borderId="0" xfId="0" applyFont="1" applyFill="1" applyAlignment="1">
      <alignment horizontal="center" vertical="center" wrapText="1" shrinkToFit="1"/>
    </xf>
    <xf numFmtId="0" fontId="8" fillId="3" borderId="0" xfId="0" applyFont="1" applyFill="1" applyAlignment="1">
      <alignment horizontal="center" vertical="center" textRotation="90" shrinkToFit="1"/>
    </xf>
    <xf numFmtId="0" fontId="10" fillId="11" borderId="2"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10" fillId="11" borderId="6" xfId="0" applyFont="1" applyFill="1" applyBorder="1" applyAlignment="1">
      <alignment horizontal="center" vertical="center" wrapText="1"/>
    </xf>
    <xf numFmtId="0" fontId="8" fillId="0" borderId="0" xfId="0" applyFont="1" applyAlignment="1">
      <alignment horizontal="center" vertical="center" textRotation="90" wrapText="1" shrinkToFit="1"/>
    </xf>
    <xf numFmtId="0" fontId="8" fillId="2" borderId="0" xfId="0" applyFont="1" applyFill="1" applyAlignment="1">
      <alignment horizontal="center" vertical="center" wrapText="1" shrinkToFit="1"/>
    </xf>
    <xf numFmtId="164" fontId="7" fillId="2" borderId="0" xfId="0" applyNumberFormat="1" applyFont="1" applyFill="1" applyAlignment="1">
      <alignment horizontal="center" vertical="center" shrinkToFit="1"/>
    </xf>
    <xf numFmtId="49" fontId="7" fillId="0" borderId="0" xfId="0" applyNumberFormat="1" applyFont="1" applyAlignment="1">
      <alignment horizontal="center" vertical="center" shrinkToFit="1"/>
    </xf>
    <xf numFmtId="49" fontId="7" fillId="0" borderId="0" xfId="0" applyNumberFormat="1" applyFont="1" applyAlignment="1">
      <alignment horizontal="center" vertical="center" wrapText="1" shrinkToFit="1"/>
    </xf>
    <xf numFmtId="164" fontId="7" fillId="2" borderId="0" xfId="0" applyNumberFormat="1" applyFont="1" applyFill="1" applyAlignment="1">
      <alignment horizontal="center" vertical="center" wrapText="1" shrinkToFit="1"/>
    </xf>
    <xf numFmtId="0" fontId="14" fillId="0" borderId="0" xfId="0" applyFont="1" applyAlignment="1">
      <alignment horizontal="center" vertical="center" textRotation="90" wrapText="1" shrinkToFit="1"/>
    </xf>
    <xf numFmtId="0" fontId="13" fillId="2" borderId="0" xfId="0" applyFont="1" applyFill="1" applyAlignment="1">
      <alignment horizontal="center" vertical="center" wrapText="1" shrinkToFit="1"/>
    </xf>
    <xf numFmtId="0" fontId="8" fillId="3" borderId="0" xfId="0" applyFont="1" applyFill="1" applyAlignment="1">
      <alignment horizontal="center" vertical="center" textRotation="90" wrapText="1" shrinkToFit="1"/>
    </xf>
    <xf numFmtId="0" fontId="13" fillId="3" borderId="0" xfId="0" applyFont="1" applyFill="1" applyAlignment="1">
      <alignment horizontal="center" vertical="center" wrapText="1" shrinkToFit="1"/>
    </xf>
    <xf numFmtId="0" fontId="13" fillId="0" borderId="0" xfId="0" applyFont="1" applyAlignment="1">
      <alignment horizontal="center" vertical="center" wrapText="1" shrinkToFit="1"/>
    </xf>
    <xf numFmtId="164" fontId="7" fillId="4" borderId="7" xfId="0" applyNumberFormat="1" applyFont="1" applyFill="1" applyBorder="1" applyAlignment="1">
      <alignment horizontal="center" vertical="center" wrapText="1" shrinkToFit="1"/>
    </xf>
    <xf numFmtId="164" fontId="7" fillId="7" borderId="7" xfId="0" applyNumberFormat="1" applyFont="1" applyFill="1" applyBorder="1" applyAlignment="1">
      <alignment horizontal="center" vertical="center" shrinkToFit="1"/>
    </xf>
    <xf numFmtId="164" fontId="7" fillId="4" borderId="7" xfId="0" applyNumberFormat="1" applyFont="1" applyFill="1" applyBorder="1" applyAlignment="1">
      <alignment horizontal="center" vertical="center" shrinkToFit="1"/>
    </xf>
    <xf numFmtId="164" fontId="7" fillId="7" borderId="0" xfId="0" applyNumberFormat="1" applyFont="1" applyFill="1" applyAlignment="1">
      <alignment horizontal="center" vertical="center" shrinkToFit="1"/>
    </xf>
    <xf numFmtId="164" fontId="7" fillId="8" borderId="8" xfId="0" applyNumberFormat="1" applyFont="1" applyFill="1" applyBorder="1" applyAlignment="1">
      <alignment horizontal="center" vertical="center" shrinkToFit="1"/>
    </xf>
    <xf numFmtId="164" fontId="7" fillId="4" borderId="8" xfId="0" applyNumberFormat="1" applyFont="1" applyFill="1" applyBorder="1" applyAlignment="1">
      <alignment horizontal="center" vertical="center" shrinkToFit="1"/>
    </xf>
    <xf numFmtId="164" fontId="7" fillId="4" borderId="8" xfId="0" applyNumberFormat="1" applyFont="1" applyFill="1" applyBorder="1" applyAlignment="1">
      <alignment horizontal="center" vertical="center" wrapText="1" shrinkToFit="1"/>
    </xf>
    <xf numFmtId="0" fontId="6" fillId="0" borderId="0" xfId="0" applyFont="1" applyAlignment="1">
      <alignment horizontal="center" vertical="center" wrapText="1" shrinkToFit="1"/>
    </xf>
    <xf numFmtId="0" fontId="0" fillId="0" borderId="0" xfId="0" applyAlignment="1">
      <alignment horizontal="right" vertical="center" wrapText="1"/>
    </xf>
    <xf numFmtId="0" fontId="12" fillId="0" borderId="0" xfId="0" applyFont="1" applyAlignment="1">
      <alignment horizontal="right" vertical="center" wrapText="1"/>
    </xf>
    <xf numFmtId="0" fontId="15" fillId="13" borderId="0" xfId="0" applyFont="1" applyFill="1" applyAlignment="1">
      <alignment horizontal="right" vertical="center" wrapText="1"/>
    </xf>
    <xf numFmtId="0" fontId="0" fillId="0" borderId="0" xfId="0" applyAlignment="1">
      <alignment horizontal="center" vertical="center" wrapText="1" shrinkToFit="1"/>
    </xf>
    <xf numFmtId="0" fontId="0" fillId="0" borderId="0" xfId="0" applyAlignment="1">
      <alignment horizontal="center" vertical="center" textRotation="90" wrapText="1" shrinkToFit="1"/>
    </xf>
    <xf numFmtId="164" fontId="7" fillId="0" borderId="0" xfId="0" applyNumberFormat="1" applyFont="1" applyAlignment="1">
      <alignment horizontal="center" vertical="center" textRotation="90" wrapText="1" shrinkToFit="1"/>
    </xf>
    <xf numFmtId="164" fontId="7" fillId="14" borderId="0" xfId="0" applyNumberFormat="1" applyFont="1" applyFill="1" applyAlignment="1">
      <alignment horizontal="center" vertical="center" shrinkToFit="1"/>
    </xf>
    <xf numFmtId="164" fontId="7" fillId="3" borderId="10" xfId="0" applyNumberFormat="1" applyFont="1" applyFill="1" applyBorder="1" applyAlignment="1">
      <alignment horizontal="center" vertical="center" wrapText="1" shrinkToFit="1"/>
    </xf>
    <xf numFmtId="0" fontId="5" fillId="3" borderId="10" xfId="0" applyFont="1" applyFill="1" applyBorder="1" applyAlignment="1">
      <alignment horizontal="center" vertical="center" wrapText="1" shrinkToFit="1"/>
    </xf>
    <xf numFmtId="164" fontId="22" fillId="4" borderId="7" xfId="0" applyNumberFormat="1" applyFont="1" applyFill="1" applyBorder="1" applyAlignment="1">
      <alignment horizontal="center" vertical="center" wrapText="1" shrinkToFit="1"/>
    </xf>
    <xf numFmtId="0" fontId="23" fillId="11" borderId="1" xfId="0" applyFont="1" applyFill="1" applyBorder="1" applyAlignment="1">
      <alignment horizontal="right" vertical="center" wrapText="1"/>
    </xf>
    <xf numFmtId="0" fontId="23" fillId="10" borderId="3" xfId="0" applyFont="1" applyFill="1" applyBorder="1" applyAlignment="1">
      <alignment horizontal="right" vertical="center" wrapText="1"/>
    </xf>
    <xf numFmtId="0" fontId="23" fillId="11" borderId="3" xfId="0" applyFont="1" applyFill="1" applyBorder="1" applyAlignment="1">
      <alignment horizontal="right" vertical="center" wrapText="1"/>
    </xf>
    <xf numFmtId="0" fontId="24" fillId="10" borderId="3" xfId="0" applyFont="1" applyFill="1" applyBorder="1" applyAlignment="1">
      <alignment horizontal="right" vertical="center" wrapText="1"/>
    </xf>
    <xf numFmtId="0" fontId="23" fillId="11" borderId="5" xfId="0" applyFont="1" applyFill="1" applyBorder="1" applyAlignment="1">
      <alignment horizontal="right" vertical="center" wrapText="1"/>
    </xf>
    <xf numFmtId="164" fontId="25" fillId="9" borderId="0" xfId="0" applyNumberFormat="1" applyFont="1" applyFill="1" applyAlignment="1">
      <alignment horizontal="center" vertical="center" wrapText="1" shrinkToFit="1"/>
    </xf>
    <xf numFmtId="0" fontId="27" fillId="0" borderId="0" xfId="0" applyFont="1" applyAlignment="1">
      <alignment horizontal="center" vertical="center" textRotation="90" wrapText="1" shrinkToFit="1"/>
    </xf>
    <xf numFmtId="164" fontId="28" fillId="0" borderId="0" xfId="0" applyNumberFormat="1" applyFont="1" applyAlignment="1">
      <alignment horizontal="center" vertical="center" wrapText="1" shrinkToFit="1"/>
    </xf>
    <xf numFmtId="164" fontId="7" fillId="3" borderId="0" xfId="0" applyNumberFormat="1" applyFont="1" applyFill="1" applyAlignment="1">
      <alignment horizontal="center" vertical="center" wrapText="1" shrinkToFit="1"/>
    </xf>
    <xf numFmtId="164" fontId="29" fillId="4" borderId="7" xfId="0" applyNumberFormat="1" applyFont="1" applyFill="1" applyBorder="1" applyAlignment="1">
      <alignment horizontal="center" vertical="center" wrapText="1" shrinkToFit="1"/>
    </xf>
    <xf numFmtId="164" fontId="7" fillId="3" borderId="12" xfId="0" applyNumberFormat="1" applyFont="1" applyFill="1" applyBorder="1" applyAlignment="1">
      <alignment horizontal="center" vertical="center" wrapText="1" shrinkToFit="1"/>
    </xf>
    <xf numFmtId="164" fontId="7" fillId="7" borderId="7" xfId="0" applyNumberFormat="1" applyFont="1" applyFill="1" applyBorder="1" applyAlignment="1">
      <alignment horizontal="center" vertical="center" wrapText="1" shrinkToFit="1"/>
    </xf>
    <xf numFmtId="164" fontId="7" fillId="7" borderId="0" xfId="0" applyNumberFormat="1" applyFont="1" applyFill="1" applyAlignment="1">
      <alignment horizontal="center" vertical="center" wrapText="1" shrinkToFit="1"/>
    </xf>
    <xf numFmtId="164" fontId="7" fillId="8" borderId="0" xfId="0" applyNumberFormat="1" applyFont="1" applyFill="1" applyAlignment="1">
      <alignment horizontal="center" vertical="center" wrapText="1" shrinkToFit="1"/>
    </xf>
    <xf numFmtId="164" fontId="7" fillId="8" borderId="8" xfId="0" applyNumberFormat="1" applyFont="1" applyFill="1" applyBorder="1" applyAlignment="1">
      <alignment horizontal="center" vertical="center" wrapText="1" shrinkToFit="1"/>
    </xf>
    <xf numFmtId="49" fontId="26" fillId="0" borderId="0" xfId="0" applyNumberFormat="1" applyFont="1" applyAlignment="1">
      <alignment horizontal="center" vertical="center" wrapText="1" shrinkToFit="1"/>
    </xf>
    <xf numFmtId="164" fontId="26" fillId="0" borderId="0" xfId="0" applyNumberFormat="1" applyFont="1" applyAlignment="1">
      <alignment horizontal="center" vertical="center" wrapText="1" shrinkToFit="1"/>
    </xf>
    <xf numFmtId="164" fontId="7" fillId="6" borderId="0" xfId="0" applyNumberFormat="1" applyFont="1" applyFill="1" applyAlignment="1">
      <alignment horizontal="center" vertical="center" wrapText="1" shrinkToFit="1"/>
    </xf>
    <xf numFmtId="164" fontId="7" fillId="3" borderId="16" xfId="0" applyNumberFormat="1" applyFont="1" applyFill="1" applyBorder="1" applyAlignment="1">
      <alignment horizontal="center" vertical="center" wrapText="1" shrinkToFit="1"/>
    </xf>
    <xf numFmtId="0" fontId="8" fillId="3" borderId="16" xfId="0" applyFont="1" applyFill="1" applyBorder="1" applyAlignment="1">
      <alignment horizontal="center" vertical="center" wrapText="1" shrinkToFit="1"/>
    </xf>
    <xf numFmtId="164" fontId="7" fillId="3" borderId="11" xfId="0" applyNumberFormat="1" applyFont="1" applyFill="1" applyBorder="1" applyAlignment="1">
      <alignment horizontal="center" vertical="center" wrapText="1" shrinkToFit="1"/>
    </xf>
    <xf numFmtId="164" fontId="7" fillId="3" borderId="14" xfId="0" applyNumberFormat="1" applyFont="1" applyFill="1" applyBorder="1" applyAlignment="1">
      <alignment horizontal="center" vertical="center" wrapText="1" shrinkToFit="1"/>
    </xf>
    <xf numFmtId="164" fontId="7" fillId="3" borderId="17" xfId="0" applyNumberFormat="1" applyFont="1" applyFill="1" applyBorder="1" applyAlignment="1">
      <alignment horizontal="center" vertical="center" wrapText="1" shrinkToFit="1"/>
    </xf>
    <xf numFmtId="164" fontId="7" fillId="2" borderId="17" xfId="0" applyNumberFormat="1" applyFont="1" applyFill="1" applyBorder="1" applyAlignment="1">
      <alignment horizontal="center" vertical="center" wrapText="1" shrinkToFit="1"/>
    </xf>
    <xf numFmtId="164" fontId="12" fillId="0" borderId="0" xfId="0" applyNumberFormat="1" applyFont="1" applyAlignment="1">
      <alignment horizontal="center" vertical="center" shrinkToFit="1"/>
    </xf>
    <xf numFmtId="164" fontId="12" fillId="3" borderId="0" xfId="0" applyNumberFormat="1" applyFont="1" applyFill="1" applyAlignment="1">
      <alignment horizontal="center" vertical="center" shrinkToFit="1"/>
    </xf>
    <xf numFmtId="164" fontId="12" fillId="4" borderId="0" xfId="0" applyNumberFormat="1" applyFont="1" applyFill="1" applyAlignment="1">
      <alignment horizontal="center" vertical="center" wrapText="1" shrinkToFit="1"/>
    </xf>
    <xf numFmtId="164" fontId="12" fillId="4" borderId="0" xfId="0" applyNumberFormat="1" applyFont="1" applyFill="1" applyAlignment="1">
      <alignment horizontal="center" vertical="center" shrinkToFit="1"/>
    </xf>
    <xf numFmtId="164" fontId="12" fillId="4" borderId="8" xfId="0" applyNumberFormat="1" applyFont="1" applyFill="1" applyBorder="1" applyAlignment="1">
      <alignment horizontal="center" vertical="center" shrinkToFit="1"/>
    </xf>
    <xf numFmtId="164" fontId="12" fillId="4" borderId="7" xfId="0" applyNumberFormat="1" applyFont="1" applyFill="1" applyBorder="1" applyAlignment="1">
      <alignment horizontal="center" vertical="center" wrapText="1" shrinkToFit="1"/>
    </xf>
    <xf numFmtId="164" fontId="12" fillId="5" borderId="0" xfId="0" applyNumberFormat="1" applyFont="1" applyFill="1" applyAlignment="1">
      <alignment horizontal="center" vertical="center" shrinkToFit="1"/>
    </xf>
    <xf numFmtId="164" fontId="12" fillId="6" borderId="0" xfId="0" applyNumberFormat="1" applyFont="1" applyFill="1" applyAlignment="1">
      <alignment horizontal="center" vertical="center" shrinkToFit="1"/>
    </xf>
    <xf numFmtId="164" fontId="12" fillId="0" borderId="0" xfId="0" applyNumberFormat="1" applyFont="1" applyAlignment="1">
      <alignment horizontal="center" vertical="center" wrapText="1" shrinkToFit="1"/>
    </xf>
    <xf numFmtId="164" fontId="16" fillId="0" borderId="0" xfId="0" applyNumberFormat="1" applyFont="1" applyAlignment="1">
      <alignment horizontal="center" vertical="center" shrinkToFit="1"/>
    </xf>
    <xf numFmtId="0" fontId="17" fillId="0" borderId="0" xfId="0" applyFont="1" applyAlignment="1">
      <alignment horizontal="center" vertical="center" wrapText="1" shrinkToFit="1"/>
    </xf>
    <xf numFmtId="164" fontId="16" fillId="14" borderId="0" xfId="0" applyNumberFormat="1" applyFont="1" applyFill="1" applyAlignment="1">
      <alignment horizontal="center" vertical="center" shrinkToFit="1"/>
    </xf>
    <xf numFmtId="164" fontId="16" fillId="4" borderId="0" xfId="0" applyNumberFormat="1" applyFont="1" applyFill="1" applyAlignment="1">
      <alignment horizontal="center" vertical="center" wrapText="1" shrinkToFit="1"/>
    </xf>
    <xf numFmtId="164" fontId="16" fillId="4" borderId="7" xfId="0" applyNumberFormat="1" applyFont="1" applyFill="1" applyBorder="1" applyAlignment="1">
      <alignment horizontal="center" vertical="center" wrapText="1" shrinkToFit="1"/>
    </xf>
    <xf numFmtId="164" fontId="16" fillId="4" borderId="0" xfId="0" applyNumberFormat="1" applyFont="1" applyFill="1" applyAlignment="1">
      <alignment horizontal="center" vertical="center" shrinkToFit="1"/>
    </xf>
    <xf numFmtId="164" fontId="16" fillId="4" borderId="8" xfId="0" applyNumberFormat="1" applyFont="1" applyFill="1" applyBorder="1" applyAlignment="1">
      <alignment horizontal="center" vertical="center" shrinkToFit="1"/>
    </xf>
    <xf numFmtId="164" fontId="16" fillId="4" borderId="8" xfId="0" applyNumberFormat="1" applyFont="1" applyFill="1" applyBorder="1" applyAlignment="1">
      <alignment horizontal="center" vertical="center" wrapText="1" shrinkToFit="1"/>
    </xf>
    <xf numFmtId="164" fontId="16" fillId="5" borderId="0" xfId="0" applyNumberFormat="1" applyFont="1" applyFill="1" applyAlignment="1">
      <alignment horizontal="center" vertical="center" shrinkToFit="1"/>
    </xf>
    <xf numFmtId="164" fontId="16" fillId="6" borderId="0" xfId="0" applyNumberFormat="1" applyFont="1" applyFill="1" applyAlignment="1">
      <alignment horizontal="center" vertical="center" shrinkToFit="1"/>
    </xf>
    <xf numFmtId="164" fontId="16" fillId="0" borderId="0" xfId="0" applyNumberFormat="1" applyFont="1" applyAlignment="1">
      <alignment horizontal="center" vertical="center" wrapText="1" shrinkToFit="1"/>
    </xf>
    <xf numFmtId="164" fontId="12" fillId="2" borderId="0" xfId="0" applyNumberFormat="1" applyFont="1" applyFill="1" applyAlignment="1">
      <alignment horizontal="center" vertical="center" shrinkToFit="1"/>
    </xf>
    <xf numFmtId="164" fontId="12" fillId="14" borderId="0" xfId="0" applyNumberFormat="1" applyFont="1" applyFill="1" applyAlignment="1">
      <alignment horizontal="center" vertical="center" wrapText="1" shrinkToFit="1"/>
    </xf>
    <xf numFmtId="164" fontId="12" fillId="4" borderId="7" xfId="0" applyNumberFormat="1" applyFont="1" applyFill="1" applyBorder="1" applyAlignment="1">
      <alignment horizontal="center" vertical="center" shrinkToFit="1"/>
    </xf>
    <xf numFmtId="164" fontId="30" fillId="4" borderId="0" xfId="0" applyNumberFormat="1" applyFont="1" applyFill="1" applyAlignment="1">
      <alignment horizontal="right" vertical="center" wrapText="1" shrinkToFit="1"/>
    </xf>
    <xf numFmtId="164" fontId="30" fillId="4" borderId="0" xfId="0" applyNumberFormat="1" applyFont="1" applyFill="1" applyAlignment="1">
      <alignment horizontal="right" vertical="center" shrinkToFit="1"/>
    </xf>
    <xf numFmtId="0" fontId="12" fillId="0" borderId="18" xfId="0" applyFont="1" applyBorder="1" applyAlignment="1">
      <alignment horizontal="center" vertical="center" wrapText="1" shrinkToFit="1"/>
    </xf>
    <xf numFmtId="0" fontId="4" fillId="3" borderId="0" xfId="0" applyFont="1" applyFill="1" applyAlignment="1">
      <alignment horizontal="center" vertical="center" wrapText="1" shrinkToFit="1"/>
    </xf>
    <xf numFmtId="0" fontId="3" fillId="3" borderId="16" xfId="0" applyFont="1" applyFill="1" applyBorder="1" applyAlignment="1">
      <alignment horizontal="center" vertical="center" wrapText="1" shrinkToFit="1"/>
    </xf>
    <xf numFmtId="0" fontId="16" fillId="0" borderId="18" xfId="0" applyFont="1" applyBorder="1" applyAlignment="1">
      <alignment horizontal="center" vertical="center" wrapText="1" shrinkToFit="1"/>
    </xf>
    <xf numFmtId="164" fontId="13" fillId="0" borderId="0" xfId="0" applyNumberFormat="1" applyFont="1" applyAlignment="1">
      <alignment horizontal="center" vertical="center" textRotation="90" wrapText="1" shrinkToFit="1"/>
    </xf>
    <xf numFmtId="164" fontId="18" fillId="0" borderId="0" xfId="0" applyNumberFormat="1" applyFont="1" applyAlignment="1">
      <alignment horizontal="center" vertical="center" wrapText="1" shrinkToFit="1"/>
    </xf>
    <xf numFmtId="164" fontId="7" fillId="15" borderId="16" xfId="0" applyNumberFormat="1" applyFont="1" applyFill="1" applyBorder="1" applyAlignment="1">
      <alignment horizontal="center" vertical="center" wrapText="1" shrinkToFit="1"/>
    </xf>
    <xf numFmtId="164" fontId="7" fillId="15" borderId="17" xfId="0" applyNumberFormat="1" applyFont="1" applyFill="1" applyBorder="1" applyAlignment="1">
      <alignment horizontal="center" vertical="center" wrapText="1" shrinkToFit="1"/>
    </xf>
    <xf numFmtId="164" fontId="7" fillId="16" borderId="17" xfId="0" applyNumberFormat="1" applyFont="1" applyFill="1" applyBorder="1" applyAlignment="1">
      <alignment horizontal="center" vertical="center" wrapText="1" shrinkToFit="1"/>
    </xf>
    <xf numFmtId="0" fontId="8" fillId="15" borderId="16" xfId="0" applyFont="1" applyFill="1" applyBorder="1" applyAlignment="1">
      <alignment horizontal="center" vertical="center" wrapText="1" shrinkToFit="1"/>
    </xf>
    <xf numFmtId="0" fontId="8" fillId="15" borderId="0" xfId="0" applyFont="1" applyFill="1" applyAlignment="1">
      <alignment horizontal="center" vertical="center" wrapText="1" shrinkToFit="1"/>
    </xf>
    <xf numFmtId="0" fontId="0" fillId="0" borderId="0" xfId="0" applyAlignment="1">
      <alignment horizontal="center" vertical="center" wrapText="1"/>
    </xf>
    <xf numFmtId="0" fontId="12" fillId="0" borderId="0" xfId="0" applyFont="1" applyAlignment="1">
      <alignment horizontal="center" vertical="center" wrapText="1"/>
    </xf>
    <xf numFmtId="0" fontId="34" fillId="0" borderId="0" xfId="0" applyFont="1" applyAlignment="1">
      <alignment horizontal="center" vertical="center" wrapText="1"/>
    </xf>
    <xf numFmtId="0" fontId="0" fillId="0" borderId="0" xfId="0" applyAlignment="1">
      <alignment shrinkToFit="1"/>
    </xf>
    <xf numFmtId="0" fontId="36" fillId="18" borderId="0" xfId="0" applyFont="1" applyFill="1" applyAlignment="1">
      <alignment horizontal="center" vertical="center" wrapText="1" shrinkToFit="1"/>
    </xf>
    <xf numFmtId="0" fontId="0" fillId="0" borderId="0" xfId="0" applyAlignment="1">
      <alignment horizontal="center" shrinkToFit="1"/>
    </xf>
    <xf numFmtId="0" fontId="7" fillId="19" borderId="0" xfId="0" applyFont="1" applyFill="1" applyAlignment="1">
      <alignment shrinkToFit="1"/>
    </xf>
    <xf numFmtId="0" fontId="12" fillId="20" borderId="0" xfId="0" applyFont="1" applyFill="1" applyAlignment="1">
      <alignment shrinkToFit="1"/>
    </xf>
    <xf numFmtId="38" fontId="0" fillId="0" borderId="0" xfId="1" applyNumberFormat="1" applyFont="1" applyAlignment="1">
      <alignment horizontal="center" vertical="center" wrapText="1"/>
    </xf>
    <xf numFmtId="9" fontId="0" fillId="0" borderId="0" xfId="0" applyNumberFormat="1" applyAlignment="1">
      <alignment horizontal="center" vertical="center" wrapText="1"/>
    </xf>
    <xf numFmtId="0" fontId="38" fillId="19" borderId="0" xfId="0" applyFont="1" applyFill="1" applyAlignment="1">
      <alignment shrinkToFit="1"/>
    </xf>
    <xf numFmtId="0" fontId="38" fillId="20" borderId="0" xfId="0" applyFont="1" applyFill="1" applyAlignment="1">
      <alignment shrinkToFit="1"/>
    </xf>
    <xf numFmtId="0" fontId="40" fillId="22" borderId="0" xfId="0" applyFont="1" applyFill="1" applyAlignment="1">
      <alignment horizontal="center" vertical="top" wrapText="1"/>
    </xf>
    <xf numFmtId="0" fontId="39" fillId="18" borderId="0" xfId="0" applyFont="1" applyFill="1" applyAlignment="1">
      <alignment horizontal="center" vertical="center" wrapText="1" shrinkToFit="1"/>
    </xf>
    <xf numFmtId="0" fontId="12" fillId="0" borderId="0" xfId="0" applyFont="1" applyAlignment="1">
      <alignment shrinkToFit="1"/>
    </xf>
    <xf numFmtId="0" fontId="38" fillId="0" borderId="0" xfId="0" applyFont="1" applyAlignment="1">
      <alignment shrinkToFit="1"/>
    </xf>
    <xf numFmtId="0" fontId="17" fillId="0" borderId="0" xfId="0" applyFont="1" applyAlignment="1">
      <alignment horizontal="center" vertical="center" wrapText="1"/>
    </xf>
    <xf numFmtId="0" fontId="7" fillId="0" borderId="0" xfId="0" applyFont="1" applyAlignment="1">
      <alignment horizontal="center" vertical="center" wrapText="1"/>
    </xf>
    <xf numFmtId="0" fontId="17" fillId="0" borderId="0" xfId="0" applyFont="1" applyAlignment="1">
      <alignment horizontal="right" vertical="center" wrapText="1"/>
    </xf>
    <xf numFmtId="0" fontId="9" fillId="0" borderId="0" xfId="0" applyFont="1" applyAlignment="1">
      <alignment horizontal="center" vertical="center" wrapText="1"/>
    </xf>
    <xf numFmtId="0" fontId="41" fillId="18" borderId="0" xfId="0" applyFont="1" applyFill="1" applyAlignment="1">
      <alignment horizontal="center" vertical="center" wrapText="1"/>
    </xf>
    <xf numFmtId="0" fontId="41" fillId="18" borderId="0" xfId="0" applyFont="1" applyFill="1" applyAlignment="1">
      <alignment horizontal="right" vertical="center" wrapText="1"/>
    </xf>
    <xf numFmtId="0" fontId="9" fillId="0" borderId="0" xfId="0" applyFont="1" applyAlignment="1">
      <alignment vertical="center" wrapText="1" readingOrder="2"/>
    </xf>
    <xf numFmtId="0" fontId="16" fillId="0" borderId="0" xfId="0" applyFont="1" applyAlignment="1">
      <alignment horizontal="center" vertical="center" wrapText="1"/>
    </xf>
    <xf numFmtId="0" fontId="42" fillId="22" borderId="0" xfId="0" applyFont="1" applyFill="1" applyAlignment="1">
      <alignment horizontal="center" vertical="center" wrapText="1"/>
    </xf>
    <xf numFmtId="0" fontId="16" fillId="0" borderId="0" xfId="0" applyFont="1" applyAlignment="1">
      <alignment horizontal="left" vertical="center" wrapText="1"/>
    </xf>
    <xf numFmtId="0" fontId="45" fillId="18" borderId="0" xfId="0" applyFont="1" applyFill="1" applyAlignment="1">
      <alignment horizontal="center" vertical="center" wrapText="1"/>
    </xf>
    <xf numFmtId="0" fontId="45" fillId="18" borderId="0" xfId="0" applyFont="1" applyFill="1" applyAlignment="1">
      <alignment vertical="center" wrapText="1" readingOrder="2"/>
    </xf>
    <xf numFmtId="0" fontId="45" fillId="18" borderId="0" xfId="0" applyFont="1" applyFill="1" applyAlignment="1">
      <alignment horizontal="right" vertical="center" wrapText="1"/>
    </xf>
    <xf numFmtId="0" fontId="45" fillId="22" borderId="0" xfId="0" applyFont="1" applyFill="1" applyAlignment="1">
      <alignment horizontal="center" vertical="center" wrapText="1"/>
    </xf>
    <xf numFmtId="0" fontId="45" fillId="22" borderId="0" xfId="0" applyFont="1" applyFill="1" applyAlignment="1">
      <alignment horizontal="right" vertical="center" wrapText="1"/>
    </xf>
    <xf numFmtId="0" fontId="16" fillId="5" borderId="0" xfId="0" applyFont="1" applyFill="1" applyAlignment="1">
      <alignment horizontal="right" vertical="center" wrapText="1"/>
    </xf>
    <xf numFmtId="0" fontId="16" fillId="5" borderId="0" xfId="0" applyFont="1" applyFill="1" applyAlignment="1">
      <alignment vertical="center" wrapText="1" readingOrder="2"/>
    </xf>
    <xf numFmtId="0" fontId="9" fillId="19" borderId="0" xfId="0" applyFont="1" applyFill="1" applyAlignment="1">
      <alignment horizontal="right" vertical="center" wrapText="1"/>
    </xf>
    <xf numFmtId="0" fontId="9" fillId="19" borderId="0" xfId="0" applyFont="1" applyFill="1" applyAlignment="1">
      <alignment vertical="center" wrapText="1" readingOrder="2"/>
    </xf>
    <xf numFmtId="0" fontId="16" fillId="19" borderId="0" xfId="0" applyFont="1" applyFill="1" applyAlignment="1">
      <alignment horizontal="right" vertical="center" wrapText="1"/>
    </xf>
    <xf numFmtId="0" fontId="42" fillId="22" borderId="0" xfId="0" applyFont="1" applyFill="1" applyAlignment="1">
      <alignment horizontal="left" vertical="center" wrapText="1"/>
    </xf>
    <xf numFmtId="0" fontId="46" fillId="0" borderId="0" xfId="0" applyFont="1" applyAlignment="1">
      <alignment horizontal="right" vertical="center" wrapText="1"/>
    </xf>
    <xf numFmtId="0" fontId="47" fillId="22" borderId="0" xfId="0" applyFont="1" applyFill="1" applyAlignment="1">
      <alignment horizontal="center" vertical="center" wrapText="1"/>
    </xf>
    <xf numFmtId="0" fontId="9" fillId="5" borderId="0" xfId="0" applyFont="1" applyFill="1" applyAlignment="1">
      <alignment horizontal="right" vertical="center" wrapText="1"/>
    </xf>
    <xf numFmtId="0" fontId="47" fillId="22" borderId="0" xfId="0" applyFont="1" applyFill="1" applyAlignment="1">
      <alignment horizontal="right" vertical="center" wrapText="1"/>
    </xf>
    <xf numFmtId="0" fontId="38" fillId="0" borderId="0" xfId="0" applyFont="1" applyAlignment="1">
      <alignment horizontal="left" vertical="center" wrapText="1"/>
    </xf>
    <xf numFmtId="0" fontId="38" fillId="0" borderId="0" xfId="0" applyFont="1" applyAlignment="1">
      <alignment horizontal="center" vertical="center" wrapText="1"/>
    </xf>
    <xf numFmtId="0" fontId="0" fillId="0" borderId="0" xfId="0" applyAlignment="1">
      <alignment horizontal="center" vertical="center" shrinkToFit="1"/>
    </xf>
    <xf numFmtId="0" fontId="42" fillId="18" borderId="0" xfId="0" applyFont="1" applyFill="1" applyAlignment="1">
      <alignment horizontal="center" vertical="center" wrapText="1"/>
    </xf>
    <xf numFmtId="0" fontId="36" fillId="18" borderId="0" xfId="0" applyFont="1" applyFill="1" applyAlignment="1">
      <alignment horizontal="center" vertical="center" wrapText="1"/>
    </xf>
    <xf numFmtId="0" fontId="7" fillId="0" borderId="0" xfId="0" applyFont="1" applyAlignment="1">
      <alignment horizontal="center"/>
    </xf>
    <xf numFmtId="0" fontId="19" fillId="0" borderId="0" xfId="0" applyFont="1" applyAlignment="1">
      <alignment horizontal="center" vertical="center" wrapText="1" shrinkToFit="1"/>
    </xf>
    <xf numFmtId="0" fontId="48" fillId="0" borderId="0" xfId="2" applyFont="1" applyAlignment="1">
      <alignment horizontal="right" vertical="center"/>
    </xf>
    <xf numFmtId="0" fontId="49" fillId="0" borderId="0" xfId="2" applyFont="1" applyAlignment="1">
      <alignment horizontal="center" vertical="center" shrinkToFit="1"/>
    </xf>
    <xf numFmtId="0" fontId="50" fillId="0" borderId="0" xfId="2" applyFont="1" applyAlignment="1">
      <alignment horizontal="center" vertical="center" shrinkToFit="1"/>
    </xf>
    <xf numFmtId="0" fontId="50" fillId="0" borderId="0" xfId="2" applyFont="1" applyAlignment="1">
      <alignment horizontal="right" vertical="center" shrinkToFit="1"/>
    </xf>
    <xf numFmtId="0" fontId="51" fillId="0" borderId="0" xfId="2" applyFont="1" applyAlignment="1">
      <alignment horizontal="right" vertical="center" shrinkToFit="1"/>
    </xf>
    <xf numFmtId="0" fontId="52" fillId="0" borderId="0" xfId="2" applyFont="1" applyAlignment="1">
      <alignment horizontal="right" vertical="center" wrapText="1"/>
    </xf>
    <xf numFmtId="0" fontId="53" fillId="0" borderId="0" xfId="2" applyFont="1" applyAlignment="1">
      <alignment horizontal="right" vertical="center" shrinkToFit="1" readingOrder="2"/>
    </xf>
    <xf numFmtId="0" fontId="54" fillId="0" borderId="0" xfId="2" applyFont="1" applyAlignment="1">
      <alignment horizontal="right" vertical="center" shrinkToFit="1" readingOrder="2"/>
    </xf>
    <xf numFmtId="0" fontId="56" fillId="0" borderId="0" xfId="3" applyFont="1" applyAlignment="1">
      <alignment horizontal="right" vertical="center" shrinkToFit="1" readingOrder="2"/>
    </xf>
    <xf numFmtId="0" fontId="57" fillId="21" borderId="0" xfId="3" applyFont="1" applyFill="1" applyAlignment="1">
      <alignment horizontal="right" vertical="center" shrinkToFit="1" readingOrder="2"/>
    </xf>
    <xf numFmtId="0" fontId="58" fillId="0" borderId="0" xfId="3" applyFont="1" applyAlignment="1">
      <alignment horizontal="center" vertical="center" shrinkToFit="1"/>
    </xf>
    <xf numFmtId="0" fontId="58" fillId="0" borderId="0" xfId="3" applyFont="1" applyAlignment="1">
      <alignment horizontal="right" vertical="center" shrinkToFit="1"/>
    </xf>
    <xf numFmtId="0" fontId="59" fillId="0" borderId="0" xfId="3" applyFont="1" applyAlignment="1">
      <alignment horizontal="center" vertical="center" shrinkToFit="1"/>
    </xf>
    <xf numFmtId="0" fontId="60" fillId="0" borderId="0" xfId="3" applyFont="1" applyAlignment="1">
      <alignment horizontal="right" vertical="center" wrapText="1"/>
    </xf>
    <xf numFmtId="0" fontId="50" fillId="0" borderId="0" xfId="3" applyFont="1" applyAlignment="1">
      <alignment horizontal="right" vertical="center" wrapText="1"/>
    </xf>
    <xf numFmtId="0" fontId="53" fillId="23" borderId="0" xfId="3" applyFont="1" applyFill="1" applyAlignment="1">
      <alignment horizontal="right" vertical="center" shrinkToFit="1" readingOrder="2"/>
    </xf>
    <xf numFmtId="0" fontId="53" fillId="0" borderId="0" xfId="3" applyFont="1" applyAlignment="1">
      <alignment horizontal="right" vertical="center" shrinkToFit="1" readingOrder="2"/>
    </xf>
    <xf numFmtId="0" fontId="59" fillId="0" borderId="25" xfId="3" applyFont="1" applyBorder="1" applyAlignment="1">
      <alignment horizontal="center" vertical="center" shrinkToFit="1"/>
    </xf>
    <xf numFmtId="0" fontId="60" fillId="0" borderId="25" xfId="3" applyFont="1" applyBorder="1" applyAlignment="1">
      <alignment horizontal="right" vertical="center" wrapText="1"/>
    </xf>
    <xf numFmtId="0" fontId="50" fillId="0" borderId="25" xfId="3" applyFont="1" applyBorder="1" applyAlignment="1">
      <alignment horizontal="right" vertical="center" wrapText="1"/>
    </xf>
    <xf numFmtId="0" fontId="50" fillId="0" borderId="26" xfId="3" applyFont="1" applyBorder="1" applyAlignment="1">
      <alignment horizontal="right" vertical="center" wrapText="1"/>
    </xf>
    <xf numFmtId="0" fontId="53" fillId="0" borderId="28" xfId="3" applyFont="1" applyBorder="1" applyAlignment="1">
      <alignment horizontal="right" vertical="center" shrinkToFit="1" readingOrder="2"/>
    </xf>
    <xf numFmtId="0" fontId="61" fillId="0" borderId="0" xfId="2" applyFont="1" applyAlignment="1">
      <alignment horizontal="right" vertical="center"/>
    </xf>
    <xf numFmtId="0" fontId="50" fillId="0" borderId="0" xfId="3" applyFont="1" applyAlignment="1">
      <alignment horizontal="center" vertical="center" shrinkToFit="1"/>
    </xf>
    <xf numFmtId="0" fontId="50" fillId="0" borderId="0" xfId="3" applyFont="1" applyAlignment="1">
      <alignment horizontal="right" vertical="center" shrinkToFit="1"/>
    </xf>
    <xf numFmtId="0" fontId="62" fillId="0" borderId="0" xfId="3" applyFont="1" applyAlignment="1">
      <alignment horizontal="center" vertical="center" shrinkToFit="1"/>
    </xf>
    <xf numFmtId="0" fontId="62" fillId="0" borderId="29" xfId="3" applyFont="1" applyBorder="1" applyAlignment="1">
      <alignment horizontal="center" vertical="center" shrinkToFit="1"/>
    </xf>
    <xf numFmtId="0" fontId="53" fillId="24" borderId="0" xfId="3" applyFont="1" applyFill="1" applyAlignment="1">
      <alignment horizontal="right" vertical="center" shrinkToFit="1" readingOrder="2"/>
    </xf>
    <xf numFmtId="0" fontId="64" fillId="0" borderId="0" xfId="2" applyFont="1" applyAlignment="1" applyProtection="1">
      <alignment horizontal="right" vertical="center" shrinkToFit="1" readingOrder="2"/>
      <protection locked="0"/>
    </xf>
    <xf numFmtId="0" fontId="53" fillId="0" borderId="0" xfId="3" applyFont="1" applyAlignment="1">
      <alignment horizontal="center" vertical="center" shrinkToFit="1"/>
    </xf>
    <xf numFmtId="0" fontId="65" fillId="0" borderId="0" xfId="3" applyFont="1" applyAlignment="1">
      <alignment horizontal="right" vertical="center" wrapText="1" indent="9"/>
    </xf>
    <xf numFmtId="0" fontId="53" fillId="0" borderId="28" xfId="3" applyFont="1" applyBorder="1" applyAlignment="1">
      <alignment horizontal="center" vertical="center" shrinkToFit="1"/>
    </xf>
    <xf numFmtId="0" fontId="56" fillId="26" borderId="0" xfId="3" applyFont="1" applyFill="1" applyAlignment="1">
      <alignment horizontal="center" vertical="center" shrinkToFit="1"/>
    </xf>
    <xf numFmtId="0" fontId="56" fillId="26" borderId="0" xfId="3" applyFont="1" applyFill="1" applyAlignment="1">
      <alignment horizontal="right" vertical="center" shrinkToFit="1" readingOrder="2"/>
    </xf>
    <xf numFmtId="0" fontId="50" fillId="0" borderId="0" xfId="3" applyFont="1" applyAlignment="1">
      <alignment horizontal="right" vertical="center" wrapText="1" indent="9"/>
    </xf>
    <xf numFmtId="0" fontId="71" fillId="0" borderId="0" xfId="3" applyFont="1" applyAlignment="1">
      <alignment horizontal="right" vertical="center" wrapText="1"/>
    </xf>
    <xf numFmtId="0" fontId="71" fillId="0" borderId="26" xfId="3" applyFont="1" applyBorder="1" applyAlignment="1">
      <alignment horizontal="right" vertical="center" wrapText="1"/>
    </xf>
    <xf numFmtId="0" fontId="74" fillId="21" borderId="0" xfId="5" applyFont="1" applyFill="1" applyBorder="1" applyAlignment="1">
      <alignment horizontal="right" vertical="center" shrinkToFit="1"/>
    </xf>
    <xf numFmtId="0" fontId="57" fillId="21" borderId="0" xfId="3" applyFont="1" applyFill="1" applyAlignment="1">
      <alignment horizontal="center" vertical="center" shrinkToFit="1"/>
    </xf>
    <xf numFmtId="0" fontId="50" fillId="0" borderId="0" xfId="3" applyFont="1" applyAlignment="1">
      <alignment horizontal="left" vertical="center" wrapText="1" indent="9" readingOrder="2"/>
    </xf>
    <xf numFmtId="0" fontId="50" fillId="0" borderId="30" xfId="3" applyFont="1" applyBorder="1" applyAlignment="1">
      <alignment horizontal="center" vertical="center" shrinkToFit="1"/>
    </xf>
    <xf numFmtId="0" fontId="50" fillId="0" borderId="30" xfId="3" applyFont="1" applyBorder="1" applyAlignment="1">
      <alignment horizontal="right" vertical="center" shrinkToFit="1"/>
    </xf>
    <xf numFmtId="0" fontId="53" fillId="0" borderId="30" xfId="3" applyFont="1" applyBorder="1" applyAlignment="1">
      <alignment horizontal="center" vertical="center" shrinkToFit="1"/>
    </xf>
    <xf numFmtId="0" fontId="50" fillId="0" borderId="30" xfId="3" applyFont="1" applyBorder="1" applyAlignment="1">
      <alignment horizontal="right" vertical="center" wrapText="1" indent="9"/>
    </xf>
    <xf numFmtId="0" fontId="78" fillId="0" borderId="0" xfId="5" applyFont="1" applyAlignment="1">
      <alignment horizontal="center" vertical="center" shrinkToFit="1"/>
    </xf>
    <xf numFmtId="0" fontId="50" fillId="0" borderId="32" xfId="3" applyFont="1" applyBorder="1" applyAlignment="1">
      <alignment horizontal="center" vertical="center" shrinkToFit="1"/>
    </xf>
    <xf numFmtId="0" fontId="50" fillId="0" borderId="32" xfId="3" applyFont="1" applyBorder="1" applyAlignment="1">
      <alignment horizontal="right" vertical="center" shrinkToFit="1"/>
    </xf>
    <xf numFmtId="0" fontId="53" fillId="0" borderId="32" xfId="3" applyFont="1" applyBorder="1" applyAlignment="1">
      <alignment horizontal="center" vertical="center" shrinkToFit="1"/>
    </xf>
    <xf numFmtId="0" fontId="50" fillId="0" borderId="32" xfId="3" applyFont="1" applyBorder="1" applyAlignment="1">
      <alignment horizontal="right" vertical="center" wrapText="1" indent="9"/>
    </xf>
    <xf numFmtId="0" fontId="73" fillId="0" borderId="0" xfId="5" applyAlignment="1">
      <alignment horizontal="center" vertical="center" shrinkToFit="1"/>
    </xf>
    <xf numFmtId="0" fontId="53" fillId="0" borderId="31" xfId="3" applyFont="1" applyBorder="1" applyAlignment="1">
      <alignment horizontal="center" vertical="center" shrinkToFit="1"/>
    </xf>
    <xf numFmtId="0" fontId="79" fillId="0" borderId="0" xfId="5" applyFont="1" applyAlignment="1">
      <alignment horizontal="center" vertical="center" shrinkToFit="1"/>
    </xf>
    <xf numFmtId="0" fontId="78" fillId="0" borderId="31" xfId="5" applyFont="1" applyBorder="1" applyAlignment="1">
      <alignment horizontal="center" vertical="center" shrinkToFit="1"/>
    </xf>
    <xf numFmtId="0" fontId="80" fillId="0" borderId="0" xfId="3" applyFont="1" applyAlignment="1">
      <alignment horizontal="center" vertical="center" shrinkToFit="1"/>
    </xf>
    <xf numFmtId="0" fontId="80" fillId="0" borderId="32" xfId="3" applyFont="1" applyBorder="1" applyAlignment="1">
      <alignment horizontal="center" vertical="center" shrinkToFit="1"/>
    </xf>
    <xf numFmtId="0" fontId="78" fillId="0" borderId="0" xfId="5" applyFont="1" applyFill="1" applyBorder="1" applyAlignment="1">
      <alignment horizontal="center" vertical="center" shrinkToFit="1"/>
    </xf>
    <xf numFmtId="0" fontId="65" fillId="0" borderId="0" xfId="3" applyFont="1" applyAlignment="1">
      <alignment horizontal="right" vertical="center" shrinkToFit="1"/>
    </xf>
    <xf numFmtId="0" fontId="63" fillId="19" borderId="0" xfId="3" applyFont="1" applyFill="1" applyAlignment="1">
      <alignment horizontal="right" vertical="center" shrinkToFit="1"/>
    </xf>
    <xf numFmtId="0" fontId="60" fillId="0" borderId="0" xfId="3" applyFont="1" applyAlignment="1">
      <alignment horizontal="center" vertical="center" shrinkToFit="1"/>
    </xf>
    <xf numFmtId="0" fontId="60" fillId="0" borderId="28" xfId="3" applyFont="1" applyBorder="1" applyAlignment="1">
      <alignment horizontal="center" vertical="center" shrinkToFit="1"/>
    </xf>
    <xf numFmtId="0" fontId="84" fillId="0" borderId="0" xfId="3" applyFont="1" applyAlignment="1">
      <alignment horizontal="right" vertical="center" wrapText="1"/>
    </xf>
    <xf numFmtId="0" fontId="60" fillId="0" borderId="25" xfId="3" applyFont="1" applyBorder="1" applyAlignment="1">
      <alignment horizontal="center" vertical="center" shrinkToFit="1"/>
    </xf>
    <xf numFmtId="0" fontId="84" fillId="0" borderId="33" xfId="3" applyFont="1" applyBorder="1" applyAlignment="1">
      <alignment horizontal="right" vertical="center" wrapText="1"/>
    </xf>
    <xf numFmtId="0" fontId="60" fillId="0" borderId="34" xfId="3" applyFont="1" applyBorder="1" applyAlignment="1">
      <alignment horizontal="center" vertical="center" shrinkToFit="1"/>
    </xf>
    <xf numFmtId="0" fontId="71" fillId="0" borderId="35" xfId="3" applyFont="1" applyBorder="1" applyAlignment="1">
      <alignment horizontal="right" vertical="center" wrapText="1"/>
    </xf>
    <xf numFmtId="0" fontId="84" fillId="0" borderId="37" xfId="3" applyFont="1" applyBorder="1" applyAlignment="1">
      <alignment horizontal="right" vertical="center" wrapText="1"/>
    </xf>
    <xf numFmtId="0" fontId="63" fillId="0" borderId="0" xfId="3" applyFont="1" applyAlignment="1">
      <alignment horizontal="right" vertical="center" shrinkToFit="1"/>
    </xf>
    <xf numFmtId="0" fontId="61" fillId="0" borderId="0" xfId="2" applyFont="1" applyAlignment="1">
      <alignment horizontal="right" vertical="center" shrinkToFit="1"/>
    </xf>
    <xf numFmtId="0" fontId="85" fillId="0" borderId="0" xfId="3" applyFont="1" applyAlignment="1">
      <alignment horizontal="right" vertical="center" shrinkToFit="1"/>
    </xf>
    <xf numFmtId="0" fontId="86" fillId="0" borderId="0" xfId="3" applyFont="1" applyAlignment="1">
      <alignment horizontal="right" vertical="center" wrapText="1" shrinkToFit="1"/>
    </xf>
    <xf numFmtId="0" fontId="88" fillId="0" borderId="0" xfId="2" applyFont="1" applyAlignment="1">
      <alignment horizontal="right" vertical="center" shrinkToFit="1" readingOrder="2"/>
    </xf>
    <xf numFmtId="0" fontId="88" fillId="27" borderId="0" xfId="2" applyFont="1" applyFill="1" applyAlignment="1">
      <alignment horizontal="right" vertical="center" shrinkToFit="1" readingOrder="2"/>
    </xf>
    <xf numFmtId="0" fontId="89" fillId="0" borderId="0" xfId="2" applyFont="1" applyAlignment="1">
      <alignment horizontal="center" vertical="center" shrinkToFit="1"/>
    </xf>
    <xf numFmtId="0" fontId="90" fillId="0" borderId="0" xfId="3" applyFont="1" applyAlignment="1">
      <alignment horizontal="center" vertical="center" shrinkToFit="1"/>
    </xf>
    <xf numFmtId="0" fontId="90" fillId="0" borderId="28" xfId="3" applyFont="1" applyBorder="1" applyAlignment="1">
      <alignment horizontal="center" vertical="center" shrinkToFit="1"/>
    </xf>
    <xf numFmtId="0" fontId="91" fillId="0" borderId="0" xfId="3" applyFont="1" applyAlignment="1">
      <alignment horizontal="center" vertical="center" shrinkToFit="1"/>
    </xf>
    <xf numFmtId="0" fontId="92" fillId="0" borderId="0" xfId="3" applyFont="1" applyAlignment="1">
      <alignment horizontal="center" vertical="center" wrapText="1" shrinkToFit="1"/>
    </xf>
    <xf numFmtId="0" fontId="93" fillId="0" borderId="0" xfId="3" applyFont="1" applyAlignment="1">
      <alignment horizontal="center" vertical="center" wrapText="1" shrinkToFit="1"/>
    </xf>
    <xf numFmtId="0" fontId="89" fillId="0" borderId="0" xfId="2" applyFont="1" applyAlignment="1">
      <alignment horizontal="center" vertical="center" shrinkToFit="1" readingOrder="2"/>
    </xf>
    <xf numFmtId="0" fontId="89" fillId="27" borderId="0" xfId="2" applyFont="1" applyFill="1" applyAlignment="1">
      <alignment horizontal="center" vertical="center" shrinkToFit="1" readingOrder="2"/>
    </xf>
    <xf numFmtId="0" fontId="95" fillId="0" borderId="0" xfId="3" applyFont="1" applyAlignment="1">
      <alignment horizontal="center" vertical="center" wrapText="1" shrinkToFit="1"/>
    </xf>
    <xf numFmtId="0" fontId="95" fillId="0" borderId="29" xfId="3" applyFont="1" applyBorder="1" applyAlignment="1">
      <alignment horizontal="center" vertical="center" wrapText="1" shrinkToFit="1"/>
    </xf>
    <xf numFmtId="0" fontId="95" fillId="0" borderId="0" xfId="3" applyFont="1" applyAlignment="1">
      <alignment horizontal="right" vertical="center" wrapText="1" shrinkToFit="1"/>
    </xf>
    <xf numFmtId="0" fontId="96" fillId="0" borderId="0" xfId="3" applyFont="1" applyAlignment="1">
      <alignment horizontal="right" vertical="center" wrapText="1" shrinkToFit="1"/>
    </xf>
    <xf numFmtId="0" fontId="100" fillId="0" borderId="0" xfId="2" applyFont="1" applyAlignment="1">
      <alignment horizontal="right" vertical="center"/>
    </xf>
    <xf numFmtId="9" fontId="101" fillId="0" borderId="0" xfId="6" applyFont="1" applyFill="1" applyAlignment="1">
      <alignment horizontal="right" vertical="center" shrinkToFit="1" readingOrder="2"/>
    </xf>
    <xf numFmtId="168" fontId="101" fillId="0" borderId="0" xfId="6" applyNumberFormat="1" applyFont="1" applyFill="1" applyAlignment="1">
      <alignment horizontal="right" vertical="center" shrinkToFit="1" readingOrder="2"/>
    </xf>
    <xf numFmtId="0" fontId="107" fillId="0" borderId="0" xfId="2" applyFont="1" applyAlignment="1">
      <alignment horizontal="right" vertical="center" wrapText="1" shrinkToFit="1"/>
    </xf>
    <xf numFmtId="0" fontId="107" fillId="0" borderId="0" xfId="2" applyFont="1" applyAlignment="1">
      <alignment horizontal="right" vertical="center" wrapText="1"/>
    </xf>
    <xf numFmtId="0" fontId="52" fillId="0" borderId="0" xfId="2" applyFont="1" applyAlignment="1">
      <alignment horizontal="right" vertical="center" wrapText="1" shrinkToFit="1"/>
    </xf>
    <xf numFmtId="0" fontId="48" fillId="0" borderId="0" xfId="3" applyFont="1" applyAlignment="1">
      <alignment horizontal="right" vertical="center" wrapText="1" shrinkToFit="1"/>
    </xf>
    <xf numFmtId="0" fontId="53" fillId="26" borderId="0" xfId="3" applyFont="1" applyFill="1" applyAlignment="1">
      <alignment horizontal="right" vertical="center" shrinkToFit="1" readingOrder="2"/>
    </xf>
    <xf numFmtId="0" fontId="111" fillId="0" borderId="0" xfId="2" applyFont="1" applyAlignment="1">
      <alignment horizontal="center" vertical="center" shrinkToFit="1"/>
    </xf>
    <xf numFmtId="0" fontId="111" fillId="0" borderId="0" xfId="2" applyFont="1" applyAlignment="1">
      <alignment horizontal="right" vertical="center" shrinkToFit="1"/>
    </xf>
    <xf numFmtId="0" fontId="61" fillId="0" borderId="0" xfId="2" applyFont="1" applyAlignment="1">
      <alignment horizontal="center" vertical="center" shrinkToFit="1"/>
    </xf>
    <xf numFmtId="0" fontId="71" fillId="0" borderId="0" xfId="2" applyFont="1" applyAlignment="1">
      <alignment horizontal="right" vertical="center" wrapText="1"/>
    </xf>
    <xf numFmtId="0" fontId="71" fillId="29" borderId="0" xfId="2" applyFont="1" applyFill="1" applyAlignment="1">
      <alignment horizontal="right" vertical="center" wrapText="1"/>
    </xf>
    <xf numFmtId="0" fontId="50" fillId="29" borderId="0" xfId="3" quotePrefix="1" applyFont="1" applyFill="1" applyAlignment="1">
      <alignment horizontal="right" vertical="center" wrapText="1" shrinkToFit="1"/>
    </xf>
    <xf numFmtId="0" fontId="112" fillId="0" borderId="0" xfId="3" applyFont="1" applyAlignment="1">
      <alignment horizontal="right" vertical="center" wrapText="1"/>
    </xf>
    <xf numFmtId="0" fontId="113" fillId="29" borderId="0" xfId="3" applyFont="1" applyFill="1" applyAlignment="1">
      <alignment horizontal="right" vertical="center" wrapText="1"/>
    </xf>
    <xf numFmtId="0" fontId="62" fillId="0" borderId="0" xfId="3" applyFont="1" applyAlignment="1">
      <alignment horizontal="center" vertical="center" wrapText="1" shrinkToFit="1"/>
    </xf>
    <xf numFmtId="0" fontId="81" fillId="0" borderId="0" xfId="5" applyFont="1" applyFill="1" applyAlignment="1">
      <alignment horizontal="center" vertical="center" shrinkToFit="1"/>
    </xf>
    <xf numFmtId="0" fontId="62" fillId="0" borderId="29" xfId="3" applyFont="1" applyBorder="1" applyAlignment="1">
      <alignment horizontal="center" vertical="center" wrapText="1" shrinkToFit="1"/>
    </xf>
    <xf numFmtId="0" fontId="114" fillId="31" borderId="0" xfId="3" applyFont="1" applyFill="1" applyAlignment="1">
      <alignment horizontal="right" vertical="center" shrinkToFit="1" readingOrder="2"/>
    </xf>
    <xf numFmtId="0" fontId="115" fillId="31" borderId="0" xfId="3" applyFont="1" applyFill="1" applyAlignment="1">
      <alignment horizontal="right" vertical="center" shrinkToFit="1" readingOrder="2"/>
    </xf>
    <xf numFmtId="0" fontId="119" fillId="0" borderId="0" xfId="2" applyFont="1" applyAlignment="1">
      <alignment horizontal="right" vertical="center"/>
    </xf>
    <xf numFmtId="0" fontId="81" fillId="0" borderId="0" xfId="5" applyFont="1" applyFill="1" applyBorder="1" applyAlignment="1">
      <alignment horizontal="justify" vertical="center" shrinkToFit="1" readingOrder="2"/>
    </xf>
    <xf numFmtId="0" fontId="53" fillId="0" borderId="29" xfId="3" applyFont="1" applyBorder="1" applyAlignment="1">
      <alignment horizontal="center" vertical="center" shrinkToFit="1"/>
    </xf>
    <xf numFmtId="0" fontId="80" fillId="0" borderId="0" xfId="2" applyFont="1" applyAlignment="1">
      <alignment horizontal="right" vertical="center"/>
    </xf>
    <xf numFmtId="0" fontId="54" fillId="0" borderId="0" xfId="3" applyFont="1" applyAlignment="1">
      <alignment horizontal="right" vertical="center" shrinkToFit="1" readingOrder="2"/>
    </xf>
    <xf numFmtId="0" fontId="121" fillId="0" borderId="0" xfId="2" applyFont="1" applyAlignment="1">
      <alignment horizontal="right" vertical="center"/>
    </xf>
    <xf numFmtId="0" fontId="48" fillId="0" borderId="0" xfId="2" applyFont="1" applyAlignment="1">
      <alignment horizontal="center" vertical="center" shrinkToFit="1"/>
    </xf>
    <xf numFmtId="0" fontId="52" fillId="0" borderId="0" xfId="2" applyFont="1" applyAlignment="1">
      <alignment horizontal="center" vertical="center" shrinkToFit="1"/>
    </xf>
    <xf numFmtId="0" fontId="124" fillId="0" borderId="0" xfId="2" applyFont="1" applyAlignment="1">
      <alignment horizontal="right" vertical="center"/>
    </xf>
    <xf numFmtId="0" fontId="125" fillId="0" borderId="0" xfId="5" applyFont="1" applyAlignment="1">
      <alignment horizontal="center" vertical="center" shrinkToFit="1"/>
    </xf>
    <xf numFmtId="0" fontId="51" fillId="0" borderId="0" xfId="3" applyFont="1" applyAlignment="1">
      <alignment horizontal="right" vertical="center" shrinkToFit="1"/>
    </xf>
    <xf numFmtId="0" fontId="66" fillId="0" borderId="0" xfId="4" applyAlignment="1">
      <alignment horizontal="right" vertical="center" wrapText="1" indent="6" shrinkToFit="1" readingOrder="2"/>
    </xf>
    <xf numFmtId="0" fontId="0" fillId="0" borderId="0" xfId="0" applyAlignment="1">
      <alignment horizontal="right" vertical="center" shrinkToFit="1"/>
    </xf>
    <xf numFmtId="14" fontId="0" fillId="0" borderId="0" xfId="0" applyNumberFormat="1" applyAlignment="1">
      <alignment horizontal="right" vertical="center" shrinkToFit="1"/>
    </xf>
    <xf numFmtId="0" fontId="66" fillId="0" borderId="0" xfId="7" applyAlignment="1">
      <alignment horizontal="right" vertical="center" shrinkToFit="1"/>
    </xf>
    <xf numFmtId="0" fontId="66" fillId="0" borderId="0" xfId="7" applyAlignment="1">
      <alignment horizontal="center" vertical="center" shrinkToFit="1"/>
    </xf>
    <xf numFmtId="0" fontId="120" fillId="0" borderId="0" xfId="7" applyFont="1" applyAlignment="1">
      <alignment horizontal="center" vertical="top" textRotation="90" shrinkToFit="1"/>
    </xf>
    <xf numFmtId="0" fontId="125" fillId="0" borderId="0" xfId="7" applyFont="1" applyAlignment="1">
      <alignment horizontal="right" vertical="center" shrinkToFit="1"/>
    </xf>
    <xf numFmtId="0" fontId="58" fillId="0" borderId="0" xfId="7" applyFont="1" applyAlignment="1">
      <alignment horizontal="center" vertical="center" shrinkToFit="1"/>
    </xf>
    <xf numFmtId="0" fontId="58" fillId="0" borderId="0" xfId="7" applyFont="1" applyAlignment="1">
      <alignment horizontal="right" vertical="center" shrinkToFit="1"/>
    </xf>
    <xf numFmtId="0" fontId="108" fillId="0" borderId="0" xfId="7" applyFont="1" applyAlignment="1">
      <alignment horizontal="center" vertical="center" shrinkToFit="1"/>
    </xf>
    <xf numFmtId="0" fontId="123" fillId="0" borderId="0" xfId="7" applyFont="1" applyAlignment="1">
      <alignment horizontal="center" vertical="center" shrinkToFit="1"/>
    </xf>
    <xf numFmtId="169" fontId="50" fillId="0" borderId="0" xfId="7" quotePrefix="1" applyNumberFormat="1" applyFont="1" applyAlignment="1">
      <alignment horizontal="center" vertical="center" shrinkToFit="1" readingOrder="2"/>
    </xf>
    <xf numFmtId="0" fontId="66" fillId="0" borderId="0" xfId="7" applyAlignment="1">
      <alignment horizontal="center" vertical="center" shrinkToFit="1" readingOrder="2"/>
    </xf>
    <xf numFmtId="0" fontId="66" fillId="0" borderId="0" xfId="7" applyAlignment="1">
      <alignment horizontal="right" vertical="center" wrapText="1"/>
    </xf>
    <xf numFmtId="0" fontId="72" fillId="21" borderId="0" xfId="7" applyFont="1" applyFill="1" applyAlignment="1">
      <alignment horizontal="center" vertical="center" shrinkToFit="1"/>
    </xf>
    <xf numFmtId="0" fontId="72" fillId="21" borderId="0" xfId="7" applyFont="1" applyFill="1" applyAlignment="1">
      <alignment horizontal="right" vertical="center" shrinkToFit="1" readingOrder="2"/>
    </xf>
    <xf numFmtId="0" fontId="69" fillId="26" borderId="0" xfId="7" applyFont="1" applyFill="1" applyAlignment="1">
      <alignment horizontal="right" vertical="center" shrinkToFit="1"/>
    </xf>
    <xf numFmtId="0" fontId="68" fillId="26" borderId="0" xfId="7" applyFont="1" applyFill="1" applyAlignment="1">
      <alignment horizontal="center" vertical="center" shrinkToFit="1"/>
    </xf>
    <xf numFmtId="0" fontId="68" fillId="26" borderId="0" xfId="7" applyFont="1" applyFill="1" applyAlignment="1">
      <alignment horizontal="right" vertical="center" shrinkToFit="1" readingOrder="2"/>
    </xf>
    <xf numFmtId="9" fontId="68" fillId="26" borderId="0" xfId="7" applyNumberFormat="1" applyFont="1" applyFill="1" applyAlignment="1">
      <alignment horizontal="center" vertical="center" shrinkToFit="1"/>
    </xf>
    <xf numFmtId="0" fontId="58" fillId="0" borderId="0" xfId="7" applyFont="1" applyAlignment="1">
      <alignment horizontal="right" vertical="center" shrinkToFit="1" readingOrder="2"/>
    </xf>
    <xf numFmtId="0" fontId="102" fillId="0" borderId="0" xfId="7" applyFont="1" applyAlignment="1">
      <alignment horizontal="right" vertical="center" indent="6" shrinkToFit="1" readingOrder="2"/>
    </xf>
    <xf numFmtId="0" fontId="67" fillId="0" borderId="0" xfId="7" applyFont="1" applyAlignment="1">
      <alignment horizontal="center" vertical="center" shrinkToFit="1" readingOrder="2"/>
    </xf>
    <xf numFmtId="0" fontId="101" fillId="0" borderId="0" xfId="7" applyFont="1" applyAlignment="1">
      <alignment horizontal="right" vertical="center" wrapText="1" indent="6" shrinkToFit="1" readingOrder="2"/>
    </xf>
    <xf numFmtId="0" fontId="59" fillId="0" borderId="0" xfId="7" applyFont="1" applyAlignment="1">
      <alignment horizontal="center" vertical="center" wrapText="1" shrinkToFit="1"/>
    </xf>
    <xf numFmtId="0" fontId="66" fillId="29" borderId="0" xfId="7" applyFill="1" applyAlignment="1">
      <alignment horizontal="right" vertical="center" wrapText="1"/>
    </xf>
    <xf numFmtId="0" fontId="58" fillId="29" borderId="0" xfId="7" applyFont="1" applyFill="1" applyAlignment="1">
      <alignment horizontal="right" vertical="center" shrinkToFit="1"/>
    </xf>
    <xf numFmtId="0" fontId="66" fillId="0" borderId="0" xfId="7" applyAlignment="1">
      <alignment vertical="center" shrinkToFit="1" readingOrder="2"/>
    </xf>
    <xf numFmtId="0" fontId="58" fillId="0" borderId="0" xfId="7" applyFont="1" applyAlignment="1">
      <alignment vertical="center" shrinkToFit="1" readingOrder="2"/>
    </xf>
    <xf numFmtId="0" fontId="66" fillId="0" borderId="0" xfId="7" applyAlignment="1">
      <alignment horizontal="center" shrinkToFit="1" readingOrder="2"/>
    </xf>
    <xf numFmtId="0" fontId="102" fillId="0" borderId="0" xfId="7" applyFont="1" applyAlignment="1">
      <alignment horizontal="right" vertical="center" shrinkToFit="1" readingOrder="2"/>
    </xf>
    <xf numFmtId="0" fontId="102" fillId="0" borderId="0" xfId="7" applyFont="1" applyAlignment="1">
      <alignment horizontal="center" vertical="center" shrinkToFit="1" readingOrder="2"/>
    </xf>
    <xf numFmtId="0" fontId="59" fillId="0" borderId="0" xfId="7" applyFont="1" applyAlignment="1">
      <alignment horizontal="center" vertical="center" shrinkToFit="1"/>
    </xf>
    <xf numFmtId="0" fontId="101" fillId="0" borderId="0" xfId="7" applyFont="1" applyAlignment="1">
      <alignment horizontal="right" vertical="center" shrinkToFit="1" readingOrder="2"/>
    </xf>
    <xf numFmtId="0" fontId="67" fillId="25" borderId="0" xfId="7" applyFont="1" applyFill="1" applyAlignment="1">
      <alignment horizontal="center" vertical="center" shrinkToFit="1" readingOrder="2"/>
    </xf>
    <xf numFmtId="0" fontId="66" fillId="0" borderId="0" xfId="7" applyAlignment="1">
      <alignment horizontal="right" vertical="center" wrapText="1" shrinkToFit="1"/>
    </xf>
    <xf numFmtId="0" fontId="101" fillId="0" borderId="0" xfId="7" applyFont="1" applyAlignment="1">
      <alignment horizontal="center" vertical="center" shrinkToFit="1" readingOrder="2"/>
    </xf>
    <xf numFmtId="0" fontId="108" fillId="0" borderId="0" xfId="7" applyFont="1" applyAlignment="1">
      <alignment horizontal="right" vertical="center" wrapText="1"/>
    </xf>
    <xf numFmtId="167" fontId="101" fillId="0" borderId="0" xfId="7" applyNumberFormat="1" applyFont="1" applyAlignment="1">
      <alignment horizontal="right" vertical="center" shrinkToFit="1" readingOrder="2"/>
    </xf>
    <xf numFmtId="164" fontId="101" fillId="0" borderId="0" xfId="7" applyNumberFormat="1" applyFont="1" applyAlignment="1">
      <alignment horizontal="right" vertical="center" shrinkToFit="1" readingOrder="2"/>
    </xf>
    <xf numFmtId="0" fontId="87" fillId="0" borderId="0" xfId="7" applyFont="1" applyAlignment="1">
      <alignment horizontal="right" vertical="center" wrapText="1" shrinkToFit="1"/>
    </xf>
    <xf numFmtId="165" fontId="76" fillId="0" borderId="0" xfId="7" applyNumberFormat="1" applyFont="1" applyAlignment="1">
      <alignment horizontal="right" vertical="center" indent="3" shrinkToFit="1"/>
    </xf>
    <xf numFmtId="165" fontId="58" fillId="21" borderId="0" xfId="7" applyNumberFormat="1" applyFont="1" applyFill="1" applyAlignment="1">
      <alignment horizontal="center" vertical="center" shrinkToFit="1"/>
    </xf>
    <xf numFmtId="0" fontId="58" fillId="21" borderId="32" xfId="7" applyFont="1" applyFill="1" applyBorder="1" applyAlignment="1">
      <alignment horizontal="center" vertical="center" shrinkToFit="1"/>
    </xf>
    <xf numFmtId="165" fontId="58" fillId="21" borderId="32" xfId="7" applyNumberFormat="1" applyFont="1" applyFill="1" applyBorder="1" applyAlignment="1">
      <alignment horizontal="right" vertical="center" shrinkToFit="1"/>
    </xf>
    <xf numFmtId="0" fontId="58" fillId="21" borderId="32" xfId="7" applyFont="1" applyFill="1" applyBorder="1" applyAlignment="1">
      <alignment horizontal="right" vertical="center" shrinkToFit="1"/>
    </xf>
    <xf numFmtId="165" fontId="76" fillId="21" borderId="32" xfId="7" applyNumberFormat="1" applyFont="1" applyFill="1" applyBorder="1" applyAlignment="1">
      <alignment horizontal="right" vertical="center" shrinkToFit="1"/>
    </xf>
    <xf numFmtId="0" fontId="58" fillId="21" borderId="0" xfId="7" applyFont="1" applyFill="1" applyAlignment="1">
      <alignment horizontal="center" vertical="center" shrinkToFit="1"/>
    </xf>
    <xf numFmtId="165" fontId="58" fillId="21" borderId="32" xfId="7" applyNumberFormat="1" applyFont="1" applyFill="1" applyBorder="1" applyAlignment="1">
      <alignment horizontal="center" vertical="center" shrinkToFit="1"/>
    </xf>
    <xf numFmtId="166" fontId="76" fillId="0" borderId="31" xfId="7" quotePrefix="1" applyNumberFormat="1" applyFont="1" applyBorder="1" applyAlignment="1">
      <alignment horizontal="right" vertical="center" shrinkToFit="1"/>
    </xf>
    <xf numFmtId="0" fontId="12" fillId="0" borderId="0" xfId="0" applyFont="1" applyAlignment="1">
      <alignment horizontal="right" vertical="center" shrinkToFit="1"/>
    </xf>
    <xf numFmtId="0" fontId="1" fillId="3" borderId="0" xfId="0" applyFont="1" applyFill="1" applyAlignment="1">
      <alignment horizontal="center" vertical="center" wrapText="1" shrinkToFit="1"/>
    </xf>
    <xf numFmtId="0" fontId="127" fillId="22" borderId="0" xfId="0" applyFont="1" applyFill="1" applyAlignment="1">
      <alignment horizontal="center" vertical="center" wrapText="1"/>
    </xf>
    <xf numFmtId="0" fontId="128" fillId="22" borderId="0" xfId="0" applyFont="1" applyFill="1" applyAlignment="1">
      <alignment horizontal="center" vertical="center" wrapText="1"/>
    </xf>
    <xf numFmtId="0" fontId="129" fillId="22" borderId="0" xfId="0" applyFont="1" applyFill="1" applyAlignment="1">
      <alignment horizontal="center" vertical="center" wrapText="1" shrinkToFit="1"/>
    </xf>
    <xf numFmtId="0" fontId="45" fillId="22" borderId="39" xfId="0" applyFont="1" applyFill="1" applyBorder="1" applyAlignment="1">
      <alignment horizontal="center" vertical="center" wrapText="1"/>
    </xf>
    <xf numFmtId="0" fontId="130" fillId="0" borderId="0" xfId="0" applyFont="1" applyAlignment="1">
      <alignment horizontal="center" vertical="center" wrapText="1"/>
    </xf>
    <xf numFmtId="0" fontId="9" fillId="0" borderId="0" xfId="0" applyFont="1" applyAlignment="1">
      <alignment horizontal="right" vertical="center" shrinkToFit="1" readingOrder="2"/>
    </xf>
    <xf numFmtId="0" fontId="46" fillId="0" borderId="0" xfId="0" applyFont="1" applyAlignment="1">
      <alignment horizontal="right" vertical="center" shrinkToFit="1" readingOrder="2"/>
    </xf>
    <xf numFmtId="0" fontId="9" fillId="0" borderId="0" xfId="0" applyFont="1" applyAlignment="1">
      <alignment horizontal="center" vertical="center"/>
    </xf>
    <xf numFmtId="0" fontId="9" fillId="0" borderId="0" xfId="0" applyFont="1" applyAlignment="1">
      <alignment horizontal="center"/>
    </xf>
    <xf numFmtId="0" fontId="46" fillId="0" borderId="0" xfId="0" applyFont="1" applyAlignment="1">
      <alignment horizontal="center" vertical="center"/>
    </xf>
    <xf numFmtId="0" fontId="131" fillId="0" borderId="0" xfId="0" applyFont="1" applyAlignment="1">
      <alignment horizontal="right" vertical="center" shrinkToFit="1" readingOrder="2"/>
    </xf>
    <xf numFmtId="10" fontId="0" fillId="0" borderId="0" xfId="0" applyNumberFormat="1" applyAlignment="1">
      <alignment horizontal="center" vertical="center" shrinkToFit="1"/>
    </xf>
    <xf numFmtId="9" fontId="0" fillId="0" borderId="0" xfId="0" applyNumberFormat="1" applyAlignment="1">
      <alignment horizontal="center" vertical="center" shrinkToFit="1"/>
    </xf>
    <xf numFmtId="0" fontId="14" fillId="0" borderId="0" xfId="0" applyFont="1" applyAlignment="1">
      <alignment horizontal="center" vertical="center" shrinkToFit="1"/>
    </xf>
    <xf numFmtId="0" fontId="0" fillId="0" borderId="0" xfId="0" applyAlignment="1">
      <alignment vertical="center" wrapText="1"/>
    </xf>
    <xf numFmtId="0" fontId="132" fillId="22" borderId="0" xfId="0" applyFont="1" applyFill="1" applyAlignment="1">
      <alignment horizontal="center" vertical="center" wrapText="1" shrinkToFit="1"/>
    </xf>
    <xf numFmtId="0" fontId="39" fillId="32" borderId="0" xfId="0" applyFont="1" applyFill="1" applyAlignment="1">
      <alignment horizontal="right" vertical="center" shrinkToFit="1"/>
    </xf>
    <xf numFmtId="0" fontId="133" fillId="6" borderId="0" xfId="0" applyFont="1" applyFill="1" applyAlignment="1">
      <alignment horizontal="right" vertical="center" shrinkToFit="1"/>
    </xf>
    <xf numFmtId="0" fontId="12" fillId="5" borderId="0" xfId="0" applyFont="1" applyFill="1" applyAlignment="1">
      <alignment horizontal="right" vertical="center" shrinkToFit="1"/>
    </xf>
    <xf numFmtId="0" fontId="12" fillId="4" borderId="0" xfId="0" applyFont="1" applyFill="1" applyAlignment="1">
      <alignment horizontal="right" vertical="center" shrinkToFit="1"/>
    </xf>
    <xf numFmtId="0" fontId="12" fillId="20" borderId="0" xfId="0" applyFont="1" applyFill="1" applyAlignment="1">
      <alignment horizontal="right" vertical="center" shrinkToFit="1"/>
    </xf>
    <xf numFmtId="0" fontId="12" fillId="3" borderId="0" xfId="0" applyFont="1" applyFill="1" applyAlignment="1">
      <alignment horizontal="right" vertical="center" shrinkToFit="1"/>
    </xf>
    <xf numFmtId="0" fontId="12" fillId="2" borderId="0" xfId="0" applyFont="1" applyFill="1" applyAlignment="1">
      <alignment horizontal="right" vertical="center" shrinkToFit="1"/>
    </xf>
    <xf numFmtId="0" fontId="12" fillId="33" borderId="0" xfId="0" applyFont="1" applyFill="1" applyAlignment="1">
      <alignment horizontal="right" vertical="center" shrinkToFit="1"/>
    </xf>
    <xf numFmtId="0" fontId="12" fillId="34" borderId="0" xfId="0" applyFont="1" applyFill="1" applyAlignment="1">
      <alignment horizontal="right" vertical="center" shrinkToFit="1"/>
    </xf>
    <xf numFmtId="0" fontId="12" fillId="35" borderId="0" xfId="0" applyFont="1" applyFill="1" applyAlignment="1">
      <alignment horizontal="right" vertical="center" shrinkToFit="1"/>
    </xf>
    <xf numFmtId="0" fontId="12" fillId="36" borderId="0" xfId="0" applyFont="1" applyFill="1" applyAlignment="1">
      <alignment horizontal="right" vertical="center" shrinkToFit="1"/>
    </xf>
    <xf numFmtId="164" fontId="31" fillId="4" borderId="7" xfId="0" applyNumberFormat="1" applyFont="1" applyFill="1" applyBorder="1" applyAlignment="1">
      <alignment horizontal="center" vertical="center" wrapText="1" shrinkToFit="1"/>
    </xf>
    <xf numFmtId="0" fontId="50" fillId="0" borderId="0" xfId="3" applyFont="1" applyAlignment="1">
      <alignment horizontal="right" vertical="center" wrapText="1"/>
    </xf>
    <xf numFmtId="0" fontId="66" fillId="0" borderId="0" xfId="7" applyAlignment="1">
      <alignment horizontal="right" vertical="center"/>
    </xf>
    <xf numFmtId="0" fontId="48" fillId="0" borderId="0" xfId="3" applyFont="1" applyAlignment="1">
      <alignment horizontal="right" vertical="center" shrinkToFit="1"/>
    </xf>
    <xf numFmtId="0" fontId="66" fillId="0" borderId="0" xfId="7" applyAlignment="1">
      <alignment horizontal="right" vertical="center" shrinkToFit="1"/>
    </xf>
    <xf numFmtId="15" fontId="103" fillId="0" borderId="0" xfId="7" applyNumberFormat="1" applyFont="1" applyAlignment="1" applyProtection="1">
      <alignment horizontal="right" vertical="center" shrinkToFit="1"/>
      <protection locked="0"/>
    </xf>
    <xf numFmtId="0" fontId="60" fillId="0" borderId="0" xfId="7" applyFont="1" applyAlignment="1">
      <alignment horizontal="right" vertical="center" shrinkToFit="1"/>
    </xf>
    <xf numFmtId="0" fontId="95" fillId="0" borderId="0" xfId="3" applyFont="1" applyAlignment="1">
      <alignment horizontal="right" vertical="center" wrapText="1" shrinkToFit="1"/>
    </xf>
    <xf numFmtId="0" fontId="94" fillId="0" borderId="0" xfId="7" applyFont="1" applyAlignment="1">
      <alignment horizontal="right" vertical="center" wrapText="1" shrinkToFit="1"/>
    </xf>
    <xf numFmtId="0" fontId="99" fillId="0" borderId="0" xfId="3" applyFont="1" applyAlignment="1">
      <alignment horizontal="right" vertical="center" wrapText="1" shrinkToFit="1"/>
    </xf>
    <xf numFmtId="0" fontId="98" fillId="0" borderId="0" xfId="7" applyFont="1" applyAlignment="1">
      <alignment horizontal="right" vertical="center" wrapText="1" shrinkToFit="1"/>
    </xf>
    <xf numFmtId="0" fontId="53" fillId="0" borderId="0" xfId="3" applyFont="1" applyAlignment="1">
      <alignment horizontal="right" vertical="center" wrapText="1" shrinkToFit="1"/>
    </xf>
    <xf numFmtId="0" fontId="59" fillId="0" borderId="0" xfId="7" applyFont="1" applyAlignment="1">
      <alignment horizontal="right" vertical="center" wrapText="1" shrinkToFit="1"/>
    </xf>
    <xf numFmtId="0" fontId="96" fillId="0" borderId="0" xfId="3" applyFont="1" applyAlignment="1">
      <alignment horizontal="right" vertical="center" wrapText="1" shrinkToFit="1"/>
    </xf>
    <xf numFmtId="0" fontId="97" fillId="0" borderId="0" xfId="7" applyFont="1" applyAlignment="1">
      <alignment horizontal="right" vertical="center" wrapText="1" shrinkToFit="1"/>
    </xf>
    <xf numFmtId="0" fontId="80" fillId="23" borderId="0" xfId="3" applyFont="1" applyFill="1" applyAlignment="1">
      <alignment horizontal="right" vertical="center" wrapText="1"/>
    </xf>
    <xf numFmtId="0" fontId="66" fillId="0" borderId="0" xfId="7" applyAlignment="1">
      <alignment horizontal="right" vertical="center" wrapText="1"/>
    </xf>
    <xf numFmtId="0" fontId="117" fillId="31" borderId="0" xfId="7" applyFont="1" applyFill="1" applyAlignment="1">
      <alignment horizontal="right" vertical="center" indent="1" shrinkToFit="1" readingOrder="2"/>
    </xf>
    <xf numFmtId="0" fontId="116" fillId="31" borderId="0" xfId="7" applyFont="1" applyFill="1" applyAlignment="1">
      <alignment horizontal="right" vertical="center" indent="1" shrinkToFit="1" readingOrder="2"/>
    </xf>
    <xf numFmtId="0" fontId="54" fillId="0" borderId="0" xfId="3" applyFont="1" applyAlignment="1">
      <alignment horizontal="right" vertical="center" shrinkToFit="1" readingOrder="2"/>
    </xf>
    <xf numFmtId="0" fontId="66" fillId="0" borderId="0" xfId="7" applyAlignment="1">
      <alignment horizontal="right" vertical="center" shrinkToFit="1" readingOrder="2"/>
    </xf>
    <xf numFmtId="0" fontId="53" fillId="0" borderId="0" xfId="3" applyFont="1" applyAlignment="1">
      <alignment horizontal="center" vertical="center" wrapText="1" shrinkToFit="1" readingOrder="2"/>
    </xf>
    <xf numFmtId="0" fontId="66" fillId="0" borderId="0" xfId="7" applyAlignment="1">
      <alignment horizontal="center" vertical="center" wrapText="1" shrinkToFit="1" readingOrder="2"/>
    </xf>
    <xf numFmtId="0" fontId="122" fillId="0" borderId="0" xfId="2" applyFont="1" applyAlignment="1">
      <alignment horizontal="right" vertical="center" shrinkToFit="1"/>
    </xf>
    <xf numFmtId="0" fontId="120" fillId="0" borderId="0" xfId="7" applyFont="1" applyAlignment="1">
      <alignment horizontal="center" vertical="top" textRotation="90" shrinkToFit="1"/>
    </xf>
    <xf numFmtId="0" fontId="66" fillId="0" borderId="0" xfId="7" applyAlignment="1">
      <alignment horizontal="center" vertical="top" textRotation="90" shrinkToFit="1"/>
    </xf>
    <xf numFmtId="0" fontId="126" fillId="0" borderId="0" xfId="7" applyFont="1" applyAlignment="1">
      <alignment horizontal="center" vertical="center" wrapText="1" shrinkToFit="1"/>
    </xf>
    <xf numFmtId="0" fontId="66" fillId="0" borderId="0" xfId="7" applyAlignment="1">
      <alignment horizontal="center" vertical="center" wrapText="1" shrinkToFit="1"/>
    </xf>
    <xf numFmtId="0" fontId="55" fillId="0" borderId="0" xfId="7" applyFont="1" applyAlignment="1">
      <alignment horizontal="right" vertical="center" textRotation="90" shrinkToFit="1"/>
    </xf>
    <xf numFmtId="0" fontId="66" fillId="0" borderId="0" xfId="7" applyAlignment="1">
      <alignment horizontal="right" vertical="center" textRotation="90" shrinkToFit="1"/>
    </xf>
    <xf numFmtId="0" fontId="102" fillId="0" borderId="0" xfId="7" applyFont="1" applyAlignment="1">
      <alignment horizontal="right" vertical="center" indent="6" shrinkToFit="1" readingOrder="2"/>
    </xf>
    <xf numFmtId="0" fontId="75" fillId="21" borderId="0" xfId="7" applyFont="1" applyFill="1" applyAlignment="1">
      <alignment horizontal="right" vertical="center" indent="3" shrinkToFit="1" readingOrder="2"/>
    </xf>
    <xf numFmtId="0" fontId="70" fillId="26" borderId="0" xfId="7" applyFont="1" applyFill="1" applyAlignment="1">
      <alignment horizontal="right" vertical="center" indent="6" shrinkToFit="1" readingOrder="2"/>
    </xf>
    <xf numFmtId="0" fontId="63" fillId="19" borderId="0" xfId="3" applyFont="1" applyFill="1" applyAlignment="1">
      <alignment horizontal="right" vertical="center" wrapText="1" indent="9"/>
    </xf>
    <xf numFmtId="0" fontId="102" fillId="0" borderId="0" xfId="7" quotePrefix="1" applyFont="1" applyAlignment="1">
      <alignment horizontal="right" vertical="center" indent="6" shrinkToFit="1" readingOrder="2"/>
    </xf>
    <xf numFmtId="0" fontId="101" fillId="0" borderId="0" xfId="7" applyFont="1" applyAlignment="1">
      <alignment horizontal="right" vertical="center" wrapText="1" indent="6" shrinkToFit="1" readingOrder="2"/>
    </xf>
    <xf numFmtId="0" fontId="101" fillId="0" borderId="0" xfId="7" quotePrefix="1" applyFont="1" applyAlignment="1">
      <alignment horizontal="right" vertical="center" wrapText="1" indent="6" shrinkToFit="1" readingOrder="2"/>
    </xf>
    <xf numFmtId="0" fontId="50" fillId="0" borderId="0" xfId="3" applyFont="1" applyAlignment="1">
      <alignment horizontal="center" vertical="center" shrinkToFit="1"/>
    </xf>
    <xf numFmtId="0" fontId="66" fillId="0" borderId="0" xfId="7" applyAlignment="1">
      <alignment horizontal="center" vertical="center" shrinkToFit="1"/>
    </xf>
    <xf numFmtId="0" fontId="110" fillId="0" borderId="0" xfId="7" applyFont="1" applyAlignment="1">
      <alignment horizontal="right" vertical="center" wrapText="1" indent="6" shrinkToFit="1" readingOrder="2"/>
    </xf>
    <xf numFmtId="0" fontId="109" fillId="0" borderId="0" xfId="7" applyFont="1" applyAlignment="1">
      <alignment horizontal="right" vertical="center" wrapText="1" indent="6" shrinkToFit="1" readingOrder="2"/>
    </xf>
    <xf numFmtId="0" fontId="110" fillId="0" borderId="0" xfId="7" applyFont="1" applyAlignment="1">
      <alignment horizontal="left" vertical="center" wrapText="1" indent="6" shrinkToFit="1" readingOrder="1"/>
    </xf>
    <xf numFmtId="0" fontId="109" fillId="0" borderId="0" xfId="7" applyFont="1" applyAlignment="1">
      <alignment horizontal="left" vertical="center" wrapText="1" indent="6" shrinkToFit="1" readingOrder="1"/>
    </xf>
    <xf numFmtId="169" fontId="50" fillId="29" borderId="0" xfId="3" quotePrefix="1" applyNumberFormat="1" applyFont="1" applyFill="1" applyAlignment="1">
      <alignment horizontal="right" vertical="center" wrapText="1" shrinkToFit="1"/>
    </xf>
    <xf numFmtId="0" fontId="101" fillId="30" borderId="0" xfId="7" applyFont="1" applyFill="1" applyAlignment="1">
      <alignment horizontal="right" vertical="center" wrapText="1" shrinkToFit="1" readingOrder="2"/>
    </xf>
    <xf numFmtId="0" fontId="66" fillId="0" borderId="0" xfId="7" applyAlignment="1">
      <alignment vertical="center" shrinkToFit="1" readingOrder="2"/>
    </xf>
    <xf numFmtId="0" fontId="101" fillId="30" borderId="0" xfId="7" applyFont="1" applyFill="1" applyAlignment="1">
      <alignment horizontal="center" wrapText="1" shrinkToFit="1" readingOrder="2"/>
    </xf>
    <xf numFmtId="0" fontId="66" fillId="0" borderId="0" xfId="7" applyAlignment="1">
      <alignment horizontal="center" shrinkToFit="1" readingOrder="2"/>
    </xf>
    <xf numFmtId="0" fontId="101" fillId="0" borderId="0" xfId="7" applyFont="1" applyAlignment="1">
      <alignment horizontal="right" vertical="center" shrinkToFit="1" readingOrder="2"/>
    </xf>
    <xf numFmtId="0" fontId="52" fillId="0" borderId="0" xfId="2" applyFont="1" applyAlignment="1">
      <alignment horizontal="right" vertical="center" wrapText="1"/>
    </xf>
    <xf numFmtId="0" fontId="52" fillId="0" borderId="0" xfId="2" applyFont="1" applyAlignment="1">
      <alignment horizontal="right" vertical="center" wrapText="1" shrinkToFit="1"/>
    </xf>
    <xf numFmtId="0" fontId="66" fillId="0" borderId="0" xfId="7" applyAlignment="1">
      <alignment horizontal="right" vertical="center" wrapText="1" shrinkToFit="1"/>
    </xf>
    <xf numFmtId="0" fontId="66" fillId="0" borderId="0" xfId="7" applyAlignment="1">
      <alignment horizontal="right" vertical="center" wrapText="1" indent="6" shrinkToFit="1" readingOrder="2"/>
    </xf>
    <xf numFmtId="0" fontId="101" fillId="0" borderId="0" xfId="7" applyFont="1" applyAlignment="1">
      <alignment horizontal="right" vertical="center" wrapText="1" shrinkToFit="1" readingOrder="2"/>
    </xf>
    <xf numFmtId="0" fontId="106" fillId="0" borderId="0" xfId="7" applyFont="1" applyAlignment="1">
      <alignment horizontal="right" vertical="center" wrapText="1" indent="6" shrinkToFit="1" readingOrder="2"/>
    </xf>
    <xf numFmtId="0" fontId="101" fillId="28" borderId="0" xfId="7" applyFont="1" applyFill="1" applyAlignment="1">
      <alignment horizontal="right" vertical="center" wrapText="1" indent="6" shrinkToFit="1" readingOrder="2"/>
    </xf>
    <xf numFmtId="0" fontId="101" fillId="0" borderId="0" xfId="7" quotePrefix="1" applyFont="1" applyAlignment="1">
      <alignment horizontal="right" vertical="center" indent="6" shrinkToFit="1" readingOrder="2"/>
    </xf>
    <xf numFmtId="0" fontId="66" fillId="0" borderId="0" xfId="7" applyAlignment="1">
      <alignment horizontal="right" vertical="center" indent="6" shrinkToFit="1" readingOrder="2"/>
    </xf>
    <xf numFmtId="164" fontId="101" fillId="0" borderId="0" xfId="7" applyNumberFormat="1" applyFont="1" applyAlignment="1">
      <alignment horizontal="right" vertical="center" shrinkToFit="1" readingOrder="2"/>
    </xf>
    <xf numFmtId="164" fontId="66" fillId="0" borderId="0" xfId="7" applyNumberFormat="1" applyAlignment="1">
      <alignment horizontal="right" vertical="center" shrinkToFit="1" readingOrder="2"/>
    </xf>
    <xf numFmtId="0" fontId="101" fillId="0" borderId="0" xfId="7" applyFont="1" applyAlignment="1">
      <alignment horizontal="right" vertical="center" indent="6" shrinkToFit="1" readingOrder="2"/>
    </xf>
    <xf numFmtId="0" fontId="105" fillId="0" borderId="0" xfId="7" applyFont="1" applyAlignment="1">
      <alignment horizontal="right" vertical="center" wrapText="1" indent="6" shrinkToFit="1" readingOrder="2"/>
    </xf>
    <xf numFmtId="0" fontId="103" fillId="0" borderId="0" xfId="7" applyFont="1" applyAlignment="1">
      <alignment horizontal="right" vertical="center" wrapText="1" indent="6" shrinkToFit="1" readingOrder="2"/>
    </xf>
    <xf numFmtId="0" fontId="89" fillId="0" borderId="0" xfId="2" applyFont="1" applyAlignment="1">
      <alignment horizontal="center" vertical="center" shrinkToFit="1" readingOrder="2"/>
    </xf>
    <xf numFmtId="0" fontId="94" fillId="0" borderId="0" xfId="7" applyFont="1" applyAlignment="1">
      <alignment horizontal="center" vertical="center" shrinkToFit="1"/>
    </xf>
    <xf numFmtId="0" fontId="93" fillId="0" borderId="0" xfId="3" applyFont="1" applyAlignment="1">
      <alignment horizontal="center" vertical="center" wrapText="1" shrinkToFit="1"/>
    </xf>
    <xf numFmtId="0" fontId="93" fillId="0" borderId="0" xfId="7" applyFont="1" applyAlignment="1">
      <alignment horizontal="center" vertical="center" wrapText="1" shrinkToFit="1"/>
    </xf>
    <xf numFmtId="0" fontId="88" fillId="0" borderId="0" xfId="2" applyFont="1" applyAlignment="1">
      <alignment horizontal="right" vertical="center" shrinkToFit="1" readingOrder="2"/>
    </xf>
    <xf numFmtId="0" fontId="63" fillId="0" borderId="0" xfId="3" applyFont="1" applyAlignment="1">
      <alignment horizontal="right" vertical="center" shrinkToFit="1"/>
    </xf>
    <xf numFmtId="0" fontId="83" fillId="0" borderId="0" xfId="7" applyFont="1" applyAlignment="1">
      <alignment horizontal="right" vertical="center" shrinkToFit="1"/>
    </xf>
    <xf numFmtId="0" fontId="71" fillId="0" borderId="35" xfId="3" applyFont="1" applyBorder="1" applyAlignment="1">
      <alignment horizontal="right" vertical="center" wrapText="1"/>
    </xf>
    <xf numFmtId="0" fontId="71" fillId="0" borderId="34" xfId="3" applyFont="1" applyBorder="1" applyAlignment="1">
      <alignment horizontal="right" vertical="center" wrapText="1"/>
    </xf>
    <xf numFmtId="0" fontId="60" fillId="0" borderId="34" xfId="3" applyFont="1" applyBorder="1" applyAlignment="1">
      <alignment horizontal="right" vertical="center" wrapText="1"/>
    </xf>
    <xf numFmtId="0" fontId="60" fillId="0" borderId="36" xfId="3" applyFont="1" applyBorder="1" applyAlignment="1">
      <alignment horizontal="right" vertical="center" wrapText="1"/>
    </xf>
    <xf numFmtId="0" fontId="71" fillId="0" borderId="26" xfId="3" applyFont="1" applyBorder="1" applyAlignment="1">
      <alignment horizontal="right" vertical="center" wrapText="1"/>
    </xf>
    <xf numFmtId="0" fontId="71" fillId="0" borderId="25" xfId="3" applyFont="1" applyBorder="1" applyAlignment="1">
      <alignment horizontal="right" vertical="center" wrapText="1"/>
    </xf>
    <xf numFmtId="0" fontId="60" fillId="0" borderId="25" xfId="3" applyFont="1" applyBorder="1" applyAlignment="1">
      <alignment horizontal="right" vertical="center" wrapText="1"/>
    </xf>
    <xf numFmtId="0" fontId="60" fillId="0" borderId="27" xfId="3" applyFont="1" applyBorder="1" applyAlignment="1">
      <alignment horizontal="right" vertical="center" wrapText="1"/>
    </xf>
    <xf numFmtId="0" fontId="63" fillId="0" borderId="31" xfId="3" applyFont="1" applyBorder="1" applyAlignment="1">
      <alignment horizontal="right" vertical="center" shrinkToFit="1"/>
    </xf>
    <xf numFmtId="0" fontId="63" fillId="19" borderId="0" xfId="3" applyFont="1" applyFill="1" applyAlignment="1">
      <alignment horizontal="right" vertical="center" shrinkToFit="1"/>
    </xf>
    <xf numFmtId="0" fontId="83" fillId="19" borderId="0" xfId="7" applyFont="1" applyFill="1" applyAlignment="1">
      <alignment horizontal="right" vertical="center" shrinkToFit="1"/>
    </xf>
    <xf numFmtId="0" fontId="65" fillId="0" borderId="0" xfId="3" applyFont="1" applyAlignment="1">
      <alignment horizontal="right" vertical="center" shrinkToFit="1"/>
    </xf>
    <xf numFmtId="0" fontId="77" fillId="19" borderId="0" xfId="3" applyFont="1" applyFill="1" applyAlignment="1">
      <alignment horizontal="right" vertical="center" wrapText="1" indent="9"/>
    </xf>
    <xf numFmtId="165" fontId="82" fillId="0" borderId="0" xfId="7" applyNumberFormat="1" applyFont="1" applyAlignment="1">
      <alignment horizontal="right" vertical="center" shrinkToFit="1"/>
    </xf>
    <xf numFmtId="0" fontId="81" fillId="0" borderId="0" xfId="7" applyFont="1" applyAlignment="1">
      <alignment horizontal="right" vertical="center" shrinkToFit="1"/>
    </xf>
    <xf numFmtId="165" fontId="76" fillId="0" borderId="0" xfId="7" applyNumberFormat="1" applyFont="1" applyAlignment="1">
      <alignment horizontal="right" vertical="center" indent="3" shrinkToFit="1"/>
    </xf>
    <xf numFmtId="0" fontId="55" fillId="0" borderId="0" xfId="7" applyFont="1" applyAlignment="1">
      <alignment horizontal="right" vertical="center" indent="3" shrinkToFit="1"/>
    </xf>
    <xf numFmtId="165" fontId="76" fillId="0" borderId="0" xfId="7" applyNumberFormat="1" applyFont="1" applyAlignment="1">
      <alignment horizontal="right" vertical="center" shrinkToFit="1"/>
    </xf>
    <xf numFmtId="0" fontId="55" fillId="0" borderId="0" xfId="7" applyFont="1" applyAlignment="1">
      <alignment horizontal="right" vertical="center" shrinkToFit="1"/>
    </xf>
    <xf numFmtId="165" fontId="76" fillId="0" borderId="32" xfId="7" applyNumberFormat="1" applyFont="1" applyBorder="1" applyAlignment="1">
      <alignment horizontal="right" vertical="center" shrinkToFit="1"/>
    </xf>
    <xf numFmtId="0" fontId="55" fillId="0" borderId="32" xfId="7" applyFont="1" applyBorder="1" applyAlignment="1">
      <alignment horizontal="right" vertical="center" shrinkToFit="1"/>
    </xf>
    <xf numFmtId="165" fontId="76" fillId="21" borderId="32" xfId="7" applyNumberFormat="1" applyFont="1" applyFill="1" applyBorder="1" applyAlignment="1">
      <alignment horizontal="right" vertical="center" shrinkToFit="1"/>
    </xf>
    <xf numFmtId="0" fontId="55" fillId="21" borderId="32" xfId="7" applyFont="1" applyFill="1" applyBorder="1" applyAlignment="1">
      <alignment horizontal="right" vertical="center" shrinkToFit="1"/>
    </xf>
    <xf numFmtId="165" fontId="76" fillId="0" borderId="30" xfId="7" applyNumberFormat="1" applyFont="1" applyBorder="1" applyAlignment="1">
      <alignment horizontal="right" vertical="center" shrinkToFit="1"/>
    </xf>
    <xf numFmtId="0" fontId="55" fillId="0" borderId="30" xfId="7" applyFont="1" applyBorder="1" applyAlignment="1">
      <alignment horizontal="right" vertical="center" shrinkToFit="1"/>
    </xf>
    <xf numFmtId="0" fontId="63" fillId="19" borderId="28" xfId="3" applyFont="1" applyFill="1" applyBorder="1" applyAlignment="1">
      <alignment horizontal="right" vertical="center" wrapText="1" indent="9"/>
    </xf>
    <xf numFmtId="0" fontId="50" fillId="0" borderId="26" xfId="3" applyFont="1" applyBorder="1" applyAlignment="1">
      <alignment horizontal="right" vertical="center" wrapText="1"/>
    </xf>
    <xf numFmtId="0" fontId="50" fillId="0" borderId="25" xfId="3" applyFont="1" applyBorder="1" applyAlignment="1">
      <alignment horizontal="right" vertical="center" wrapText="1"/>
    </xf>
    <xf numFmtId="164" fontId="13" fillId="0" borderId="0" xfId="0" applyNumberFormat="1" applyFont="1" applyAlignment="1">
      <alignment horizontal="center" vertical="center" textRotation="90" wrapText="1" shrinkToFit="1"/>
    </xf>
    <xf numFmtId="0" fontId="0" fillId="0" borderId="0" xfId="0" applyAlignment="1">
      <alignment horizontal="center" vertical="center" textRotation="90" wrapText="1" shrinkToFit="1"/>
    </xf>
    <xf numFmtId="164" fontId="7" fillId="0" borderId="0" xfId="0" applyNumberFormat="1" applyFont="1" applyAlignment="1">
      <alignment horizontal="center" vertical="center" textRotation="90" wrapText="1" shrinkToFit="1"/>
    </xf>
    <xf numFmtId="164" fontId="7" fillId="3" borderId="0" xfId="0" applyNumberFormat="1" applyFont="1" applyFill="1" applyAlignment="1">
      <alignment horizontal="center" vertical="center" shrinkToFit="1"/>
    </xf>
    <xf numFmtId="0" fontId="0" fillId="3" borderId="0" xfId="0" applyFill="1" applyAlignment="1">
      <alignment horizontal="center" vertical="center" shrinkToFit="1"/>
    </xf>
    <xf numFmtId="164" fontId="7" fillId="2" borderId="0" xfId="0" applyNumberFormat="1" applyFont="1" applyFill="1" applyAlignment="1">
      <alignment horizontal="center" vertical="center" shrinkToFit="1"/>
    </xf>
    <xf numFmtId="0" fontId="0" fillId="0" borderId="0" xfId="0" applyAlignment="1">
      <alignment horizontal="center" vertical="center" shrinkToFit="1"/>
    </xf>
    <xf numFmtId="0" fontId="8" fillId="2" borderId="0" xfId="0" applyFont="1" applyFill="1" applyAlignment="1">
      <alignment horizontal="center" vertical="center" textRotation="90" wrapText="1" shrinkToFit="1"/>
    </xf>
    <xf numFmtId="164" fontId="7" fillId="2" borderId="0" xfId="0" applyNumberFormat="1" applyFont="1" applyFill="1" applyAlignment="1">
      <alignment horizontal="center" vertical="center" textRotation="90" wrapText="1" shrinkToFit="1"/>
    </xf>
    <xf numFmtId="164" fontId="13" fillId="2" borderId="0" xfId="0" applyNumberFormat="1" applyFont="1" applyFill="1" applyAlignment="1">
      <alignment horizontal="center" vertical="center" wrapText="1" shrinkToFit="1"/>
    </xf>
    <xf numFmtId="0" fontId="13" fillId="2" borderId="0" xfId="0" applyFont="1" applyFill="1" applyAlignment="1">
      <alignment horizontal="center" vertical="center" wrapText="1" shrinkToFit="1"/>
    </xf>
    <xf numFmtId="164" fontId="7" fillId="2" borderId="0" xfId="0" applyNumberFormat="1" applyFont="1" applyFill="1" applyAlignment="1">
      <alignment horizontal="center" vertical="center" wrapText="1" shrinkToFit="1"/>
    </xf>
    <xf numFmtId="0" fontId="8" fillId="0" borderId="0" xfId="0" applyFont="1" applyAlignment="1">
      <alignment horizontal="center" vertical="center" wrapText="1" shrinkToFit="1"/>
    </xf>
    <xf numFmtId="164" fontId="16" fillId="2" borderId="0" xfId="0" applyNumberFormat="1" applyFont="1" applyFill="1" applyAlignment="1">
      <alignment horizontal="center" vertical="center" wrapText="1" shrinkToFit="1"/>
    </xf>
    <xf numFmtId="0" fontId="17" fillId="0" borderId="0" xfId="0" applyFont="1" applyAlignment="1">
      <alignment horizontal="center" vertical="center" wrapText="1" shrinkToFit="1"/>
    </xf>
    <xf numFmtId="164" fontId="7" fillId="3" borderId="0" xfId="0" applyNumberFormat="1" applyFont="1" applyFill="1" applyAlignment="1">
      <alignment horizontal="center" vertical="center" textRotation="90" shrinkToFit="1"/>
    </xf>
    <xf numFmtId="0" fontId="8" fillId="3" borderId="0" xfId="0" applyFont="1" applyFill="1" applyAlignment="1">
      <alignment horizontal="center" vertical="center" textRotation="90" shrinkToFit="1"/>
    </xf>
    <xf numFmtId="164" fontId="7" fillId="3" borderId="0" xfId="0" applyNumberFormat="1" applyFont="1" applyFill="1" applyAlignment="1">
      <alignment horizontal="center" vertical="center" wrapText="1" shrinkToFit="1"/>
    </xf>
    <xf numFmtId="0" fontId="8" fillId="3" borderId="0" xfId="0" applyFont="1" applyFill="1" applyAlignment="1">
      <alignment horizontal="center" vertical="center" wrapText="1" shrinkToFit="1"/>
    </xf>
    <xf numFmtId="0" fontId="0" fillId="0" borderId="0" xfId="0" applyAlignment="1">
      <alignment horizontal="center" vertical="center" wrapText="1" shrinkToFit="1"/>
    </xf>
    <xf numFmtId="164" fontId="16" fillId="3" borderId="0" xfId="0" applyNumberFormat="1" applyFont="1" applyFill="1" applyAlignment="1">
      <alignment horizontal="center" vertical="center" wrapText="1" shrinkToFit="1"/>
    </xf>
    <xf numFmtId="164" fontId="12" fillId="3" borderId="0" xfId="0" applyNumberFormat="1" applyFont="1" applyFill="1" applyAlignment="1">
      <alignment horizontal="center" vertical="center" wrapText="1" shrinkToFit="1"/>
    </xf>
    <xf numFmtId="0" fontId="0" fillId="3" borderId="0" xfId="0" applyFill="1" applyAlignment="1">
      <alignment horizontal="center" vertical="center" wrapText="1" shrinkToFit="1"/>
    </xf>
    <xf numFmtId="0" fontId="7" fillId="4" borderId="0" xfId="0" applyFont="1" applyFill="1" applyAlignment="1">
      <alignment horizontal="center" vertical="center" textRotation="90" wrapText="1" shrinkToFit="1"/>
    </xf>
    <xf numFmtId="0" fontId="8" fillId="4" borderId="0" xfId="0" applyFont="1" applyFill="1" applyAlignment="1">
      <alignment horizontal="center" vertical="center" wrapText="1" shrinkToFit="1"/>
    </xf>
    <xf numFmtId="164" fontId="7" fillId="4" borderId="0" xfId="0" applyNumberFormat="1" applyFont="1" applyFill="1" applyAlignment="1">
      <alignment horizontal="center" vertical="center" wrapText="1" shrinkToFit="1"/>
    </xf>
    <xf numFmtId="164" fontId="7" fillId="12" borderId="0" xfId="0" applyNumberFormat="1" applyFont="1" applyFill="1" applyAlignment="1">
      <alignment horizontal="center" vertical="center" shrinkToFit="1"/>
    </xf>
    <xf numFmtId="0" fontId="0" fillId="12" borderId="0" xfId="0" applyFill="1" applyAlignment="1">
      <alignment horizontal="center" vertical="center" shrinkToFit="1"/>
    </xf>
    <xf numFmtId="164" fontId="7" fillId="6" borderId="0" xfId="0" applyNumberFormat="1" applyFont="1" applyFill="1" applyAlignment="1">
      <alignment horizontal="center" vertical="center" textRotation="90" wrapText="1" shrinkToFit="1"/>
    </xf>
    <xf numFmtId="0" fontId="8" fillId="0" borderId="0" xfId="0" applyFont="1" applyAlignment="1">
      <alignment horizontal="center" vertical="center" textRotation="90" wrapText="1" shrinkToFit="1"/>
    </xf>
    <xf numFmtId="164" fontId="16" fillId="4" borderId="0" xfId="0" applyNumberFormat="1" applyFont="1" applyFill="1" applyAlignment="1">
      <alignment horizontal="center" vertical="center" wrapText="1" shrinkToFit="1"/>
    </xf>
    <xf numFmtId="164" fontId="7" fillId="5" borderId="0" xfId="0" applyNumberFormat="1" applyFont="1" applyFill="1" applyAlignment="1">
      <alignment horizontal="center" vertical="center" textRotation="90" wrapText="1" shrinkToFit="1"/>
    </xf>
    <xf numFmtId="164" fontId="16" fillId="4" borderId="7" xfId="0" applyNumberFormat="1" applyFont="1" applyFill="1" applyBorder="1" applyAlignment="1">
      <alignment horizontal="center" vertical="center" wrapText="1" shrinkToFit="1"/>
    </xf>
    <xf numFmtId="0" fontId="17" fillId="0" borderId="0" xfId="0" applyFont="1" applyAlignment="1">
      <alignment horizontal="center" vertical="center" shrinkToFit="1"/>
    </xf>
    <xf numFmtId="164" fontId="7" fillId="4" borderId="7" xfId="0" applyNumberFormat="1" applyFont="1" applyFill="1" applyBorder="1" applyAlignment="1">
      <alignment horizontal="center" vertical="center" wrapText="1" shrinkToFit="1"/>
    </xf>
    <xf numFmtId="0" fontId="0" fillId="0" borderId="8" xfId="0" applyBorder="1" applyAlignment="1">
      <alignment horizontal="center" vertical="center" wrapText="1" shrinkToFit="1"/>
    </xf>
    <xf numFmtId="164" fontId="7" fillId="5" borderId="0" xfId="0" applyNumberFormat="1" applyFont="1" applyFill="1" applyAlignment="1">
      <alignment horizontal="center" vertical="center" wrapText="1" shrinkToFit="1"/>
    </xf>
    <xf numFmtId="164" fontId="7" fillId="0" borderId="0" xfId="0" applyNumberFormat="1" applyFont="1" applyAlignment="1">
      <alignment horizontal="center" vertical="center" wrapText="1" shrinkToFit="1"/>
    </xf>
    <xf numFmtId="0" fontId="7" fillId="4" borderId="0" xfId="0" applyFont="1" applyFill="1" applyAlignment="1">
      <alignment horizontal="center" vertical="center" wrapText="1" shrinkToFit="1"/>
    </xf>
    <xf numFmtId="0" fontId="12" fillId="0" borderId="0" xfId="0" applyFont="1" applyAlignment="1">
      <alignment horizontal="center" vertical="center" wrapText="1" shrinkToFit="1"/>
    </xf>
    <xf numFmtId="0" fontId="2" fillId="2" borderId="0" xfId="0" applyFont="1" applyFill="1" applyAlignment="1">
      <alignment horizontal="center" vertical="center" wrapText="1" shrinkToFit="1"/>
    </xf>
    <xf numFmtId="164" fontId="18" fillId="0" borderId="0" xfId="0" applyNumberFormat="1" applyFont="1" applyAlignment="1">
      <alignment horizontal="center" vertical="center" wrapText="1" shrinkToFit="1"/>
    </xf>
    <xf numFmtId="0" fontId="19" fillId="0" borderId="0" xfId="0" applyFont="1" applyAlignment="1">
      <alignment horizontal="center" vertical="center" wrapText="1" shrinkToFit="1"/>
    </xf>
    <xf numFmtId="164" fontId="7" fillId="12" borderId="0" xfId="0" applyNumberFormat="1" applyFont="1" applyFill="1" applyAlignment="1">
      <alignment horizontal="center" vertical="center" wrapText="1" shrinkToFit="1"/>
    </xf>
    <xf numFmtId="164" fontId="31" fillId="4" borderId="0" xfId="0" applyNumberFormat="1" applyFont="1" applyFill="1" applyAlignment="1">
      <alignment horizontal="center" vertical="center" wrapText="1" shrinkToFit="1"/>
    </xf>
    <xf numFmtId="0" fontId="31" fillId="0" borderId="0" xfId="0" applyFont="1" applyAlignment="1">
      <alignment horizontal="center" vertical="center" wrapText="1" shrinkToFit="1"/>
    </xf>
    <xf numFmtId="0" fontId="31" fillId="0" borderId="8" xfId="0" applyFont="1" applyBorder="1" applyAlignment="1">
      <alignment horizontal="center" vertical="center" wrapText="1" shrinkToFit="1"/>
    </xf>
    <xf numFmtId="0" fontId="13" fillId="4" borderId="0" xfId="0" applyFont="1" applyFill="1" applyAlignment="1">
      <alignment horizontal="center" vertical="center" wrapText="1" shrinkToFit="1"/>
    </xf>
    <xf numFmtId="0" fontId="13" fillId="0" borderId="0" xfId="0" applyFont="1" applyAlignment="1">
      <alignment horizontal="center" vertical="center" wrapText="1" shrinkToFit="1"/>
    </xf>
    <xf numFmtId="0" fontId="13" fillId="0" borderId="8" xfId="0" applyFont="1" applyBorder="1" applyAlignment="1">
      <alignment horizontal="center" vertical="center" wrapText="1" shrinkToFit="1"/>
    </xf>
    <xf numFmtId="164" fontId="7" fillId="15" borderId="17" xfId="0" applyNumberFormat="1" applyFont="1" applyFill="1" applyBorder="1" applyAlignment="1">
      <alignment horizontal="center" vertical="center" wrapText="1" shrinkToFit="1"/>
    </xf>
    <xf numFmtId="0" fontId="0" fillId="17" borderId="17" xfId="0" applyFill="1" applyBorder="1" applyAlignment="1">
      <alignment horizontal="center" vertical="center" wrapText="1" shrinkToFit="1"/>
    </xf>
    <xf numFmtId="164" fontId="20" fillId="3" borderId="10" xfId="0" applyNumberFormat="1" applyFont="1" applyFill="1" applyBorder="1" applyAlignment="1">
      <alignment horizontal="center" vertical="center" wrapText="1" shrinkToFit="1"/>
    </xf>
    <xf numFmtId="0" fontId="21" fillId="0" borderId="10" xfId="0" applyFont="1" applyBorder="1" applyAlignment="1">
      <alignment horizontal="center" vertical="center" wrapText="1" shrinkToFit="1"/>
    </xf>
    <xf numFmtId="0" fontId="21" fillId="0" borderId="11" xfId="0" applyFont="1" applyBorder="1" applyAlignment="1">
      <alignment horizontal="center" vertical="center" wrapText="1" shrinkToFit="1"/>
    </xf>
    <xf numFmtId="164" fontId="7" fillId="3" borderId="10" xfId="0" applyNumberFormat="1" applyFont="1" applyFill="1" applyBorder="1" applyAlignment="1">
      <alignment horizontal="center" vertical="center" wrapText="1" shrinkToFit="1"/>
    </xf>
    <xf numFmtId="0" fontId="0" fillId="0" borderId="10" xfId="0" applyBorder="1" applyAlignment="1">
      <alignment horizontal="center" vertical="center" wrapText="1" shrinkToFit="1"/>
    </xf>
    <xf numFmtId="164" fontId="16" fillId="3" borderId="10" xfId="0" applyNumberFormat="1" applyFont="1" applyFill="1" applyBorder="1" applyAlignment="1">
      <alignment horizontal="center" vertical="center" wrapText="1" shrinkToFit="1"/>
    </xf>
    <xf numFmtId="0" fontId="17" fillId="0" borderId="10" xfId="0" applyFont="1" applyBorder="1" applyAlignment="1">
      <alignment horizontal="center" vertical="center" wrapText="1" shrinkToFit="1"/>
    </xf>
    <xf numFmtId="0" fontId="0" fillId="0" borderId="11" xfId="0" applyBorder="1" applyAlignment="1">
      <alignment horizontal="center" vertical="center" wrapText="1" shrinkToFit="1"/>
    </xf>
    <xf numFmtId="164" fontId="18" fillId="3" borderId="13" xfId="0" applyNumberFormat="1" applyFont="1" applyFill="1" applyBorder="1" applyAlignment="1">
      <alignment horizontal="center" vertical="center" wrapText="1" shrinkToFit="1"/>
    </xf>
    <xf numFmtId="0" fontId="19" fillId="0" borderId="13" xfId="0" applyFont="1" applyBorder="1" applyAlignment="1">
      <alignment horizontal="center" vertical="center" wrapText="1" shrinkToFit="1"/>
    </xf>
    <xf numFmtId="164" fontId="7" fillId="3" borderId="17" xfId="0" applyNumberFormat="1" applyFont="1" applyFill="1" applyBorder="1" applyAlignment="1">
      <alignment horizontal="center" vertical="center" wrapText="1" shrinkToFit="1"/>
    </xf>
    <xf numFmtId="0" fontId="0" fillId="0" borderId="17" xfId="0" applyBorder="1" applyAlignment="1">
      <alignment horizontal="center" vertical="center" wrapText="1" shrinkToFit="1"/>
    </xf>
    <xf numFmtId="164" fontId="18" fillId="3" borderId="17" xfId="0" applyNumberFormat="1" applyFont="1" applyFill="1" applyBorder="1" applyAlignment="1">
      <alignment horizontal="center" vertical="center" wrapText="1" shrinkToFit="1"/>
    </xf>
    <xf numFmtId="0" fontId="19" fillId="0" borderId="17" xfId="0" applyFont="1" applyBorder="1" applyAlignment="1">
      <alignment horizontal="center" vertical="center" wrapText="1" shrinkToFit="1"/>
    </xf>
    <xf numFmtId="164" fontId="18" fillId="3" borderId="38" xfId="0" applyNumberFormat="1" applyFont="1" applyFill="1" applyBorder="1" applyAlignment="1">
      <alignment horizontal="center" vertical="center" wrapText="1" shrinkToFit="1"/>
    </xf>
    <xf numFmtId="164" fontId="18" fillId="0" borderId="0" xfId="0" applyNumberFormat="1" applyFont="1" applyAlignment="1">
      <alignment horizontal="center" vertical="center" textRotation="90" wrapText="1" shrinkToFit="1"/>
    </xf>
    <xf numFmtId="0" fontId="19" fillId="0" borderId="0" xfId="0" applyFont="1" applyAlignment="1">
      <alignment horizontal="center" vertical="center" textRotation="90" wrapText="1" shrinkToFit="1"/>
    </xf>
    <xf numFmtId="0" fontId="32" fillId="3" borderId="22" xfId="0" applyFont="1" applyFill="1" applyBorder="1" applyAlignment="1">
      <alignment horizontal="center" vertical="center" wrapText="1" shrinkToFit="1"/>
    </xf>
    <xf numFmtId="0" fontId="33" fillId="3" borderId="23" xfId="0" applyFont="1" applyFill="1" applyBorder="1" applyAlignment="1">
      <alignment horizontal="center" vertical="center" wrapText="1" shrinkToFit="1"/>
    </xf>
    <xf numFmtId="0" fontId="33" fillId="3" borderId="24" xfId="0" applyFont="1" applyFill="1" applyBorder="1" applyAlignment="1">
      <alignment horizontal="center" vertical="center" wrapText="1" shrinkToFit="1"/>
    </xf>
    <xf numFmtId="0" fontId="7" fillId="0" borderId="18" xfId="0" applyFont="1" applyBorder="1" applyAlignment="1">
      <alignment horizontal="center" vertical="center" wrapText="1" shrinkToFit="1"/>
    </xf>
    <xf numFmtId="0" fontId="12" fillId="0" borderId="18" xfId="0" applyFont="1" applyBorder="1" applyAlignment="1">
      <alignment horizontal="center" vertical="center" wrapText="1" shrinkToFit="1"/>
    </xf>
    <xf numFmtId="0" fontId="18" fillId="3" borderId="11" xfId="0" applyFont="1" applyFill="1" applyBorder="1" applyAlignment="1">
      <alignment horizontal="center" vertical="center" wrapText="1" shrinkToFit="1"/>
    </xf>
    <xf numFmtId="0" fontId="18" fillId="0" borderId="15" xfId="0" applyFont="1" applyBorder="1" applyAlignment="1">
      <alignment horizontal="center" vertical="center" wrapText="1" shrinkToFit="1"/>
    </xf>
    <xf numFmtId="0" fontId="18" fillId="0" borderId="9" xfId="0" applyFont="1" applyBorder="1" applyAlignment="1">
      <alignment horizontal="center" vertical="center" wrapText="1" shrinkToFit="1"/>
    </xf>
    <xf numFmtId="164" fontId="7" fillId="3" borderId="19" xfId="0" applyNumberFormat="1" applyFont="1" applyFill="1" applyBorder="1" applyAlignment="1">
      <alignment horizontal="center" vertical="center" wrapText="1" shrinkToFit="1"/>
    </xf>
    <xf numFmtId="0" fontId="0" fillId="0" borderId="20" xfId="0" applyBorder="1" applyAlignment="1">
      <alignment horizontal="center" vertical="center" wrapText="1" shrinkToFit="1"/>
    </xf>
    <xf numFmtId="0" fontId="0" fillId="0" borderId="21" xfId="0" applyBorder="1" applyAlignment="1">
      <alignment horizontal="center" vertical="center" wrapText="1" shrinkToFit="1"/>
    </xf>
    <xf numFmtId="0" fontId="43" fillId="18" borderId="0" xfId="0" applyFont="1" applyFill="1" applyAlignment="1">
      <alignment horizontal="center" vertical="center" wrapText="1" shrinkToFit="1"/>
    </xf>
    <xf numFmtId="0" fontId="44" fillId="0" borderId="0" xfId="0" applyFont="1" applyAlignment="1">
      <alignment horizontal="center" vertical="center" wrapText="1"/>
    </xf>
    <xf numFmtId="0" fontId="40" fillId="22" borderId="0" xfId="0" applyFont="1" applyFill="1" applyAlignment="1">
      <alignment horizontal="center" vertical="center" wrapText="1"/>
    </xf>
    <xf numFmtId="0" fontId="0" fillId="0" borderId="0" xfId="0" applyAlignment="1">
      <alignment horizontal="center" vertical="center" wrapText="1"/>
    </xf>
    <xf numFmtId="0" fontId="38" fillId="21" borderId="0" xfId="0" applyFont="1" applyFill="1" applyAlignment="1">
      <alignment horizontal="center" vertical="center" wrapText="1"/>
    </xf>
    <xf numFmtId="0" fontId="25" fillId="18" borderId="0" xfId="0" applyFont="1" applyFill="1" applyAlignment="1">
      <alignment horizontal="center" vertical="center" wrapText="1" shrinkToFit="1"/>
    </xf>
    <xf numFmtId="0" fontId="37" fillId="18" borderId="0" xfId="0" applyFont="1" applyFill="1" applyAlignment="1">
      <alignment horizontal="center" vertical="top" wrapText="1" shrinkToFit="1"/>
    </xf>
    <xf numFmtId="0" fontId="34" fillId="0" borderId="0" xfId="0" applyFont="1" applyAlignment="1">
      <alignment horizontal="center" wrapText="1" shrinkToFit="1"/>
    </xf>
    <xf numFmtId="38" fontId="39" fillId="18" borderId="0" xfId="1" applyNumberFormat="1" applyFont="1" applyFill="1" applyAlignment="1">
      <alignment horizontal="center" vertical="top" wrapText="1" shrinkToFit="1"/>
    </xf>
    <xf numFmtId="0" fontId="0" fillId="0" borderId="0" xfId="0" applyAlignment="1">
      <alignment horizontal="center" wrapText="1" shrinkToFit="1"/>
    </xf>
    <xf numFmtId="0" fontId="39" fillId="18" borderId="0" xfId="0" applyFont="1" applyFill="1" applyAlignment="1">
      <alignment horizontal="center" vertical="top" wrapText="1" shrinkToFit="1"/>
    </xf>
    <xf numFmtId="0" fontId="9" fillId="0" borderId="0" xfId="0" applyFont="1" applyAlignment="1">
      <alignment horizontal="center" vertical="center" wrapText="1"/>
    </xf>
    <xf numFmtId="0" fontId="46" fillId="0" borderId="0" xfId="0" applyFont="1" applyAlignment="1">
      <alignment horizontal="center" vertical="center" wrapText="1"/>
    </xf>
    <xf numFmtId="0" fontId="12" fillId="0" borderId="0" xfId="0" applyFont="1" applyAlignment="1">
      <alignment horizontal="right" vertical="center" wrapText="1" shrinkToFit="1"/>
    </xf>
    <xf numFmtId="0" fontId="0" fillId="0" borderId="0" xfId="0" applyAlignment="1">
      <alignment horizontal="right" vertical="center" wrapText="1" shrinkToFit="1"/>
    </xf>
  </cellXfs>
  <cellStyles count="8">
    <cellStyle name="Hyperlink" xfId="5" builtinId="8"/>
    <cellStyle name="Normal" xfId="0" builtinId="0"/>
    <cellStyle name="Normal 2" xfId="3" xr:uid="{839BC2B7-36FB-470E-B0B8-035D69C1D553}"/>
    <cellStyle name="Normal 3" xfId="4" xr:uid="{0A13E86C-7371-45A0-B257-26C624BE75D8}"/>
    <cellStyle name="Normal 3 3" xfId="2" xr:uid="{66E69AE1-24D1-4B4D-B71C-8F9A8FF12842}"/>
    <cellStyle name="Normal 3 4" xfId="7" xr:uid="{B8A28F7D-0F5F-4BD3-8CE4-1DECB81796B4}"/>
    <cellStyle name="Percent" xfId="1" builtinId="5"/>
    <cellStyle name="Percent 2" xfId="6" xr:uid="{481792EF-3B73-4D4B-84B6-BD691313523E}"/>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40111</xdr:colOff>
      <xdr:row>4</xdr:row>
      <xdr:rowOff>90237</xdr:rowOff>
    </xdr:from>
    <xdr:to>
      <xdr:col>12</xdr:col>
      <xdr:colOff>3789948</xdr:colOff>
      <xdr:row>6</xdr:row>
      <xdr:rowOff>90237</xdr:rowOff>
    </xdr:to>
    <xdr:sp macro="" textlink="">
      <xdr:nvSpPr>
        <xdr:cNvPr id="2" name="Oval 1">
          <a:extLst>
            <a:ext uri="{FF2B5EF4-FFF2-40B4-BE49-F238E27FC236}">
              <a16:creationId xmlns:a16="http://schemas.microsoft.com/office/drawing/2014/main" id="{C3D5E133-67A8-EB67-C036-F05A15698374}"/>
            </a:ext>
          </a:extLst>
        </xdr:cNvPr>
        <xdr:cNvSpPr/>
      </xdr:nvSpPr>
      <xdr:spPr>
        <a:xfrm>
          <a:off x="11162327447" y="441158"/>
          <a:ext cx="3749837" cy="40105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 البريد</a:t>
          </a:r>
          <a:r>
            <a:rPr lang="ar-SA" sz="1200" b="1" baseline="0"/>
            <a:t> الالكتروني وكلمة المرور</a:t>
          </a:r>
          <a:endParaRPr lang="ar-SA" sz="1200" b="1"/>
        </a:p>
      </xdr:txBody>
    </xdr:sp>
    <xdr:clientData/>
  </xdr:twoCellAnchor>
  <xdr:twoCellAnchor>
    <xdr:from>
      <xdr:col>12</xdr:col>
      <xdr:colOff>260685</xdr:colOff>
      <xdr:row>7</xdr:row>
      <xdr:rowOff>191124</xdr:rowOff>
    </xdr:from>
    <xdr:to>
      <xdr:col>12</xdr:col>
      <xdr:colOff>3639553</xdr:colOff>
      <xdr:row>7</xdr:row>
      <xdr:rowOff>476247</xdr:rowOff>
    </xdr:to>
    <xdr:sp macro="" textlink="">
      <xdr:nvSpPr>
        <xdr:cNvPr id="3" name="Plaque 2">
          <a:extLst>
            <a:ext uri="{FF2B5EF4-FFF2-40B4-BE49-F238E27FC236}">
              <a16:creationId xmlns:a16="http://schemas.microsoft.com/office/drawing/2014/main" id="{D700D7F8-DC9C-0042-BCFE-74EDA10DFD19}"/>
            </a:ext>
          </a:extLst>
        </xdr:cNvPr>
        <xdr:cNvSpPr/>
      </xdr:nvSpPr>
      <xdr:spPr>
        <a:xfrm>
          <a:off x="11306107322" y="1941343"/>
          <a:ext cx="3378868" cy="285123"/>
        </a:xfrm>
        <a:prstGeom prst="plaque">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t>النظام يتحقق من صحة البيانات</a:t>
          </a:r>
        </a:p>
      </xdr:txBody>
    </xdr:sp>
    <xdr:clientData/>
  </xdr:twoCellAnchor>
  <xdr:twoCellAnchor>
    <xdr:from>
      <xdr:col>11</xdr:col>
      <xdr:colOff>607218</xdr:colOff>
      <xdr:row>7</xdr:row>
      <xdr:rowOff>655470</xdr:rowOff>
    </xdr:from>
    <xdr:to>
      <xdr:col>12</xdr:col>
      <xdr:colOff>3666498</xdr:colOff>
      <xdr:row>7</xdr:row>
      <xdr:rowOff>5040104</xdr:rowOff>
    </xdr:to>
    <xdr:grpSp>
      <xdr:nvGrpSpPr>
        <xdr:cNvPr id="14" name="Group 13">
          <a:extLst>
            <a:ext uri="{FF2B5EF4-FFF2-40B4-BE49-F238E27FC236}">
              <a16:creationId xmlns:a16="http://schemas.microsoft.com/office/drawing/2014/main" id="{227A8A72-40F8-298C-AFC7-C207E5965BF0}"/>
            </a:ext>
          </a:extLst>
        </xdr:cNvPr>
        <xdr:cNvGrpSpPr/>
      </xdr:nvGrpSpPr>
      <xdr:grpSpPr>
        <a:xfrm>
          <a:off x="11305389814" y="2405689"/>
          <a:ext cx="3749843" cy="4384634"/>
          <a:chOff x="11305997033" y="7001502"/>
          <a:chExt cx="3749842" cy="4384634"/>
        </a:xfrm>
      </xdr:grpSpPr>
      <xdr:sp macro="" textlink="">
        <xdr:nvSpPr>
          <xdr:cNvPr id="4" name="Arrow: Quad 3">
            <a:extLst>
              <a:ext uri="{FF2B5EF4-FFF2-40B4-BE49-F238E27FC236}">
                <a16:creationId xmlns:a16="http://schemas.microsoft.com/office/drawing/2014/main" id="{01D70596-1528-0F0B-0DE5-D2E985D183E2}"/>
              </a:ext>
            </a:extLst>
          </xdr:cNvPr>
          <xdr:cNvSpPr/>
        </xdr:nvSpPr>
        <xdr:spPr>
          <a:xfrm>
            <a:off x="11308313112" y="7031581"/>
            <a:ext cx="1163051" cy="691816"/>
          </a:xfrm>
          <a:prstGeom prst="quadArrow">
            <a:avLst>
              <a:gd name="adj1" fmla="val 45000"/>
              <a:gd name="adj2" fmla="val 22500"/>
              <a:gd name="adj3" fmla="val 22500"/>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1" anchor="t"/>
          <a:lstStyle/>
          <a:p>
            <a:pPr algn="r" rtl="1"/>
            <a:r>
              <a:rPr lang="ar-SA" sz="1200" b="1">
                <a:solidFill>
                  <a:srgbClr val="FFFF00"/>
                </a:solidFill>
              </a:rPr>
              <a:t>فشل الدخول</a:t>
            </a:r>
          </a:p>
        </xdr:txBody>
      </xdr:sp>
      <xdr:sp macro="" textlink="">
        <xdr:nvSpPr>
          <xdr:cNvPr id="5" name="Flowchart: Multidocument 4">
            <a:extLst>
              <a:ext uri="{FF2B5EF4-FFF2-40B4-BE49-F238E27FC236}">
                <a16:creationId xmlns:a16="http://schemas.microsoft.com/office/drawing/2014/main" id="{C0AFEEA1-FCFA-B653-FAE8-77C4A4840D9B}"/>
              </a:ext>
            </a:extLst>
          </xdr:cNvPr>
          <xdr:cNvSpPr/>
        </xdr:nvSpPr>
        <xdr:spPr>
          <a:xfrm>
            <a:off x="11306167480" y="7001502"/>
            <a:ext cx="1443789" cy="721895"/>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نجاج الدخول والانتقال الي لوحة التحكم</a:t>
            </a:r>
          </a:p>
        </xdr:txBody>
      </xdr:sp>
      <xdr:sp macro="" textlink="">
        <xdr:nvSpPr>
          <xdr:cNvPr id="8" name="Frame 7">
            <a:extLst>
              <a:ext uri="{FF2B5EF4-FFF2-40B4-BE49-F238E27FC236}">
                <a16:creationId xmlns:a16="http://schemas.microsoft.com/office/drawing/2014/main" id="{52DBF014-9E06-4EE5-AED7-F46434753DCA}"/>
              </a:ext>
            </a:extLst>
          </xdr:cNvPr>
          <xdr:cNvSpPr/>
        </xdr:nvSpPr>
        <xdr:spPr>
          <a:xfrm>
            <a:off x="11306347954" y="7774782"/>
            <a:ext cx="2737184" cy="452438"/>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اضغط نسيت كلمة المرور</a:t>
            </a:r>
          </a:p>
        </xdr:txBody>
      </xdr:sp>
      <xdr:sp macro="" textlink="">
        <xdr:nvSpPr>
          <xdr:cNvPr id="9" name="Oval 8">
            <a:extLst>
              <a:ext uri="{FF2B5EF4-FFF2-40B4-BE49-F238E27FC236}">
                <a16:creationId xmlns:a16="http://schemas.microsoft.com/office/drawing/2014/main" id="{30D7DED8-2CB3-48BE-8408-7CA99D7C6C57}"/>
              </a:ext>
            </a:extLst>
          </xdr:cNvPr>
          <xdr:cNvSpPr/>
        </xdr:nvSpPr>
        <xdr:spPr>
          <a:xfrm>
            <a:off x="11306057197" y="8367587"/>
            <a:ext cx="3609468" cy="40105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a:t>
            </a:r>
            <a:r>
              <a:rPr lang="ar-SA" sz="1200" b="1" baseline="0"/>
              <a:t> البريد الالكتروني</a:t>
            </a:r>
            <a:endParaRPr lang="ar-SA" sz="1200" b="1"/>
          </a:p>
        </xdr:txBody>
      </xdr:sp>
      <xdr:sp macro="" textlink="">
        <xdr:nvSpPr>
          <xdr:cNvPr id="10" name="Oval 9">
            <a:extLst>
              <a:ext uri="{FF2B5EF4-FFF2-40B4-BE49-F238E27FC236}">
                <a16:creationId xmlns:a16="http://schemas.microsoft.com/office/drawing/2014/main" id="{54824B6F-9DB0-43EA-B3E1-DDD71850ADAD}"/>
              </a:ext>
            </a:extLst>
          </xdr:cNvPr>
          <xdr:cNvSpPr/>
        </xdr:nvSpPr>
        <xdr:spPr>
          <a:xfrm>
            <a:off x="11305997038" y="9251156"/>
            <a:ext cx="3749837" cy="40105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a:t>
            </a:r>
            <a:r>
              <a:rPr lang="ar-SA" sz="1200" b="1" baseline="0"/>
              <a:t> رمز التحقق </a:t>
            </a:r>
            <a:r>
              <a:rPr lang="en-GB" sz="1200" b="1" baseline="0"/>
              <a:t>OTP</a:t>
            </a:r>
            <a:endParaRPr lang="ar-SA" sz="1200" b="1"/>
          </a:p>
        </xdr:txBody>
      </xdr:sp>
      <xdr:sp macro="" textlink="">
        <xdr:nvSpPr>
          <xdr:cNvPr id="11" name="Flowchart: Summing Junction 10">
            <a:extLst>
              <a:ext uri="{FF2B5EF4-FFF2-40B4-BE49-F238E27FC236}">
                <a16:creationId xmlns:a16="http://schemas.microsoft.com/office/drawing/2014/main" id="{9CFA0BFA-1B76-E71D-EA4F-A3B5882D71E3}"/>
              </a:ext>
            </a:extLst>
          </xdr:cNvPr>
          <xdr:cNvSpPr/>
        </xdr:nvSpPr>
        <xdr:spPr>
          <a:xfrm>
            <a:off x="11307691480" y="9833309"/>
            <a:ext cx="1965157" cy="691816"/>
          </a:xfrm>
          <a:prstGeom prst="flowChartSummingJunc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t>انتهت</a:t>
            </a:r>
            <a:r>
              <a:rPr lang="ar-SA" sz="1200" b="1" baseline="0"/>
              <a:t> المدة اعد ارسال </a:t>
            </a:r>
            <a:r>
              <a:rPr lang="en-GB" sz="1200" b="1" baseline="0"/>
              <a:t>OTP</a:t>
            </a:r>
            <a:r>
              <a:rPr lang="ar-SA" sz="1200" b="1" baseline="0"/>
              <a:t> مرة اخري</a:t>
            </a:r>
            <a:endParaRPr lang="ar-SA" sz="1200" b="1"/>
          </a:p>
        </xdr:txBody>
      </xdr:sp>
      <xdr:sp macro="" textlink="">
        <xdr:nvSpPr>
          <xdr:cNvPr id="12" name="Frame 11">
            <a:extLst>
              <a:ext uri="{FF2B5EF4-FFF2-40B4-BE49-F238E27FC236}">
                <a16:creationId xmlns:a16="http://schemas.microsoft.com/office/drawing/2014/main" id="{4EE51ECC-E1C9-A2C0-8115-763DCD879909}"/>
              </a:ext>
            </a:extLst>
          </xdr:cNvPr>
          <xdr:cNvSpPr/>
        </xdr:nvSpPr>
        <xdr:spPr>
          <a:xfrm>
            <a:off x="11305997033" y="9843335"/>
            <a:ext cx="1503947" cy="651711"/>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ادخال كلمة مرور جديد</a:t>
            </a:r>
          </a:p>
        </xdr:txBody>
      </xdr:sp>
      <xdr:sp macro="" textlink="">
        <xdr:nvSpPr>
          <xdr:cNvPr id="13" name="Pentagon 12">
            <a:extLst>
              <a:ext uri="{FF2B5EF4-FFF2-40B4-BE49-F238E27FC236}">
                <a16:creationId xmlns:a16="http://schemas.microsoft.com/office/drawing/2014/main" id="{43E105DC-0B8F-5DF8-2FD3-531A3FADE3A0}"/>
              </a:ext>
            </a:extLst>
          </xdr:cNvPr>
          <xdr:cNvSpPr/>
        </xdr:nvSpPr>
        <xdr:spPr>
          <a:xfrm>
            <a:off x="11306107323" y="10724399"/>
            <a:ext cx="3318710" cy="661737"/>
          </a:xfrm>
          <a:prstGeom prst="pentagon">
            <a:avLst/>
          </a:prstGeom>
        </xdr:spPr>
        <xdr:style>
          <a:lnRef idx="3">
            <a:schemeClr val="lt1"/>
          </a:lnRef>
          <a:fillRef idx="1">
            <a:schemeClr val="accent3"/>
          </a:fillRef>
          <a:effectRef idx="1">
            <a:schemeClr val="accent3"/>
          </a:effectRef>
          <a:fontRef idx="minor">
            <a:schemeClr val="lt1"/>
          </a:fontRef>
        </xdr:style>
        <xdr:txBody>
          <a:bodyPr vertOverflow="clip" horzOverflow="clip" rtlCol="1" anchor="ctr"/>
          <a:lstStyle/>
          <a:p>
            <a:pPr algn="ctr" rtl="1"/>
            <a:r>
              <a:rPr lang="ar-SA" sz="1200" b="1"/>
              <a:t>تم تغيير كلمة المرور بنجاح ويمكن تسجيل الدخول الخطوة</a:t>
            </a:r>
            <a:r>
              <a:rPr lang="ar-SA" sz="1200" b="1" baseline="0"/>
              <a:t> رقم 1</a:t>
            </a:r>
            <a:endParaRPr lang="ar-SA" sz="1200" b="1"/>
          </a:p>
        </xdr:txBody>
      </xdr:sp>
    </xdr:grpSp>
    <xdr:clientData/>
  </xdr:twoCellAnchor>
  <xdr:twoCellAnchor>
    <xdr:from>
      <xdr:col>12</xdr:col>
      <xdr:colOff>83344</xdr:colOff>
      <xdr:row>41</xdr:row>
      <xdr:rowOff>95249</xdr:rowOff>
    </xdr:from>
    <xdr:to>
      <xdr:col>12</xdr:col>
      <xdr:colOff>3821906</xdr:colOff>
      <xdr:row>58</xdr:row>
      <xdr:rowOff>107155</xdr:rowOff>
    </xdr:to>
    <xdr:sp macro="" textlink="">
      <xdr:nvSpPr>
        <xdr:cNvPr id="7" name="Cloud 6">
          <a:extLst>
            <a:ext uri="{FF2B5EF4-FFF2-40B4-BE49-F238E27FC236}">
              <a16:creationId xmlns:a16="http://schemas.microsoft.com/office/drawing/2014/main" id="{F2B079FC-5C5A-3BFE-CF0C-7C3450CEBC07}"/>
            </a:ext>
          </a:extLst>
        </xdr:cNvPr>
        <xdr:cNvSpPr/>
      </xdr:nvSpPr>
      <xdr:spPr>
        <a:xfrm>
          <a:off x="11305234406" y="16609218"/>
          <a:ext cx="3738562" cy="4714875"/>
        </a:xfrm>
        <a:prstGeom prst="cloud">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600" b="1">
              <a:solidFill>
                <a:srgbClr val="C00000"/>
              </a:solidFill>
            </a:rPr>
            <a:t>ادخال بيانات المشترك الالزامية والاختيارية </a:t>
          </a:r>
          <a:endParaRPr lang="ar-SA" sz="1200" b="1">
            <a:solidFill>
              <a:srgbClr val="C00000"/>
            </a:solidFill>
          </a:endParaRPr>
        </a:p>
      </xdr:txBody>
    </xdr:sp>
    <xdr:clientData/>
  </xdr:twoCellAnchor>
  <xdr:twoCellAnchor>
    <xdr:from>
      <xdr:col>12</xdr:col>
      <xdr:colOff>392907</xdr:colOff>
      <xdr:row>7</xdr:row>
      <xdr:rowOff>2488406</xdr:rowOff>
    </xdr:from>
    <xdr:to>
      <xdr:col>12</xdr:col>
      <xdr:colOff>3149554</xdr:colOff>
      <xdr:row>7</xdr:row>
      <xdr:rowOff>2824583</xdr:rowOff>
    </xdr:to>
    <xdr:sp macro="" textlink="">
      <xdr:nvSpPr>
        <xdr:cNvPr id="15" name="Frame 14">
          <a:extLst>
            <a:ext uri="{FF2B5EF4-FFF2-40B4-BE49-F238E27FC236}">
              <a16:creationId xmlns:a16="http://schemas.microsoft.com/office/drawing/2014/main" id="{F53C9054-92E3-4DB8-A9FF-F5214CBB0E43}"/>
            </a:ext>
          </a:extLst>
        </xdr:cNvPr>
        <xdr:cNvSpPr/>
      </xdr:nvSpPr>
      <xdr:spPr>
        <a:xfrm>
          <a:off x="11306597321" y="4238625"/>
          <a:ext cx="2756647" cy="336177"/>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النظام يرسل رمز تحقق </a:t>
          </a:r>
          <a:r>
            <a:rPr lang="en-US" sz="1200" b="1">
              <a:solidFill>
                <a:schemeClr val="tx1"/>
              </a:solidFill>
            </a:rPr>
            <a:t>OTP </a:t>
          </a:r>
          <a:r>
            <a:rPr lang="ar-SA" sz="1200" b="1">
              <a:solidFill>
                <a:schemeClr val="tx1"/>
              </a:solidFill>
            </a:rPr>
            <a:t>لرقم الجوال الادمن</a:t>
          </a:r>
        </a:p>
      </xdr:txBody>
    </xdr:sp>
    <xdr:clientData/>
  </xdr:twoCellAnchor>
  <xdr:twoCellAnchor>
    <xdr:from>
      <xdr:col>12</xdr:col>
      <xdr:colOff>0</xdr:colOff>
      <xdr:row>6</xdr:row>
      <xdr:rowOff>154782</xdr:rowOff>
    </xdr:from>
    <xdr:to>
      <xdr:col>13</xdr:col>
      <xdr:colOff>366293</xdr:colOff>
      <xdr:row>6</xdr:row>
      <xdr:rowOff>200501</xdr:rowOff>
    </xdr:to>
    <xdr:sp macro="" textlink="">
      <xdr:nvSpPr>
        <xdr:cNvPr id="16" name="Minus Sign 15">
          <a:extLst>
            <a:ext uri="{FF2B5EF4-FFF2-40B4-BE49-F238E27FC236}">
              <a16:creationId xmlns:a16="http://schemas.microsoft.com/office/drawing/2014/main" id="{2BD5CFFA-0D5C-4D3C-9A05-54AFA9D885BA}"/>
            </a:ext>
          </a:extLst>
        </xdr:cNvPr>
        <xdr:cNvSpPr/>
      </xdr:nvSpPr>
      <xdr:spPr>
        <a:xfrm>
          <a:off x="11305522957" y="1702595"/>
          <a:ext cx="4223918" cy="45719"/>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12</xdr:col>
      <xdr:colOff>1940719</xdr:colOff>
      <xdr:row>6</xdr:row>
      <xdr:rowOff>47625</xdr:rowOff>
    </xdr:from>
    <xdr:to>
      <xdr:col>12</xdr:col>
      <xdr:colOff>1942596</xdr:colOff>
      <xdr:row>7</xdr:row>
      <xdr:rowOff>124076</xdr:rowOff>
    </xdr:to>
    <xdr:cxnSp macro="">
      <xdr:nvCxnSpPr>
        <xdr:cNvPr id="17" name="Straight Arrow Connector 16">
          <a:extLst>
            <a:ext uri="{FF2B5EF4-FFF2-40B4-BE49-F238E27FC236}">
              <a16:creationId xmlns:a16="http://schemas.microsoft.com/office/drawing/2014/main" id="{F682350D-5FE9-427C-AF79-BC038216A920}"/>
            </a:ext>
          </a:extLst>
        </xdr:cNvPr>
        <xdr:cNvCxnSpPr/>
      </xdr:nvCxnSpPr>
      <xdr:spPr>
        <a:xfrm flipH="1">
          <a:off x="11307804279" y="1595438"/>
          <a:ext cx="1877" cy="2788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1654968</xdr:colOff>
      <xdr:row>7</xdr:row>
      <xdr:rowOff>488157</xdr:rowOff>
    </xdr:from>
    <xdr:to>
      <xdr:col>12</xdr:col>
      <xdr:colOff>2012156</xdr:colOff>
      <xdr:row>7</xdr:row>
      <xdr:rowOff>750093</xdr:rowOff>
    </xdr:to>
    <xdr:cxnSp macro="">
      <xdr:nvCxnSpPr>
        <xdr:cNvPr id="18" name="Straight Arrow Connector 17">
          <a:extLst>
            <a:ext uri="{FF2B5EF4-FFF2-40B4-BE49-F238E27FC236}">
              <a16:creationId xmlns:a16="http://schemas.microsoft.com/office/drawing/2014/main" id="{E0F36D97-77B6-4BD7-B6F7-E0BD865553DA}"/>
            </a:ext>
          </a:extLst>
        </xdr:cNvPr>
        <xdr:cNvCxnSpPr/>
      </xdr:nvCxnSpPr>
      <xdr:spPr>
        <a:xfrm flipH="1">
          <a:off x="11307734719" y="2238376"/>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1262062</xdr:colOff>
      <xdr:row>7</xdr:row>
      <xdr:rowOff>500062</xdr:rowOff>
    </xdr:from>
    <xdr:to>
      <xdr:col>12</xdr:col>
      <xdr:colOff>1607343</xdr:colOff>
      <xdr:row>7</xdr:row>
      <xdr:rowOff>773905</xdr:rowOff>
    </xdr:to>
    <xdr:cxnSp macro="">
      <xdr:nvCxnSpPr>
        <xdr:cNvPr id="19" name="Straight Arrow Connector 18">
          <a:extLst>
            <a:ext uri="{FF2B5EF4-FFF2-40B4-BE49-F238E27FC236}">
              <a16:creationId xmlns:a16="http://schemas.microsoft.com/office/drawing/2014/main" id="{CB7250CD-01C3-4C5B-B31B-B92FB9103DB7}"/>
            </a:ext>
          </a:extLst>
        </xdr:cNvPr>
        <xdr:cNvCxnSpPr/>
      </xdr:nvCxnSpPr>
      <xdr:spPr>
        <a:xfrm>
          <a:off x="11308139532" y="2250281"/>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964407</xdr:colOff>
      <xdr:row>7</xdr:row>
      <xdr:rowOff>1202532</xdr:rowOff>
    </xdr:from>
    <xdr:to>
      <xdr:col>12</xdr:col>
      <xdr:colOff>1321595</xdr:colOff>
      <xdr:row>7</xdr:row>
      <xdr:rowOff>1464468</xdr:rowOff>
    </xdr:to>
    <xdr:cxnSp macro="">
      <xdr:nvCxnSpPr>
        <xdr:cNvPr id="20" name="Straight Arrow Connector 19">
          <a:extLst>
            <a:ext uri="{FF2B5EF4-FFF2-40B4-BE49-F238E27FC236}">
              <a16:creationId xmlns:a16="http://schemas.microsoft.com/office/drawing/2014/main" id="{6E5F56FB-BCB9-48CB-9A04-3380D9224434}"/>
            </a:ext>
          </a:extLst>
        </xdr:cNvPr>
        <xdr:cNvCxnSpPr/>
      </xdr:nvCxnSpPr>
      <xdr:spPr>
        <a:xfrm flipH="1">
          <a:off x="11308425280" y="2952751"/>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1856748</xdr:colOff>
      <xdr:row>7</xdr:row>
      <xdr:rowOff>2727157</xdr:rowOff>
    </xdr:from>
    <xdr:to>
      <xdr:col>12</xdr:col>
      <xdr:colOff>1858625</xdr:colOff>
      <xdr:row>7</xdr:row>
      <xdr:rowOff>3006014</xdr:rowOff>
    </xdr:to>
    <xdr:cxnSp macro="">
      <xdr:nvCxnSpPr>
        <xdr:cNvPr id="21" name="Straight Arrow Connector 20">
          <a:extLst>
            <a:ext uri="{FF2B5EF4-FFF2-40B4-BE49-F238E27FC236}">
              <a16:creationId xmlns:a16="http://schemas.microsoft.com/office/drawing/2014/main" id="{9CC16758-05BC-487B-971F-0EC9FA3CD364}"/>
            </a:ext>
          </a:extLst>
        </xdr:cNvPr>
        <xdr:cNvCxnSpPr/>
      </xdr:nvCxnSpPr>
      <xdr:spPr>
        <a:xfrm flipH="1">
          <a:off x="11307888250" y="4477376"/>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12</xdr:col>
      <xdr:colOff>1846719</xdr:colOff>
      <xdr:row>7</xdr:row>
      <xdr:rowOff>2250907</xdr:rowOff>
    </xdr:from>
    <xdr:to>
      <xdr:col>12</xdr:col>
      <xdr:colOff>1848596</xdr:colOff>
      <xdr:row>7</xdr:row>
      <xdr:rowOff>2529764</xdr:rowOff>
    </xdr:to>
    <xdr:cxnSp macro="">
      <xdr:nvCxnSpPr>
        <xdr:cNvPr id="22" name="Straight Arrow Connector 21">
          <a:extLst>
            <a:ext uri="{FF2B5EF4-FFF2-40B4-BE49-F238E27FC236}">
              <a16:creationId xmlns:a16="http://schemas.microsoft.com/office/drawing/2014/main" id="{9B9E37F9-E048-4B5E-99BA-E551E1066187}"/>
            </a:ext>
          </a:extLst>
        </xdr:cNvPr>
        <xdr:cNvCxnSpPr/>
      </xdr:nvCxnSpPr>
      <xdr:spPr>
        <a:xfrm flipH="1">
          <a:off x="11307898279" y="4001126"/>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12</xdr:col>
      <xdr:colOff>1872408</xdr:colOff>
      <xdr:row>7</xdr:row>
      <xdr:rowOff>1727036</xdr:rowOff>
    </xdr:from>
    <xdr:to>
      <xdr:col>12</xdr:col>
      <xdr:colOff>1874285</xdr:colOff>
      <xdr:row>7</xdr:row>
      <xdr:rowOff>2005893</xdr:rowOff>
    </xdr:to>
    <xdr:cxnSp macro="">
      <xdr:nvCxnSpPr>
        <xdr:cNvPr id="23" name="Straight Arrow Connector 22">
          <a:extLst>
            <a:ext uri="{FF2B5EF4-FFF2-40B4-BE49-F238E27FC236}">
              <a16:creationId xmlns:a16="http://schemas.microsoft.com/office/drawing/2014/main" id="{80402BA4-D6AD-4E0D-A2E9-1774482E041C}"/>
            </a:ext>
          </a:extLst>
        </xdr:cNvPr>
        <xdr:cNvCxnSpPr/>
      </xdr:nvCxnSpPr>
      <xdr:spPr>
        <a:xfrm flipH="1">
          <a:off x="11307872590" y="3477255"/>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12</xdr:col>
      <xdr:colOff>1166812</xdr:colOff>
      <xdr:row>7</xdr:row>
      <xdr:rowOff>3381375</xdr:rowOff>
    </xdr:from>
    <xdr:to>
      <xdr:col>12</xdr:col>
      <xdr:colOff>1512093</xdr:colOff>
      <xdr:row>7</xdr:row>
      <xdr:rowOff>3655218</xdr:rowOff>
    </xdr:to>
    <xdr:cxnSp macro="">
      <xdr:nvCxnSpPr>
        <xdr:cNvPr id="25" name="Straight Arrow Connector 24">
          <a:extLst>
            <a:ext uri="{FF2B5EF4-FFF2-40B4-BE49-F238E27FC236}">
              <a16:creationId xmlns:a16="http://schemas.microsoft.com/office/drawing/2014/main" id="{AA0809CD-77B5-436D-BAF2-DD933BE295F8}"/>
            </a:ext>
          </a:extLst>
        </xdr:cNvPr>
        <xdr:cNvCxnSpPr/>
      </xdr:nvCxnSpPr>
      <xdr:spPr>
        <a:xfrm>
          <a:off x="11308234782" y="5131594"/>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2250280</xdr:colOff>
      <xdr:row>7</xdr:row>
      <xdr:rowOff>3381377</xdr:rowOff>
    </xdr:from>
    <xdr:to>
      <xdr:col>12</xdr:col>
      <xdr:colOff>2607468</xdr:colOff>
      <xdr:row>7</xdr:row>
      <xdr:rowOff>3643313</xdr:rowOff>
    </xdr:to>
    <xdr:cxnSp macro="">
      <xdr:nvCxnSpPr>
        <xdr:cNvPr id="26" name="Straight Arrow Connector 25">
          <a:extLst>
            <a:ext uri="{FF2B5EF4-FFF2-40B4-BE49-F238E27FC236}">
              <a16:creationId xmlns:a16="http://schemas.microsoft.com/office/drawing/2014/main" id="{3381D933-2193-48DF-AF56-7BFF236D6BC6}"/>
            </a:ext>
          </a:extLst>
        </xdr:cNvPr>
        <xdr:cNvCxnSpPr/>
      </xdr:nvCxnSpPr>
      <xdr:spPr>
        <a:xfrm flipH="1">
          <a:off x="11307139407" y="5131596"/>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1797844</xdr:colOff>
      <xdr:row>7</xdr:row>
      <xdr:rowOff>3619500</xdr:rowOff>
    </xdr:from>
    <xdr:to>
      <xdr:col>12</xdr:col>
      <xdr:colOff>2095500</xdr:colOff>
      <xdr:row>7</xdr:row>
      <xdr:rowOff>3940969</xdr:rowOff>
    </xdr:to>
    <xdr:sp macro="" textlink="">
      <xdr:nvSpPr>
        <xdr:cNvPr id="27" name="Arrow: Bent 26">
          <a:extLst>
            <a:ext uri="{FF2B5EF4-FFF2-40B4-BE49-F238E27FC236}">
              <a16:creationId xmlns:a16="http://schemas.microsoft.com/office/drawing/2014/main" id="{DBFCC77A-9EB6-4A9C-AFEF-FCF7D6D19647}"/>
            </a:ext>
          </a:extLst>
        </xdr:cNvPr>
        <xdr:cNvSpPr/>
      </xdr:nvSpPr>
      <xdr:spPr>
        <a:xfrm flipH="1">
          <a:off x="11307651375" y="5369719"/>
          <a:ext cx="297656" cy="321469"/>
        </a:xfrm>
        <a:prstGeom prst="bentArrow">
          <a:avLst>
            <a:gd name="adj1" fmla="val 25000"/>
            <a:gd name="adj2" fmla="val 25000"/>
            <a:gd name="adj3" fmla="val 50000"/>
            <a:gd name="adj4" fmla="val 4375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solidFill>
              <a:schemeClr val="tx1"/>
            </a:solidFill>
          </a:endParaRPr>
        </a:p>
      </xdr:txBody>
    </xdr:sp>
    <xdr:clientData/>
  </xdr:twoCellAnchor>
  <xdr:twoCellAnchor>
    <xdr:from>
      <xdr:col>12</xdr:col>
      <xdr:colOff>2405063</xdr:colOff>
      <xdr:row>7</xdr:row>
      <xdr:rowOff>4179094</xdr:rowOff>
    </xdr:from>
    <xdr:to>
      <xdr:col>12</xdr:col>
      <xdr:colOff>2750344</xdr:colOff>
      <xdr:row>7</xdr:row>
      <xdr:rowOff>4452937</xdr:rowOff>
    </xdr:to>
    <xdr:cxnSp macro="">
      <xdr:nvCxnSpPr>
        <xdr:cNvPr id="28" name="Straight Arrow Connector 27">
          <a:extLst>
            <a:ext uri="{FF2B5EF4-FFF2-40B4-BE49-F238E27FC236}">
              <a16:creationId xmlns:a16="http://schemas.microsoft.com/office/drawing/2014/main" id="{523DAC6A-5890-4DA3-9EB8-344FD663DBD5}"/>
            </a:ext>
          </a:extLst>
        </xdr:cNvPr>
        <xdr:cNvCxnSpPr/>
      </xdr:nvCxnSpPr>
      <xdr:spPr>
        <a:xfrm>
          <a:off x="11306996531" y="5929313"/>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678657</xdr:colOff>
      <xdr:row>23</xdr:row>
      <xdr:rowOff>95249</xdr:rowOff>
    </xdr:from>
    <xdr:to>
      <xdr:col>12</xdr:col>
      <xdr:colOff>3811701</xdr:colOff>
      <xdr:row>38</xdr:row>
      <xdr:rowOff>42919</xdr:rowOff>
    </xdr:to>
    <xdr:grpSp>
      <xdr:nvGrpSpPr>
        <xdr:cNvPr id="29" name="Group 28">
          <a:extLst>
            <a:ext uri="{FF2B5EF4-FFF2-40B4-BE49-F238E27FC236}">
              <a16:creationId xmlns:a16="http://schemas.microsoft.com/office/drawing/2014/main" id="{B300680B-135C-4838-AC39-9E4CA656B893}"/>
            </a:ext>
          </a:extLst>
        </xdr:cNvPr>
        <xdr:cNvGrpSpPr/>
      </xdr:nvGrpSpPr>
      <xdr:grpSpPr>
        <a:xfrm>
          <a:off x="11305244611" y="11037093"/>
          <a:ext cx="3823607" cy="4686357"/>
          <a:chOff x="11305232705" y="24424825"/>
          <a:chExt cx="3823607" cy="4862850"/>
        </a:xfrm>
      </xdr:grpSpPr>
      <xdr:sp macro="" textlink="">
        <xdr:nvSpPr>
          <xdr:cNvPr id="30" name="Rectangle: Top Corners Snipped 29">
            <a:extLst>
              <a:ext uri="{FF2B5EF4-FFF2-40B4-BE49-F238E27FC236}">
                <a16:creationId xmlns:a16="http://schemas.microsoft.com/office/drawing/2014/main" id="{5F548D0F-57D2-47B8-4826-A40ED3E2896A}"/>
              </a:ext>
            </a:extLst>
          </xdr:cNvPr>
          <xdr:cNvSpPr/>
        </xdr:nvSpPr>
        <xdr:spPr>
          <a:xfrm>
            <a:off x="11305436812" y="24424825"/>
            <a:ext cx="3321844" cy="309563"/>
          </a:xfrm>
          <a:prstGeom prst="snip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1" anchor="ctr"/>
          <a:lstStyle/>
          <a:p>
            <a:pPr algn="ctr" rtl="1"/>
            <a:r>
              <a:rPr lang="ar-SA" sz="1200"/>
              <a:t>الادمن او صاحب الصلاحية</a:t>
            </a:r>
            <a:r>
              <a:rPr lang="ar-SA" sz="1200" baseline="0"/>
              <a:t> من الملاك يختار اضافة عقد ارتباط</a:t>
            </a:r>
            <a:endParaRPr lang="ar-SA" sz="1200"/>
          </a:p>
        </xdr:txBody>
      </xdr:sp>
      <xdr:sp macro="" textlink="">
        <xdr:nvSpPr>
          <xdr:cNvPr id="31" name="Plaque 30">
            <a:extLst>
              <a:ext uri="{FF2B5EF4-FFF2-40B4-BE49-F238E27FC236}">
                <a16:creationId xmlns:a16="http://schemas.microsoft.com/office/drawing/2014/main" id="{90772312-2680-712C-AC05-0C32283F34C5}"/>
              </a:ext>
            </a:extLst>
          </xdr:cNvPr>
          <xdr:cNvSpPr/>
        </xdr:nvSpPr>
        <xdr:spPr>
          <a:xfrm>
            <a:off x="11305446122" y="24895969"/>
            <a:ext cx="3378868" cy="320842"/>
          </a:xfrm>
          <a:prstGeom prst="plaque">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900" b="1"/>
              <a:t>النظام</a:t>
            </a:r>
            <a:r>
              <a:rPr lang="ar-SA" sz="900" b="1" baseline="0"/>
              <a:t> يتحقق من عدم تسجيل المشترك من قبل بموجب التحقق من رقم الترخيص</a:t>
            </a:r>
            <a:endParaRPr lang="ar-SA" sz="900" b="1"/>
          </a:p>
        </xdr:txBody>
      </xdr:sp>
      <xdr:sp macro="" textlink="">
        <xdr:nvSpPr>
          <xdr:cNvPr id="32" name="Flowchart: Multidocument 31">
            <a:extLst>
              <a:ext uri="{FF2B5EF4-FFF2-40B4-BE49-F238E27FC236}">
                <a16:creationId xmlns:a16="http://schemas.microsoft.com/office/drawing/2014/main" id="{1D797C84-0080-45B4-FEE0-D8EEB29E9A37}"/>
              </a:ext>
            </a:extLst>
          </xdr:cNvPr>
          <xdr:cNvSpPr/>
        </xdr:nvSpPr>
        <xdr:spPr>
          <a:xfrm>
            <a:off x="11307571702" y="25362013"/>
            <a:ext cx="1443789" cy="830035"/>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لا يوجد بيانات فى النظام </a:t>
            </a:r>
          </a:p>
        </xdr:txBody>
      </xdr:sp>
      <xdr:sp macro="" textlink="">
        <xdr:nvSpPr>
          <xdr:cNvPr id="33" name="Flowchart: Multidocument 32">
            <a:extLst>
              <a:ext uri="{FF2B5EF4-FFF2-40B4-BE49-F238E27FC236}">
                <a16:creationId xmlns:a16="http://schemas.microsoft.com/office/drawing/2014/main" id="{5E1BE41B-F7B5-BAAB-1BC4-E580A01A7C16}"/>
              </a:ext>
            </a:extLst>
          </xdr:cNvPr>
          <xdr:cNvSpPr/>
        </xdr:nvSpPr>
        <xdr:spPr>
          <a:xfrm>
            <a:off x="11305370066" y="25391948"/>
            <a:ext cx="1443789" cy="830035"/>
          </a:xfrm>
          <a:prstGeom prst="flowChartMultidocument">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  يوجد بيانات فى النظام </a:t>
            </a:r>
          </a:p>
        </xdr:txBody>
      </xdr:sp>
      <xdr:sp macro="" textlink="">
        <xdr:nvSpPr>
          <xdr:cNvPr id="34" name="Flowchart: Multidocument 33">
            <a:extLst>
              <a:ext uri="{FF2B5EF4-FFF2-40B4-BE49-F238E27FC236}">
                <a16:creationId xmlns:a16="http://schemas.microsoft.com/office/drawing/2014/main" id="{5028BF70-D55A-2E65-FC3B-7297EE775A6C}"/>
              </a:ext>
            </a:extLst>
          </xdr:cNvPr>
          <xdr:cNvSpPr/>
        </xdr:nvSpPr>
        <xdr:spPr>
          <a:xfrm>
            <a:off x="11307612523" y="26574752"/>
            <a:ext cx="1443789" cy="816427"/>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يتم فتح نافذة بيانات المشترك للتسجيل</a:t>
            </a:r>
          </a:p>
        </xdr:txBody>
      </xdr:sp>
      <xdr:sp macro="" textlink="">
        <xdr:nvSpPr>
          <xdr:cNvPr id="35" name="Flowchart: Internal Storage 34">
            <a:extLst>
              <a:ext uri="{FF2B5EF4-FFF2-40B4-BE49-F238E27FC236}">
                <a16:creationId xmlns:a16="http://schemas.microsoft.com/office/drawing/2014/main" id="{67B8673F-F080-A4E9-4A8F-5E2945A0C6E0}"/>
              </a:ext>
            </a:extLst>
          </xdr:cNvPr>
          <xdr:cNvSpPr/>
        </xdr:nvSpPr>
        <xdr:spPr>
          <a:xfrm>
            <a:off x="11305232705" y="26601965"/>
            <a:ext cx="894670" cy="2685710"/>
          </a:xfrm>
          <a:prstGeom prst="flowChartInternalStorag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1" anchor="t"/>
          <a:lstStyle/>
          <a:p>
            <a:pPr algn="r" rtl="1"/>
            <a:r>
              <a:rPr lang="ar-SA" sz="1200" b="1"/>
              <a:t>المشترك</a:t>
            </a:r>
            <a:r>
              <a:rPr lang="ar-SA" sz="1200" b="1" baseline="0"/>
              <a:t> مسجل ولدية </a:t>
            </a:r>
            <a:r>
              <a:rPr lang="en-GB" sz="1200" b="1" baseline="0"/>
              <a:t>URL</a:t>
            </a:r>
            <a:r>
              <a:rPr lang="ar-SA" sz="1200" b="1" baseline="0"/>
              <a:t> خاص بة </a:t>
            </a:r>
          </a:p>
          <a:p>
            <a:pPr algn="r" rtl="1"/>
            <a:r>
              <a:rPr lang="ar-SA" sz="1200" b="1" baseline="0"/>
              <a:t>هنا لا يتم تسجيل بياناتة مرة اخري </a:t>
            </a:r>
            <a:endParaRPr lang="ar-SA" sz="1200" b="1"/>
          </a:p>
        </xdr:txBody>
      </xdr:sp>
      <xdr:sp macro="" textlink="">
        <xdr:nvSpPr>
          <xdr:cNvPr id="36" name="Speech Bubble: Rectangle with Corners Rounded 35">
            <a:extLst>
              <a:ext uri="{FF2B5EF4-FFF2-40B4-BE49-F238E27FC236}">
                <a16:creationId xmlns:a16="http://schemas.microsoft.com/office/drawing/2014/main" id="{732AD859-C68F-B165-94E8-6EEF63E28C5B}"/>
              </a:ext>
            </a:extLst>
          </xdr:cNvPr>
          <xdr:cNvSpPr/>
        </xdr:nvSpPr>
        <xdr:spPr>
          <a:xfrm>
            <a:off x="11306294062" y="26588357"/>
            <a:ext cx="1012031" cy="2063184"/>
          </a:xfrm>
          <a:prstGeom prst="wedgeRoundRectCallout">
            <a:avLst>
              <a:gd name="adj1" fmla="val -29068"/>
              <a:gd name="adj2" fmla="val 123412"/>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ar-SA" sz="1400" b="1"/>
              <a:t>المشترك موجود لة بيانات ولم يتم اصدار </a:t>
            </a:r>
            <a:r>
              <a:rPr lang="en-GB" sz="1400" b="1"/>
              <a:t>URL</a:t>
            </a:r>
            <a:r>
              <a:rPr lang="ar-SA" sz="1400" b="1"/>
              <a:t> الخاص بة</a:t>
            </a:r>
            <a:r>
              <a:rPr lang="ar-SA" sz="1400" b="1" baseline="0"/>
              <a:t> </a:t>
            </a:r>
            <a:endParaRPr lang="ar-SA" sz="1400" b="1"/>
          </a:p>
        </xdr:txBody>
      </xdr:sp>
      <xdr:sp macro="" textlink="">
        <xdr:nvSpPr>
          <xdr:cNvPr id="37" name="Arrow: Down 36">
            <a:extLst>
              <a:ext uri="{FF2B5EF4-FFF2-40B4-BE49-F238E27FC236}">
                <a16:creationId xmlns:a16="http://schemas.microsoft.com/office/drawing/2014/main" id="{ED29CCC3-E5E1-9736-CEDF-2AD301D66BA7}"/>
              </a:ext>
            </a:extLst>
          </xdr:cNvPr>
          <xdr:cNvSpPr/>
        </xdr:nvSpPr>
        <xdr:spPr>
          <a:xfrm>
            <a:off x="11308035776" y="26246478"/>
            <a:ext cx="122464" cy="250031"/>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38" name="Arrow: Down 37">
            <a:extLst>
              <a:ext uri="{FF2B5EF4-FFF2-40B4-BE49-F238E27FC236}">
                <a16:creationId xmlns:a16="http://schemas.microsoft.com/office/drawing/2014/main" id="{21D65267-AA42-F35E-B422-309E384F15E4}"/>
              </a:ext>
            </a:extLst>
          </xdr:cNvPr>
          <xdr:cNvSpPr/>
        </xdr:nvSpPr>
        <xdr:spPr>
          <a:xfrm>
            <a:off x="11306139281" y="26178442"/>
            <a:ext cx="122464" cy="627628"/>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39" name="Arrow: Left-Right 38">
            <a:extLst>
              <a:ext uri="{FF2B5EF4-FFF2-40B4-BE49-F238E27FC236}">
                <a16:creationId xmlns:a16="http://schemas.microsoft.com/office/drawing/2014/main" id="{58FE705E-DE08-B8F4-410E-9BE3E564EA4D}"/>
              </a:ext>
            </a:extLst>
          </xdr:cNvPr>
          <xdr:cNvSpPr/>
        </xdr:nvSpPr>
        <xdr:spPr>
          <a:xfrm>
            <a:off x="11306035526" y="26874106"/>
            <a:ext cx="331688" cy="333377"/>
          </a:xfrm>
          <a:prstGeom prst="lef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12</xdr:col>
      <xdr:colOff>916781</xdr:colOff>
      <xdr:row>31</xdr:row>
      <xdr:rowOff>202405</xdr:rowOff>
    </xdr:from>
    <xdr:to>
      <xdr:col>12</xdr:col>
      <xdr:colOff>1178718</xdr:colOff>
      <xdr:row>41</xdr:row>
      <xdr:rowOff>107154</xdr:rowOff>
    </xdr:to>
    <xdr:sp macro="" textlink="">
      <xdr:nvSpPr>
        <xdr:cNvPr id="41" name="Arrow: Down 40">
          <a:extLst>
            <a:ext uri="{FF2B5EF4-FFF2-40B4-BE49-F238E27FC236}">
              <a16:creationId xmlns:a16="http://schemas.microsoft.com/office/drawing/2014/main" id="{2986B308-9FD6-40F8-8E82-A495849F14FB}"/>
            </a:ext>
          </a:extLst>
        </xdr:cNvPr>
        <xdr:cNvSpPr/>
      </xdr:nvSpPr>
      <xdr:spPr>
        <a:xfrm>
          <a:off x="11307877594" y="13811249"/>
          <a:ext cx="261937" cy="2476499"/>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12</xdr:col>
      <xdr:colOff>1797843</xdr:colOff>
      <xdr:row>25</xdr:row>
      <xdr:rowOff>11907</xdr:rowOff>
    </xdr:from>
    <xdr:to>
      <xdr:col>12</xdr:col>
      <xdr:colOff>2155031</xdr:colOff>
      <xdr:row>25</xdr:row>
      <xdr:rowOff>273843</xdr:rowOff>
    </xdr:to>
    <xdr:cxnSp macro="">
      <xdr:nvCxnSpPr>
        <xdr:cNvPr id="6" name="Straight Arrow Connector 5">
          <a:extLst>
            <a:ext uri="{FF2B5EF4-FFF2-40B4-BE49-F238E27FC236}">
              <a16:creationId xmlns:a16="http://schemas.microsoft.com/office/drawing/2014/main" id="{BDBF0C97-9848-4E86-900C-3280F2D74212}"/>
            </a:ext>
          </a:extLst>
        </xdr:cNvPr>
        <xdr:cNvCxnSpPr/>
      </xdr:nvCxnSpPr>
      <xdr:spPr>
        <a:xfrm flipH="1">
          <a:off x="11306901281" y="11715751"/>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1404937</xdr:colOff>
      <xdr:row>25</xdr:row>
      <xdr:rowOff>23812</xdr:rowOff>
    </xdr:from>
    <xdr:to>
      <xdr:col>12</xdr:col>
      <xdr:colOff>1750218</xdr:colOff>
      <xdr:row>25</xdr:row>
      <xdr:rowOff>297655</xdr:rowOff>
    </xdr:to>
    <xdr:cxnSp macro="">
      <xdr:nvCxnSpPr>
        <xdr:cNvPr id="24" name="Straight Arrow Connector 23">
          <a:extLst>
            <a:ext uri="{FF2B5EF4-FFF2-40B4-BE49-F238E27FC236}">
              <a16:creationId xmlns:a16="http://schemas.microsoft.com/office/drawing/2014/main" id="{EFE80D0C-2B7B-485F-BEBA-E502C4EC8844}"/>
            </a:ext>
          </a:extLst>
        </xdr:cNvPr>
        <xdr:cNvCxnSpPr/>
      </xdr:nvCxnSpPr>
      <xdr:spPr>
        <a:xfrm>
          <a:off x="11307306094" y="11727656"/>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1893094</xdr:colOff>
      <xdr:row>23</xdr:row>
      <xdr:rowOff>333374</xdr:rowOff>
    </xdr:from>
    <xdr:to>
      <xdr:col>12</xdr:col>
      <xdr:colOff>1894971</xdr:colOff>
      <xdr:row>24</xdr:row>
      <xdr:rowOff>231231</xdr:rowOff>
    </xdr:to>
    <xdr:cxnSp macro="">
      <xdr:nvCxnSpPr>
        <xdr:cNvPr id="42" name="Straight Arrow Connector 41">
          <a:extLst>
            <a:ext uri="{FF2B5EF4-FFF2-40B4-BE49-F238E27FC236}">
              <a16:creationId xmlns:a16="http://schemas.microsoft.com/office/drawing/2014/main" id="{CE538E44-30DE-46D5-BDD8-BD73CB4ACAA7}"/>
            </a:ext>
          </a:extLst>
        </xdr:cNvPr>
        <xdr:cNvCxnSpPr/>
      </xdr:nvCxnSpPr>
      <xdr:spPr>
        <a:xfrm flipH="1">
          <a:off x="11307161341" y="11275218"/>
          <a:ext cx="1877" cy="2788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40111</xdr:colOff>
      <xdr:row>4</xdr:row>
      <xdr:rowOff>90237</xdr:rowOff>
    </xdr:from>
    <xdr:to>
      <xdr:col>19</xdr:col>
      <xdr:colOff>3789948</xdr:colOff>
      <xdr:row>6</xdr:row>
      <xdr:rowOff>90237</xdr:rowOff>
    </xdr:to>
    <xdr:sp macro="" textlink="">
      <xdr:nvSpPr>
        <xdr:cNvPr id="2" name="Oval 1">
          <a:extLst>
            <a:ext uri="{FF2B5EF4-FFF2-40B4-BE49-F238E27FC236}">
              <a16:creationId xmlns:a16="http://schemas.microsoft.com/office/drawing/2014/main" id="{235BC26B-C216-411F-BC8E-5A9871583041}"/>
            </a:ext>
          </a:extLst>
        </xdr:cNvPr>
        <xdr:cNvSpPr/>
      </xdr:nvSpPr>
      <xdr:spPr>
        <a:xfrm>
          <a:off x="11227985277" y="1223712"/>
          <a:ext cx="3749837" cy="4000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 البريد</a:t>
          </a:r>
          <a:r>
            <a:rPr lang="ar-SA" sz="1200" b="1" baseline="0"/>
            <a:t> الالكتروني وكلمة المرور</a:t>
          </a:r>
          <a:endParaRPr lang="ar-SA" sz="1200" b="1"/>
        </a:p>
      </xdr:txBody>
    </xdr:sp>
    <xdr:clientData/>
  </xdr:twoCellAnchor>
  <xdr:twoCellAnchor>
    <xdr:from>
      <xdr:col>19</xdr:col>
      <xdr:colOff>260685</xdr:colOff>
      <xdr:row>7</xdr:row>
      <xdr:rowOff>60158</xdr:rowOff>
    </xdr:from>
    <xdr:to>
      <xdr:col>19</xdr:col>
      <xdr:colOff>3639553</xdr:colOff>
      <xdr:row>7</xdr:row>
      <xdr:rowOff>381000</xdr:rowOff>
    </xdr:to>
    <xdr:sp macro="" textlink="">
      <xdr:nvSpPr>
        <xdr:cNvPr id="3" name="Plaque 2">
          <a:extLst>
            <a:ext uri="{FF2B5EF4-FFF2-40B4-BE49-F238E27FC236}">
              <a16:creationId xmlns:a16="http://schemas.microsoft.com/office/drawing/2014/main" id="{E8C2B5AC-8219-4547-8E22-E9ADC71BC75E}"/>
            </a:ext>
          </a:extLst>
        </xdr:cNvPr>
        <xdr:cNvSpPr/>
      </xdr:nvSpPr>
      <xdr:spPr>
        <a:xfrm>
          <a:off x="11190756771" y="2402187"/>
          <a:ext cx="3378868" cy="320842"/>
        </a:xfrm>
        <a:prstGeom prst="plaque">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t>النظام يتحقق من صحة البيانات</a:t>
          </a:r>
        </a:p>
      </xdr:txBody>
    </xdr:sp>
    <xdr:clientData/>
  </xdr:twoCellAnchor>
  <xdr:twoCellAnchor>
    <xdr:from>
      <xdr:col>19</xdr:col>
      <xdr:colOff>225888</xdr:colOff>
      <xdr:row>7</xdr:row>
      <xdr:rowOff>740180</xdr:rowOff>
    </xdr:from>
    <xdr:to>
      <xdr:col>19</xdr:col>
      <xdr:colOff>1388939</xdr:colOff>
      <xdr:row>7</xdr:row>
      <xdr:rowOff>1431996</xdr:rowOff>
    </xdr:to>
    <xdr:sp macro="" textlink="">
      <xdr:nvSpPr>
        <xdr:cNvPr id="4" name="Arrow: Quad 3">
          <a:extLst>
            <a:ext uri="{FF2B5EF4-FFF2-40B4-BE49-F238E27FC236}">
              <a16:creationId xmlns:a16="http://schemas.microsoft.com/office/drawing/2014/main" id="{4664169F-7C0B-46FF-B6FB-9E45B2D43431}"/>
            </a:ext>
          </a:extLst>
        </xdr:cNvPr>
        <xdr:cNvSpPr/>
      </xdr:nvSpPr>
      <xdr:spPr>
        <a:xfrm>
          <a:off x="11193007385" y="3082209"/>
          <a:ext cx="1163051" cy="691816"/>
        </a:xfrm>
        <a:prstGeom prst="quadArrow">
          <a:avLst>
            <a:gd name="adj1" fmla="val 45000"/>
            <a:gd name="adj2" fmla="val 22500"/>
            <a:gd name="adj3" fmla="val 22500"/>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1" anchor="t"/>
        <a:lstStyle/>
        <a:p>
          <a:pPr algn="r" rtl="1"/>
          <a:r>
            <a:rPr lang="ar-SA" sz="1200" b="1">
              <a:solidFill>
                <a:srgbClr val="FFFF00"/>
              </a:solidFill>
            </a:rPr>
            <a:t>فشل الدخول</a:t>
          </a:r>
        </a:p>
      </xdr:txBody>
    </xdr:sp>
    <xdr:clientData/>
  </xdr:twoCellAnchor>
  <xdr:twoCellAnchor>
    <xdr:from>
      <xdr:col>19</xdr:col>
      <xdr:colOff>2090782</xdr:colOff>
      <xdr:row>7</xdr:row>
      <xdr:rowOff>710101</xdr:rowOff>
    </xdr:from>
    <xdr:to>
      <xdr:col>19</xdr:col>
      <xdr:colOff>3534571</xdr:colOff>
      <xdr:row>7</xdr:row>
      <xdr:rowOff>1431996</xdr:rowOff>
    </xdr:to>
    <xdr:sp macro="" textlink="">
      <xdr:nvSpPr>
        <xdr:cNvPr id="5" name="Flowchart: Multidocument 4">
          <a:extLst>
            <a:ext uri="{FF2B5EF4-FFF2-40B4-BE49-F238E27FC236}">
              <a16:creationId xmlns:a16="http://schemas.microsoft.com/office/drawing/2014/main" id="{80FD208F-B7E9-4E84-B0CB-22BE5C310578}"/>
            </a:ext>
          </a:extLst>
        </xdr:cNvPr>
        <xdr:cNvSpPr/>
      </xdr:nvSpPr>
      <xdr:spPr>
        <a:xfrm>
          <a:off x="11190861753" y="3052130"/>
          <a:ext cx="1443789" cy="721895"/>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نجاج الدخول والانتقال الي لوحة التحكم</a:t>
          </a:r>
        </a:p>
      </xdr:txBody>
    </xdr:sp>
    <xdr:clientData/>
  </xdr:twoCellAnchor>
  <xdr:twoCellAnchor>
    <xdr:from>
      <xdr:col>19</xdr:col>
      <xdr:colOff>616913</xdr:colOff>
      <xdr:row>7</xdr:row>
      <xdr:rowOff>1573727</xdr:rowOff>
    </xdr:from>
    <xdr:to>
      <xdr:col>19</xdr:col>
      <xdr:colOff>3354097</xdr:colOff>
      <xdr:row>7</xdr:row>
      <xdr:rowOff>2033168</xdr:rowOff>
    </xdr:to>
    <xdr:sp macro="" textlink="">
      <xdr:nvSpPr>
        <xdr:cNvPr id="6" name="Frame 5">
          <a:extLst>
            <a:ext uri="{FF2B5EF4-FFF2-40B4-BE49-F238E27FC236}">
              <a16:creationId xmlns:a16="http://schemas.microsoft.com/office/drawing/2014/main" id="{C043E1EA-2FC5-4F80-9B89-3346B3C220CF}"/>
            </a:ext>
          </a:extLst>
        </xdr:cNvPr>
        <xdr:cNvSpPr/>
      </xdr:nvSpPr>
      <xdr:spPr>
        <a:xfrm>
          <a:off x="11305702215" y="3931165"/>
          <a:ext cx="2737184" cy="459441"/>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اضغط نسيت كلمة المرور</a:t>
          </a:r>
        </a:p>
      </xdr:txBody>
    </xdr:sp>
    <xdr:clientData/>
  </xdr:twoCellAnchor>
  <xdr:twoCellAnchor>
    <xdr:from>
      <xdr:col>19</xdr:col>
      <xdr:colOff>35386</xdr:colOff>
      <xdr:row>7</xdr:row>
      <xdr:rowOff>2090193</xdr:rowOff>
    </xdr:from>
    <xdr:to>
      <xdr:col>19</xdr:col>
      <xdr:colOff>3644854</xdr:colOff>
      <xdr:row>7</xdr:row>
      <xdr:rowOff>2491246</xdr:rowOff>
    </xdr:to>
    <xdr:sp macro="" textlink="">
      <xdr:nvSpPr>
        <xdr:cNvPr id="7" name="Oval 6">
          <a:extLst>
            <a:ext uri="{FF2B5EF4-FFF2-40B4-BE49-F238E27FC236}">
              <a16:creationId xmlns:a16="http://schemas.microsoft.com/office/drawing/2014/main" id="{3958D6A7-AA75-42AC-8861-A6BF576671C7}"/>
            </a:ext>
          </a:extLst>
        </xdr:cNvPr>
        <xdr:cNvSpPr/>
      </xdr:nvSpPr>
      <xdr:spPr>
        <a:xfrm>
          <a:off x="11190751470" y="4432222"/>
          <a:ext cx="3609468" cy="40105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a:t>
          </a:r>
          <a:r>
            <a:rPr lang="ar-SA" sz="1200" b="1" baseline="0"/>
            <a:t> البريد الالكتروني</a:t>
          </a:r>
          <a:endParaRPr lang="ar-SA" sz="1200" b="1"/>
        </a:p>
      </xdr:txBody>
    </xdr:sp>
    <xdr:clientData/>
  </xdr:twoCellAnchor>
  <xdr:twoCellAnchor>
    <xdr:from>
      <xdr:col>19</xdr:col>
      <xdr:colOff>152400</xdr:colOff>
      <xdr:row>7</xdr:row>
      <xdr:rowOff>3040297</xdr:rowOff>
    </xdr:from>
    <xdr:to>
      <xdr:col>19</xdr:col>
      <xdr:colOff>3705013</xdr:colOff>
      <xdr:row>7</xdr:row>
      <xdr:rowOff>3409951</xdr:rowOff>
    </xdr:to>
    <xdr:sp macro="" textlink="">
      <xdr:nvSpPr>
        <xdr:cNvPr id="8" name="Oval 7">
          <a:extLst>
            <a:ext uri="{FF2B5EF4-FFF2-40B4-BE49-F238E27FC236}">
              <a16:creationId xmlns:a16="http://schemas.microsoft.com/office/drawing/2014/main" id="{AE846962-AA65-42CE-8CB0-D142616F39BE}"/>
            </a:ext>
          </a:extLst>
        </xdr:cNvPr>
        <xdr:cNvSpPr/>
      </xdr:nvSpPr>
      <xdr:spPr>
        <a:xfrm>
          <a:off x="11224650737" y="5402497"/>
          <a:ext cx="3552613" cy="36965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rtl="1"/>
          <a:r>
            <a:rPr lang="ar-SA" sz="1200" b="1"/>
            <a:t>الادمن يدخل</a:t>
          </a:r>
          <a:r>
            <a:rPr lang="ar-SA" sz="1200" b="1" baseline="0"/>
            <a:t> رمز التحقق </a:t>
          </a:r>
          <a:r>
            <a:rPr lang="en-GB" sz="1200" b="1" baseline="0"/>
            <a:t>OTP</a:t>
          </a:r>
          <a:endParaRPr lang="ar-SA" sz="1200" b="1"/>
        </a:p>
      </xdr:txBody>
    </xdr:sp>
    <xdr:clientData/>
  </xdr:twoCellAnchor>
  <xdr:twoCellAnchor>
    <xdr:from>
      <xdr:col>19</xdr:col>
      <xdr:colOff>45414</xdr:colOff>
      <xdr:row>7</xdr:row>
      <xdr:rowOff>3566421</xdr:rowOff>
    </xdr:from>
    <xdr:to>
      <xdr:col>19</xdr:col>
      <xdr:colOff>2010571</xdr:colOff>
      <xdr:row>7</xdr:row>
      <xdr:rowOff>4258237</xdr:rowOff>
    </xdr:to>
    <xdr:sp macro="" textlink="">
      <xdr:nvSpPr>
        <xdr:cNvPr id="9" name="Flowchart: Summing Junction 8">
          <a:extLst>
            <a:ext uri="{FF2B5EF4-FFF2-40B4-BE49-F238E27FC236}">
              <a16:creationId xmlns:a16="http://schemas.microsoft.com/office/drawing/2014/main" id="{81078BAE-975E-4A93-A2AE-57EA0CD88BE6}"/>
            </a:ext>
          </a:extLst>
        </xdr:cNvPr>
        <xdr:cNvSpPr/>
      </xdr:nvSpPr>
      <xdr:spPr>
        <a:xfrm>
          <a:off x="11192385753" y="5908450"/>
          <a:ext cx="1965157" cy="691816"/>
        </a:xfrm>
        <a:prstGeom prst="flowChartSummingJunc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t>انتهت</a:t>
          </a:r>
          <a:r>
            <a:rPr lang="ar-SA" sz="1200" b="1" baseline="0"/>
            <a:t> المدة اعد ارسال </a:t>
          </a:r>
          <a:r>
            <a:rPr lang="en-GB" sz="1200" b="1" baseline="0"/>
            <a:t>OTP</a:t>
          </a:r>
          <a:r>
            <a:rPr lang="ar-SA" sz="1200" b="1" baseline="0"/>
            <a:t> مرة اخري</a:t>
          </a:r>
          <a:endParaRPr lang="ar-SA" sz="1200" b="1"/>
        </a:p>
      </xdr:txBody>
    </xdr:sp>
    <xdr:clientData/>
  </xdr:twoCellAnchor>
  <xdr:twoCellAnchor>
    <xdr:from>
      <xdr:col>19</xdr:col>
      <xdr:colOff>2201071</xdr:colOff>
      <xdr:row>7</xdr:row>
      <xdr:rowOff>3576447</xdr:rowOff>
    </xdr:from>
    <xdr:to>
      <xdr:col>19</xdr:col>
      <xdr:colOff>3705018</xdr:colOff>
      <xdr:row>7</xdr:row>
      <xdr:rowOff>4228158</xdr:rowOff>
    </xdr:to>
    <xdr:sp macro="" textlink="">
      <xdr:nvSpPr>
        <xdr:cNvPr id="10" name="Frame 9">
          <a:extLst>
            <a:ext uri="{FF2B5EF4-FFF2-40B4-BE49-F238E27FC236}">
              <a16:creationId xmlns:a16="http://schemas.microsoft.com/office/drawing/2014/main" id="{5157DFB1-C05C-4D01-B2C1-087C167BBDC7}"/>
            </a:ext>
          </a:extLst>
        </xdr:cNvPr>
        <xdr:cNvSpPr/>
      </xdr:nvSpPr>
      <xdr:spPr>
        <a:xfrm>
          <a:off x="11190691306" y="5918476"/>
          <a:ext cx="1503947" cy="651711"/>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ادخال كلمة مرور جديد</a:t>
          </a:r>
        </a:p>
      </xdr:txBody>
    </xdr:sp>
    <xdr:clientData/>
  </xdr:twoCellAnchor>
  <xdr:twoCellAnchor>
    <xdr:from>
      <xdr:col>19</xdr:col>
      <xdr:colOff>276018</xdr:colOff>
      <xdr:row>7</xdr:row>
      <xdr:rowOff>4450508</xdr:rowOff>
    </xdr:from>
    <xdr:to>
      <xdr:col>19</xdr:col>
      <xdr:colOff>3594728</xdr:colOff>
      <xdr:row>7</xdr:row>
      <xdr:rowOff>5042648</xdr:rowOff>
    </xdr:to>
    <xdr:sp macro="" textlink="">
      <xdr:nvSpPr>
        <xdr:cNvPr id="11" name="Pentagon 10">
          <a:extLst>
            <a:ext uri="{FF2B5EF4-FFF2-40B4-BE49-F238E27FC236}">
              <a16:creationId xmlns:a16="http://schemas.microsoft.com/office/drawing/2014/main" id="{EED1074F-0250-413E-89BE-7F3D1578E3CC}"/>
            </a:ext>
          </a:extLst>
        </xdr:cNvPr>
        <xdr:cNvSpPr/>
      </xdr:nvSpPr>
      <xdr:spPr>
        <a:xfrm>
          <a:off x="11190801596" y="6792537"/>
          <a:ext cx="3318710" cy="592140"/>
        </a:xfrm>
        <a:prstGeom prst="pentagon">
          <a:avLst/>
        </a:prstGeom>
      </xdr:spPr>
      <xdr:style>
        <a:lnRef idx="3">
          <a:schemeClr val="lt1"/>
        </a:lnRef>
        <a:fillRef idx="1">
          <a:schemeClr val="accent3"/>
        </a:fillRef>
        <a:effectRef idx="1">
          <a:schemeClr val="accent3"/>
        </a:effectRef>
        <a:fontRef idx="minor">
          <a:schemeClr val="lt1"/>
        </a:fontRef>
      </xdr:style>
      <xdr:txBody>
        <a:bodyPr vertOverflow="clip" horzOverflow="clip" rtlCol="1" anchor="ctr"/>
        <a:lstStyle/>
        <a:p>
          <a:pPr algn="ctr" rtl="1"/>
          <a:r>
            <a:rPr lang="ar-SA" sz="1200" b="1"/>
            <a:t>تم تغيير كلمة المرور بنجاح ويمكن تسجيل الدخول الخطوة</a:t>
          </a:r>
          <a:r>
            <a:rPr lang="ar-SA" sz="1200" b="1" baseline="0"/>
            <a:t> رقم 1</a:t>
          </a:r>
          <a:endParaRPr lang="ar-SA" sz="1200" b="1"/>
        </a:p>
      </xdr:txBody>
    </xdr:sp>
    <xdr:clientData/>
  </xdr:twoCellAnchor>
  <xdr:twoCellAnchor>
    <xdr:from>
      <xdr:col>19</xdr:col>
      <xdr:colOff>1933916</xdr:colOff>
      <xdr:row>48</xdr:row>
      <xdr:rowOff>326571</xdr:rowOff>
    </xdr:from>
    <xdr:to>
      <xdr:col>19</xdr:col>
      <xdr:colOff>2056380</xdr:colOff>
      <xdr:row>49</xdr:row>
      <xdr:rowOff>71437</xdr:rowOff>
    </xdr:to>
    <xdr:sp macro="" textlink="">
      <xdr:nvSpPr>
        <xdr:cNvPr id="24" name="Arrow: Down 23">
          <a:extLst>
            <a:ext uri="{FF2B5EF4-FFF2-40B4-BE49-F238E27FC236}">
              <a16:creationId xmlns:a16="http://schemas.microsoft.com/office/drawing/2014/main" id="{CB623A35-F992-42A3-A03C-D7FA9CBC3D70}"/>
            </a:ext>
          </a:extLst>
        </xdr:cNvPr>
        <xdr:cNvSpPr/>
      </xdr:nvSpPr>
      <xdr:spPr>
        <a:xfrm>
          <a:off x="11306999932" y="24651040"/>
          <a:ext cx="122464" cy="125866"/>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12</xdr:col>
      <xdr:colOff>366096</xdr:colOff>
      <xdr:row>47</xdr:row>
      <xdr:rowOff>302763</xdr:rowOff>
    </xdr:from>
    <xdr:to>
      <xdr:col>19</xdr:col>
      <xdr:colOff>3787947</xdr:colOff>
      <xdr:row>58</xdr:row>
      <xdr:rowOff>93550</xdr:rowOff>
    </xdr:to>
    <xdr:grpSp>
      <xdr:nvGrpSpPr>
        <xdr:cNvPr id="49" name="Group 48">
          <a:extLst>
            <a:ext uri="{FF2B5EF4-FFF2-40B4-BE49-F238E27FC236}">
              <a16:creationId xmlns:a16="http://schemas.microsoft.com/office/drawing/2014/main" id="{EE553FD5-F0F3-4D2D-0AC9-F9C6BC6C476A}"/>
            </a:ext>
          </a:extLst>
        </xdr:cNvPr>
        <xdr:cNvGrpSpPr/>
      </xdr:nvGrpSpPr>
      <xdr:grpSpPr>
        <a:xfrm>
          <a:off x="11300434428" y="22460294"/>
          <a:ext cx="8255788" cy="5243850"/>
          <a:chOff x="11305232705" y="24424825"/>
          <a:chExt cx="3592285" cy="4862850"/>
        </a:xfrm>
      </xdr:grpSpPr>
      <xdr:sp macro="" textlink="">
        <xdr:nvSpPr>
          <xdr:cNvPr id="12" name="Rectangle: Top Corners Snipped 11">
            <a:extLst>
              <a:ext uri="{FF2B5EF4-FFF2-40B4-BE49-F238E27FC236}">
                <a16:creationId xmlns:a16="http://schemas.microsoft.com/office/drawing/2014/main" id="{0FE12592-83AB-44C2-8582-B54683A109CD}"/>
              </a:ext>
            </a:extLst>
          </xdr:cNvPr>
          <xdr:cNvSpPr/>
        </xdr:nvSpPr>
        <xdr:spPr>
          <a:xfrm>
            <a:off x="11305436812" y="24424825"/>
            <a:ext cx="3321844" cy="309563"/>
          </a:xfrm>
          <a:prstGeom prst="snip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1" anchor="ctr"/>
          <a:lstStyle/>
          <a:p>
            <a:pPr algn="ctr" rtl="1"/>
            <a:r>
              <a:rPr lang="ar-SA" sz="1200"/>
              <a:t>السكرتارية او صاحب الصلاحية</a:t>
            </a:r>
            <a:r>
              <a:rPr lang="ar-SA" sz="1200" baseline="0"/>
              <a:t> يختار اضافة عقد ارتباط</a:t>
            </a:r>
            <a:endParaRPr lang="ar-SA" sz="1200"/>
          </a:p>
        </xdr:txBody>
      </xdr:sp>
      <xdr:sp macro="" textlink="">
        <xdr:nvSpPr>
          <xdr:cNvPr id="14" name="Plaque 13">
            <a:extLst>
              <a:ext uri="{FF2B5EF4-FFF2-40B4-BE49-F238E27FC236}">
                <a16:creationId xmlns:a16="http://schemas.microsoft.com/office/drawing/2014/main" id="{A7BAEF40-DF8B-4188-81F1-A70B9BAE4E7F}"/>
              </a:ext>
            </a:extLst>
          </xdr:cNvPr>
          <xdr:cNvSpPr/>
        </xdr:nvSpPr>
        <xdr:spPr>
          <a:xfrm>
            <a:off x="11305446122" y="24895969"/>
            <a:ext cx="3378868" cy="320842"/>
          </a:xfrm>
          <a:prstGeom prst="plaque">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t>النظام</a:t>
            </a:r>
            <a:r>
              <a:rPr lang="ar-SA" sz="1200" b="1" baseline="0"/>
              <a:t> يتحقق من وجود التاريخ ورقم السجل التجاري</a:t>
            </a:r>
            <a:endParaRPr lang="ar-SA" sz="1200" b="1"/>
          </a:p>
        </xdr:txBody>
      </xdr:sp>
      <xdr:sp macro="" textlink="">
        <xdr:nvSpPr>
          <xdr:cNvPr id="15" name="Flowchart: Multidocument 14">
            <a:extLst>
              <a:ext uri="{FF2B5EF4-FFF2-40B4-BE49-F238E27FC236}">
                <a16:creationId xmlns:a16="http://schemas.microsoft.com/office/drawing/2014/main" id="{70276C81-AFE4-4739-BA58-7CEA5C2612FD}"/>
              </a:ext>
            </a:extLst>
          </xdr:cNvPr>
          <xdr:cNvSpPr/>
        </xdr:nvSpPr>
        <xdr:spPr>
          <a:xfrm>
            <a:off x="11307571703" y="25362013"/>
            <a:ext cx="1033666" cy="830035"/>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لا يوجد بيانات فى النظام </a:t>
            </a:r>
          </a:p>
        </xdr:txBody>
      </xdr:sp>
      <xdr:sp macro="" textlink="">
        <xdr:nvSpPr>
          <xdr:cNvPr id="16" name="Flowchart: Multidocument 15">
            <a:extLst>
              <a:ext uri="{FF2B5EF4-FFF2-40B4-BE49-F238E27FC236}">
                <a16:creationId xmlns:a16="http://schemas.microsoft.com/office/drawing/2014/main" id="{B2B6BB88-7B29-4719-B781-39BC734FDF5F}"/>
              </a:ext>
            </a:extLst>
          </xdr:cNvPr>
          <xdr:cNvSpPr/>
        </xdr:nvSpPr>
        <xdr:spPr>
          <a:xfrm>
            <a:off x="11305370066" y="25391948"/>
            <a:ext cx="1443789" cy="830035"/>
          </a:xfrm>
          <a:prstGeom prst="flowChartMultidocument">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  يوجد بيانات فى النظام </a:t>
            </a:r>
          </a:p>
        </xdr:txBody>
      </xdr:sp>
      <xdr:sp macro="" textlink="">
        <xdr:nvSpPr>
          <xdr:cNvPr id="17" name="Flowchart: Multidocument 16">
            <a:extLst>
              <a:ext uri="{FF2B5EF4-FFF2-40B4-BE49-F238E27FC236}">
                <a16:creationId xmlns:a16="http://schemas.microsoft.com/office/drawing/2014/main" id="{BC321390-E5AA-49AE-988C-523ADA453622}"/>
              </a:ext>
            </a:extLst>
          </xdr:cNvPr>
          <xdr:cNvSpPr/>
        </xdr:nvSpPr>
        <xdr:spPr>
          <a:xfrm>
            <a:off x="11307612523" y="26574750"/>
            <a:ext cx="981745" cy="823232"/>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يفتح عقد الارتباط ويتم ادخال البيانات تمهيدا لاصدار القوائم المالية</a:t>
            </a:r>
          </a:p>
        </xdr:txBody>
      </xdr:sp>
      <xdr:sp macro="" textlink="">
        <xdr:nvSpPr>
          <xdr:cNvPr id="21" name="Flowchart: Internal Storage 20">
            <a:extLst>
              <a:ext uri="{FF2B5EF4-FFF2-40B4-BE49-F238E27FC236}">
                <a16:creationId xmlns:a16="http://schemas.microsoft.com/office/drawing/2014/main" id="{9D0AA0F4-FBD6-2405-1F52-E23D5BE0CAF8}"/>
              </a:ext>
            </a:extLst>
          </xdr:cNvPr>
          <xdr:cNvSpPr/>
        </xdr:nvSpPr>
        <xdr:spPr>
          <a:xfrm>
            <a:off x="11305232705" y="26601965"/>
            <a:ext cx="894670" cy="2685710"/>
          </a:xfrm>
          <a:prstGeom prst="flowChartInternalStorag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1" anchor="t"/>
          <a:lstStyle/>
          <a:p>
            <a:pPr algn="r" rtl="1"/>
            <a:r>
              <a:rPr lang="ar-SA" sz="1200" b="1"/>
              <a:t>قوائم مالية صادرة لنفس السجل ونفس العام وهنا لا يمكن اصدار قوائم مالية مرة اخري </a:t>
            </a:r>
          </a:p>
        </xdr:txBody>
      </xdr:sp>
      <xdr:sp macro="" textlink="">
        <xdr:nvSpPr>
          <xdr:cNvPr id="22" name="Speech Bubble: Rectangle with Corners Rounded 21">
            <a:extLst>
              <a:ext uri="{FF2B5EF4-FFF2-40B4-BE49-F238E27FC236}">
                <a16:creationId xmlns:a16="http://schemas.microsoft.com/office/drawing/2014/main" id="{B817CB38-89B0-D972-5A3D-64CFACE75AA1}"/>
              </a:ext>
            </a:extLst>
          </xdr:cNvPr>
          <xdr:cNvSpPr/>
        </xdr:nvSpPr>
        <xdr:spPr>
          <a:xfrm>
            <a:off x="11306294062" y="26588357"/>
            <a:ext cx="1012031" cy="2063184"/>
          </a:xfrm>
          <a:prstGeom prst="wedgeRoundRectCallout">
            <a:avLst>
              <a:gd name="adj1" fmla="val -19656"/>
              <a:gd name="adj2" fmla="val 90200"/>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ar-SA" sz="1400" b="1"/>
              <a:t>قوائم مالية موجودة كملف بالنظام ولم يتم اصدارها لاسباب ويجب المواصلة بها </a:t>
            </a:r>
          </a:p>
        </xdr:txBody>
      </xdr:sp>
      <xdr:sp macro="" textlink="">
        <xdr:nvSpPr>
          <xdr:cNvPr id="25" name="Arrow: Down 24">
            <a:extLst>
              <a:ext uri="{FF2B5EF4-FFF2-40B4-BE49-F238E27FC236}">
                <a16:creationId xmlns:a16="http://schemas.microsoft.com/office/drawing/2014/main" id="{8E80A4C3-AD4A-4544-BB3E-BEAFAF10944B}"/>
              </a:ext>
            </a:extLst>
          </xdr:cNvPr>
          <xdr:cNvSpPr/>
        </xdr:nvSpPr>
        <xdr:spPr>
          <a:xfrm>
            <a:off x="11308035776" y="26246478"/>
            <a:ext cx="122464" cy="250031"/>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26" name="Arrow: Down 25">
            <a:extLst>
              <a:ext uri="{FF2B5EF4-FFF2-40B4-BE49-F238E27FC236}">
                <a16:creationId xmlns:a16="http://schemas.microsoft.com/office/drawing/2014/main" id="{83B65A22-0D06-4D89-88D3-ECC68D7042E7}"/>
              </a:ext>
            </a:extLst>
          </xdr:cNvPr>
          <xdr:cNvSpPr/>
        </xdr:nvSpPr>
        <xdr:spPr>
          <a:xfrm>
            <a:off x="11306139281" y="26178442"/>
            <a:ext cx="122464" cy="627628"/>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27" name="Arrow: Left-Right 26">
            <a:extLst>
              <a:ext uri="{FF2B5EF4-FFF2-40B4-BE49-F238E27FC236}">
                <a16:creationId xmlns:a16="http://schemas.microsoft.com/office/drawing/2014/main" id="{9854616D-E69F-C169-2D03-3351D3879C7A}"/>
              </a:ext>
            </a:extLst>
          </xdr:cNvPr>
          <xdr:cNvSpPr/>
        </xdr:nvSpPr>
        <xdr:spPr>
          <a:xfrm>
            <a:off x="11306035526" y="26874106"/>
            <a:ext cx="331688" cy="333377"/>
          </a:xfrm>
          <a:prstGeom prst="lef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19</xdr:col>
      <xdr:colOff>593912</xdr:colOff>
      <xdr:row>7</xdr:row>
      <xdr:rowOff>2577353</xdr:rowOff>
    </xdr:from>
    <xdr:to>
      <xdr:col>19</xdr:col>
      <xdr:colOff>3350559</xdr:colOff>
      <xdr:row>7</xdr:row>
      <xdr:rowOff>2913530</xdr:rowOff>
    </xdr:to>
    <xdr:sp macro="" textlink="">
      <xdr:nvSpPr>
        <xdr:cNvPr id="18" name="Frame 17">
          <a:extLst>
            <a:ext uri="{FF2B5EF4-FFF2-40B4-BE49-F238E27FC236}">
              <a16:creationId xmlns:a16="http://schemas.microsoft.com/office/drawing/2014/main" id="{31674775-10DB-D725-24FB-274D791778F9}"/>
            </a:ext>
          </a:extLst>
        </xdr:cNvPr>
        <xdr:cNvSpPr/>
      </xdr:nvSpPr>
      <xdr:spPr>
        <a:xfrm>
          <a:off x="11191045765" y="4919382"/>
          <a:ext cx="2756647" cy="336177"/>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200" b="1">
              <a:solidFill>
                <a:schemeClr val="tx1"/>
              </a:solidFill>
            </a:rPr>
            <a:t>النظام يرسل رمز تحقق </a:t>
          </a:r>
          <a:r>
            <a:rPr lang="en-US" sz="1200" b="1">
              <a:solidFill>
                <a:schemeClr val="tx1"/>
              </a:solidFill>
            </a:rPr>
            <a:t>OTP </a:t>
          </a:r>
          <a:r>
            <a:rPr lang="ar-SA" sz="1200" b="1">
              <a:solidFill>
                <a:schemeClr val="tx1"/>
              </a:solidFill>
            </a:rPr>
            <a:t>لرقم الجوال الادمن</a:t>
          </a:r>
        </a:p>
      </xdr:txBody>
    </xdr:sp>
    <xdr:clientData/>
  </xdr:twoCellAnchor>
  <xdr:twoCellAnchor>
    <xdr:from>
      <xdr:col>19</xdr:col>
      <xdr:colOff>1119188</xdr:colOff>
      <xdr:row>7</xdr:row>
      <xdr:rowOff>3298031</xdr:rowOff>
    </xdr:from>
    <xdr:to>
      <xdr:col>19</xdr:col>
      <xdr:colOff>1464469</xdr:colOff>
      <xdr:row>7</xdr:row>
      <xdr:rowOff>3571874</xdr:rowOff>
    </xdr:to>
    <xdr:cxnSp macro="">
      <xdr:nvCxnSpPr>
        <xdr:cNvPr id="19" name="Straight Arrow Connector 18">
          <a:extLst>
            <a:ext uri="{FF2B5EF4-FFF2-40B4-BE49-F238E27FC236}">
              <a16:creationId xmlns:a16="http://schemas.microsoft.com/office/drawing/2014/main" id="{E2F48800-60B5-6180-F916-83B21D8ADD22}"/>
            </a:ext>
          </a:extLst>
        </xdr:cNvPr>
        <xdr:cNvCxnSpPr/>
      </xdr:nvCxnSpPr>
      <xdr:spPr>
        <a:xfrm>
          <a:off x="11307591843" y="5655469"/>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1976437</xdr:colOff>
      <xdr:row>7</xdr:row>
      <xdr:rowOff>381001</xdr:rowOff>
    </xdr:from>
    <xdr:to>
      <xdr:col>19</xdr:col>
      <xdr:colOff>2333625</xdr:colOff>
      <xdr:row>7</xdr:row>
      <xdr:rowOff>642937</xdr:rowOff>
    </xdr:to>
    <xdr:cxnSp macro="">
      <xdr:nvCxnSpPr>
        <xdr:cNvPr id="30" name="Straight Arrow Connector 29">
          <a:extLst>
            <a:ext uri="{FF2B5EF4-FFF2-40B4-BE49-F238E27FC236}">
              <a16:creationId xmlns:a16="http://schemas.microsoft.com/office/drawing/2014/main" id="{DB7EEF52-086C-4C11-D144-089DF57A79ED}"/>
            </a:ext>
          </a:extLst>
        </xdr:cNvPr>
        <xdr:cNvCxnSpPr/>
      </xdr:nvCxnSpPr>
      <xdr:spPr>
        <a:xfrm flipH="1">
          <a:off x="11306722687" y="2738439"/>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1807875</xdr:colOff>
      <xdr:row>6</xdr:row>
      <xdr:rowOff>90237</xdr:rowOff>
    </xdr:from>
    <xdr:to>
      <xdr:col>19</xdr:col>
      <xdr:colOff>1809752</xdr:colOff>
      <xdr:row>6</xdr:row>
      <xdr:rowOff>369094</xdr:rowOff>
    </xdr:to>
    <xdr:cxnSp macro="">
      <xdr:nvCxnSpPr>
        <xdr:cNvPr id="35" name="Straight Arrow Connector 34">
          <a:extLst>
            <a:ext uri="{FF2B5EF4-FFF2-40B4-BE49-F238E27FC236}">
              <a16:creationId xmlns:a16="http://schemas.microsoft.com/office/drawing/2014/main" id="{0EF7A40A-8FAA-99E0-1840-BC499B8E761E}"/>
            </a:ext>
          </a:extLst>
        </xdr:cNvPr>
        <xdr:cNvCxnSpPr/>
      </xdr:nvCxnSpPr>
      <xdr:spPr>
        <a:xfrm flipH="1">
          <a:off x="11307246560" y="2042862"/>
          <a:ext cx="1877" cy="2788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35718</xdr:colOff>
      <xdr:row>7</xdr:row>
      <xdr:rowOff>1440656</xdr:rowOff>
    </xdr:from>
    <xdr:to>
      <xdr:col>20</xdr:col>
      <xdr:colOff>404812</xdr:colOff>
      <xdr:row>7</xdr:row>
      <xdr:rowOff>1486375</xdr:rowOff>
    </xdr:to>
    <xdr:sp macro="" textlink="">
      <xdr:nvSpPr>
        <xdr:cNvPr id="36" name="Minus Sign 35">
          <a:extLst>
            <a:ext uri="{FF2B5EF4-FFF2-40B4-BE49-F238E27FC236}">
              <a16:creationId xmlns:a16="http://schemas.microsoft.com/office/drawing/2014/main" id="{FCA71EA6-6073-9145-98BF-27735C43ECB0}"/>
            </a:ext>
          </a:extLst>
        </xdr:cNvPr>
        <xdr:cNvSpPr/>
      </xdr:nvSpPr>
      <xdr:spPr>
        <a:xfrm>
          <a:off x="11304793875" y="3798094"/>
          <a:ext cx="4226719" cy="45719"/>
        </a:xfrm>
        <a:prstGeom prst="mathMin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19</xdr:col>
      <xdr:colOff>1893097</xdr:colOff>
      <xdr:row>7</xdr:row>
      <xdr:rowOff>1911893</xdr:rowOff>
    </xdr:from>
    <xdr:to>
      <xdr:col>19</xdr:col>
      <xdr:colOff>1894974</xdr:colOff>
      <xdr:row>7</xdr:row>
      <xdr:rowOff>2190750</xdr:rowOff>
    </xdr:to>
    <xdr:cxnSp macro="">
      <xdr:nvCxnSpPr>
        <xdr:cNvPr id="39" name="Straight Arrow Connector 38">
          <a:extLst>
            <a:ext uri="{FF2B5EF4-FFF2-40B4-BE49-F238E27FC236}">
              <a16:creationId xmlns:a16="http://schemas.microsoft.com/office/drawing/2014/main" id="{4F3BC629-DEBF-4CBF-8E79-536463E8B480}"/>
            </a:ext>
          </a:extLst>
        </xdr:cNvPr>
        <xdr:cNvCxnSpPr/>
      </xdr:nvCxnSpPr>
      <xdr:spPr>
        <a:xfrm flipH="1">
          <a:off x="11307161338" y="4269331"/>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19</xdr:col>
      <xdr:colOff>1906881</xdr:colOff>
      <xdr:row>7</xdr:row>
      <xdr:rowOff>2400049</xdr:rowOff>
    </xdr:from>
    <xdr:to>
      <xdr:col>19</xdr:col>
      <xdr:colOff>1908758</xdr:colOff>
      <xdr:row>7</xdr:row>
      <xdr:rowOff>2678906</xdr:rowOff>
    </xdr:to>
    <xdr:cxnSp macro="">
      <xdr:nvCxnSpPr>
        <xdr:cNvPr id="40" name="Straight Arrow Connector 39">
          <a:extLst>
            <a:ext uri="{FF2B5EF4-FFF2-40B4-BE49-F238E27FC236}">
              <a16:creationId xmlns:a16="http://schemas.microsoft.com/office/drawing/2014/main" id="{49DE7F04-F910-4875-BFFF-6EFD0BCA980C}"/>
            </a:ext>
          </a:extLst>
        </xdr:cNvPr>
        <xdr:cNvCxnSpPr/>
      </xdr:nvCxnSpPr>
      <xdr:spPr>
        <a:xfrm flipH="1">
          <a:off x="11307147554" y="4757487"/>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19</xdr:col>
      <xdr:colOff>1920665</xdr:colOff>
      <xdr:row>7</xdr:row>
      <xdr:rowOff>2816768</xdr:rowOff>
    </xdr:from>
    <xdr:to>
      <xdr:col>19</xdr:col>
      <xdr:colOff>1922542</xdr:colOff>
      <xdr:row>7</xdr:row>
      <xdr:rowOff>3095625</xdr:rowOff>
    </xdr:to>
    <xdr:cxnSp macro="">
      <xdr:nvCxnSpPr>
        <xdr:cNvPr id="41" name="Straight Arrow Connector 40">
          <a:extLst>
            <a:ext uri="{FF2B5EF4-FFF2-40B4-BE49-F238E27FC236}">
              <a16:creationId xmlns:a16="http://schemas.microsoft.com/office/drawing/2014/main" id="{BF399C22-4445-48DE-ACF8-C95D70ECB16E}"/>
            </a:ext>
          </a:extLst>
        </xdr:cNvPr>
        <xdr:cNvCxnSpPr/>
      </xdr:nvCxnSpPr>
      <xdr:spPr>
        <a:xfrm flipH="1">
          <a:off x="11307133770" y="5174206"/>
          <a:ext cx="1877" cy="278857"/>
        </a:xfrm>
        <a:prstGeom prst="straightConnector1">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19</xdr:col>
      <xdr:colOff>2202656</xdr:colOff>
      <xdr:row>7</xdr:row>
      <xdr:rowOff>3298033</xdr:rowOff>
    </xdr:from>
    <xdr:to>
      <xdr:col>19</xdr:col>
      <xdr:colOff>2559844</xdr:colOff>
      <xdr:row>7</xdr:row>
      <xdr:rowOff>3559969</xdr:rowOff>
    </xdr:to>
    <xdr:cxnSp macro="">
      <xdr:nvCxnSpPr>
        <xdr:cNvPr id="42" name="Straight Arrow Connector 41">
          <a:extLst>
            <a:ext uri="{FF2B5EF4-FFF2-40B4-BE49-F238E27FC236}">
              <a16:creationId xmlns:a16="http://schemas.microsoft.com/office/drawing/2014/main" id="{DC933E44-478B-403B-A99A-790EA7325A6B}"/>
            </a:ext>
          </a:extLst>
        </xdr:cNvPr>
        <xdr:cNvCxnSpPr/>
      </xdr:nvCxnSpPr>
      <xdr:spPr>
        <a:xfrm flipH="1">
          <a:off x="11306496468" y="5655471"/>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1583531</xdr:colOff>
      <xdr:row>7</xdr:row>
      <xdr:rowOff>392906</xdr:rowOff>
    </xdr:from>
    <xdr:to>
      <xdr:col>19</xdr:col>
      <xdr:colOff>1928812</xdr:colOff>
      <xdr:row>7</xdr:row>
      <xdr:rowOff>666749</xdr:rowOff>
    </xdr:to>
    <xdr:cxnSp macro="">
      <xdr:nvCxnSpPr>
        <xdr:cNvPr id="43" name="Straight Arrow Connector 42">
          <a:extLst>
            <a:ext uri="{FF2B5EF4-FFF2-40B4-BE49-F238E27FC236}">
              <a16:creationId xmlns:a16="http://schemas.microsoft.com/office/drawing/2014/main" id="{2487185A-C896-456D-A393-07431B154437}"/>
            </a:ext>
          </a:extLst>
        </xdr:cNvPr>
        <xdr:cNvCxnSpPr/>
      </xdr:nvCxnSpPr>
      <xdr:spPr>
        <a:xfrm>
          <a:off x="11307127500" y="2750344"/>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1952629</xdr:colOff>
      <xdr:row>7</xdr:row>
      <xdr:rowOff>3714749</xdr:rowOff>
    </xdr:from>
    <xdr:to>
      <xdr:col>19</xdr:col>
      <xdr:colOff>2250285</xdr:colOff>
      <xdr:row>7</xdr:row>
      <xdr:rowOff>4036218</xdr:rowOff>
    </xdr:to>
    <xdr:sp macro="" textlink="">
      <xdr:nvSpPr>
        <xdr:cNvPr id="44" name="Arrow: Bent 43">
          <a:extLst>
            <a:ext uri="{FF2B5EF4-FFF2-40B4-BE49-F238E27FC236}">
              <a16:creationId xmlns:a16="http://schemas.microsoft.com/office/drawing/2014/main" id="{07920E72-D661-E24F-9D22-4D4A08D2EB14}"/>
            </a:ext>
          </a:extLst>
        </xdr:cNvPr>
        <xdr:cNvSpPr/>
      </xdr:nvSpPr>
      <xdr:spPr>
        <a:xfrm flipH="1">
          <a:off x="11306806027" y="6072187"/>
          <a:ext cx="297656" cy="321469"/>
        </a:xfrm>
        <a:prstGeom prst="bentArrow">
          <a:avLst>
            <a:gd name="adj1" fmla="val 25000"/>
            <a:gd name="adj2" fmla="val 25000"/>
            <a:gd name="adj3" fmla="val 50000"/>
            <a:gd name="adj4" fmla="val 4375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solidFill>
              <a:srgbClr val="FF0000"/>
            </a:solidFill>
          </a:endParaRPr>
        </a:p>
      </xdr:txBody>
    </xdr:sp>
    <xdr:clientData/>
  </xdr:twoCellAnchor>
  <xdr:twoCellAnchor>
    <xdr:from>
      <xdr:col>19</xdr:col>
      <xdr:colOff>2262187</xdr:colOff>
      <xdr:row>7</xdr:row>
      <xdr:rowOff>4250530</xdr:rowOff>
    </xdr:from>
    <xdr:to>
      <xdr:col>19</xdr:col>
      <xdr:colOff>2607468</xdr:colOff>
      <xdr:row>7</xdr:row>
      <xdr:rowOff>4524373</xdr:rowOff>
    </xdr:to>
    <xdr:cxnSp macro="">
      <xdr:nvCxnSpPr>
        <xdr:cNvPr id="45" name="Straight Arrow Connector 44">
          <a:extLst>
            <a:ext uri="{FF2B5EF4-FFF2-40B4-BE49-F238E27FC236}">
              <a16:creationId xmlns:a16="http://schemas.microsoft.com/office/drawing/2014/main" id="{B6453989-381D-4B5F-A164-F3400249F821}"/>
            </a:ext>
          </a:extLst>
        </xdr:cNvPr>
        <xdr:cNvCxnSpPr/>
      </xdr:nvCxnSpPr>
      <xdr:spPr>
        <a:xfrm>
          <a:off x="11306448844" y="6607968"/>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952500</xdr:colOff>
      <xdr:row>7</xdr:row>
      <xdr:rowOff>1297782</xdr:rowOff>
    </xdr:from>
    <xdr:to>
      <xdr:col>19</xdr:col>
      <xdr:colOff>1309688</xdr:colOff>
      <xdr:row>7</xdr:row>
      <xdr:rowOff>1559718</xdr:rowOff>
    </xdr:to>
    <xdr:cxnSp macro="">
      <xdr:nvCxnSpPr>
        <xdr:cNvPr id="46" name="Straight Arrow Connector 45">
          <a:extLst>
            <a:ext uri="{FF2B5EF4-FFF2-40B4-BE49-F238E27FC236}">
              <a16:creationId xmlns:a16="http://schemas.microsoft.com/office/drawing/2014/main" id="{D5F7F1CE-4859-440F-A0E9-251F972F3FB1}"/>
            </a:ext>
          </a:extLst>
        </xdr:cNvPr>
        <xdr:cNvCxnSpPr/>
      </xdr:nvCxnSpPr>
      <xdr:spPr>
        <a:xfrm flipH="1">
          <a:off x="11307746624" y="3655220"/>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95250</xdr:colOff>
      <xdr:row>58</xdr:row>
      <xdr:rowOff>11906</xdr:rowOff>
    </xdr:from>
    <xdr:to>
      <xdr:col>19</xdr:col>
      <xdr:colOff>3833812</xdr:colOff>
      <xdr:row>71</xdr:row>
      <xdr:rowOff>107156</xdr:rowOff>
    </xdr:to>
    <xdr:sp macro="" textlink="">
      <xdr:nvSpPr>
        <xdr:cNvPr id="47" name="Cloud 46">
          <a:extLst>
            <a:ext uri="{FF2B5EF4-FFF2-40B4-BE49-F238E27FC236}">
              <a16:creationId xmlns:a16="http://schemas.microsoft.com/office/drawing/2014/main" id="{4009F6FD-8794-46A1-9580-104CFEE01DBF}"/>
            </a:ext>
          </a:extLst>
        </xdr:cNvPr>
        <xdr:cNvSpPr/>
      </xdr:nvSpPr>
      <xdr:spPr>
        <a:xfrm>
          <a:off x="11305222500" y="29098875"/>
          <a:ext cx="3738562" cy="4572000"/>
        </a:xfrm>
        <a:prstGeom prst="cloud">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600" b="1">
              <a:solidFill>
                <a:srgbClr val="C00000"/>
              </a:solidFill>
            </a:rPr>
            <a:t>ادخال بيانات العميل "المنشأة تحت المراجعة" </a:t>
          </a:r>
        </a:p>
        <a:p>
          <a:pPr algn="ctr" rtl="1"/>
          <a:r>
            <a:rPr lang="ar-SA" sz="1600" b="1">
              <a:solidFill>
                <a:srgbClr val="C00000"/>
              </a:solidFill>
            </a:rPr>
            <a:t> الالزامية والاختيارية </a:t>
          </a:r>
          <a:endParaRPr lang="ar-SA" sz="1200" b="1">
            <a:solidFill>
              <a:srgbClr val="C00000"/>
            </a:solidFill>
          </a:endParaRPr>
        </a:p>
      </xdr:txBody>
    </xdr:sp>
    <xdr:clientData/>
  </xdr:twoCellAnchor>
  <xdr:twoCellAnchor>
    <xdr:from>
      <xdr:col>19</xdr:col>
      <xdr:colOff>876301</xdr:colOff>
      <xdr:row>57</xdr:row>
      <xdr:rowOff>228600</xdr:rowOff>
    </xdr:from>
    <xdr:to>
      <xdr:col>19</xdr:col>
      <xdr:colOff>1083470</xdr:colOff>
      <xdr:row>58</xdr:row>
      <xdr:rowOff>345281</xdr:rowOff>
    </xdr:to>
    <xdr:sp macro="" textlink="">
      <xdr:nvSpPr>
        <xdr:cNvPr id="50" name="Arrow: Down 49">
          <a:extLst>
            <a:ext uri="{FF2B5EF4-FFF2-40B4-BE49-F238E27FC236}">
              <a16:creationId xmlns:a16="http://schemas.microsoft.com/office/drawing/2014/main" id="{516D4435-0080-4C78-BB62-325160E5A039}"/>
            </a:ext>
          </a:extLst>
        </xdr:cNvPr>
        <xdr:cNvSpPr/>
      </xdr:nvSpPr>
      <xdr:spPr>
        <a:xfrm flipH="1">
          <a:off x="11227272280" y="28746450"/>
          <a:ext cx="207169" cy="916781"/>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19</xdr:col>
      <xdr:colOff>0</xdr:colOff>
      <xdr:row>74</xdr:row>
      <xdr:rowOff>11906</xdr:rowOff>
    </xdr:from>
    <xdr:to>
      <xdr:col>19</xdr:col>
      <xdr:colOff>3786187</xdr:colOff>
      <xdr:row>74</xdr:row>
      <xdr:rowOff>416719</xdr:rowOff>
    </xdr:to>
    <xdr:sp macro="" textlink="">
      <xdr:nvSpPr>
        <xdr:cNvPr id="37" name="Plaque 36">
          <a:extLst>
            <a:ext uri="{FF2B5EF4-FFF2-40B4-BE49-F238E27FC236}">
              <a16:creationId xmlns:a16="http://schemas.microsoft.com/office/drawing/2014/main" id="{85271A41-3C65-40C5-BD6B-68996224209F}"/>
            </a:ext>
          </a:extLst>
        </xdr:cNvPr>
        <xdr:cNvSpPr/>
      </xdr:nvSpPr>
      <xdr:spPr>
        <a:xfrm>
          <a:off x="11305270125" y="34647187"/>
          <a:ext cx="3786187" cy="404813"/>
        </a:xfrm>
        <a:prstGeom prst="plaque">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050" b="1"/>
            <a:t>اعتماد</a:t>
          </a:r>
          <a:r>
            <a:rPr lang="ar-SA" sz="1050" b="1" baseline="0"/>
            <a:t> النماذج المسؤول عنة لكل عقد ارتباط منفصل</a:t>
          </a:r>
          <a:endParaRPr lang="ar-SA" sz="1050" b="1"/>
        </a:p>
      </xdr:txBody>
    </xdr:sp>
    <xdr:clientData/>
  </xdr:twoCellAnchor>
  <xdr:twoCellAnchor>
    <xdr:from>
      <xdr:col>19</xdr:col>
      <xdr:colOff>11906</xdr:colOff>
      <xdr:row>80</xdr:row>
      <xdr:rowOff>129885</xdr:rowOff>
    </xdr:from>
    <xdr:to>
      <xdr:col>19</xdr:col>
      <xdr:colOff>3798093</xdr:colOff>
      <xdr:row>80</xdr:row>
      <xdr:rowOff>1212272</xdr:rowOff>
    </xdr:to>
    <xdr:sp macro="" textlink="">
      <xdr:nvSpPr>
        <xdr:cNvPr id="38" name="Plaque 37">
          <a:extLst>
            <a:ext uri="{FF2B5EF4-FFF2-40B4-BE49-F238E27FC236}">
              <a16:creationId xmlns:a16="http://schemas.microsoft.com/office/drawing/2014/main" id="{3C0F0215-4BAD-4EC2-808D-287946FC09FC}"/>
            </a:ext>
          </a:extLst>
        </xdr:cNvPr>
        <xdr:cNvSpPr/>
      </xdr:nvSpPr>
      <xdr:spPr>
        <a:xfrm>
          <a:off x="11335852952" y="35718749"/>
          <a:ext cx="3786187" cy="1082387"/>
        </a:xfrm>
        <a:prstGeom prst="plaque">
          <a:avLst>
            <a:gd name="adj" fmla="val 1470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ar-SA" sz="1050" b="1"/>
            <a:t>تظهر هنا قائمة عقود الارتباط المسجلة بالسكرتارية والمحددة  للمدقق الفني فقط وبطريقة غير نشطة </a:t>
          </a:r>
        </a:p>
        <a:p>
          <a:pPr algn="ctr" rtl="1"/>
          <a:r>
            <a:rPr lang="ar-SA" sz="1050" b="1"/>
            <a:t>وعند قبولها لدي مدير التدقيق تصبح نشطة ويمكن العمل عليها وتكوين ملف المراجعة</a:t>
          </a:r>
        </a:p>
      </xdr:txBody>
    </xdr:sp>
    <xdr:clientData/>
  </xdr:twoCellAnchor>
  <xdr:twoCellAnchor>
    <xdr:from>
      <xdr:col>18</xdr:col>
      <xdr:colOff>38100</xdr:colOff>
      <xdr:row>74</xdr:row>
      <xdr:rowOff>488165</xdr:rowOff>
    </xdr:from>
    <xdr:to>
      <xdr:col>19</xdr:col>
      <xdr:colOff>1431883</xdr:colOff>
      <xdr:row>75</xdr:row>
      <xdr:rowOff>234731</xdr:rowOff>
    </xdr:to>
    <xdr:sp macro="" textlink="">
      <xdr:nvSpPr>
        <xdr:cNvPr id="48" name="Flowchart: Multidocument 47">
          <a:extLst>
            <a:ext uri="{FF2B5EF4-FFF2-40B4-BE49-F238E27FC236}">
              <a16:creationId xmlns:a16="http://schemas.microsoft.com/office/drawing/2014/main" id="{B4EBAA07-31F7-40BB-9386-A77868C76D0B}"/>
            </a:ext>
          </a:extLst>
        </xdr:cNvPr>
        <xdr:cNvSpPr/>
      </xdr:nvSpPr>
      <xdr:spPr>
        <a:xfrm>
          <a:off x="11226923867" y="35349665"/>
          <a:ext cx="2079583" cy="832416"/>
        </a:xfrm>
        <a:prstGeom prst="flowChartMultidocumen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معتمد وينتقل لمرحة المدقق</a:t>
          </a:r>
          <a:r>
            <a:rPr lang="ar-SA" sz="1100" b="1" baseline="0"/>
            <a:t> الفني</a:t>
          </a:r>
          <a:endParaRPr lang="ar-SA" sz="1100" b="1"/>
        </a:p>
      </xdr:txBody>
    </xdr:sp>
    <xdr:clientData/>
  </xdr:twoCellAnchor>
  <xdr:twoCellAnchor>
    <xdr:from>
      <xdr:col>19</xdr:col>
      <xdr:colOff>2131219</xdr:colOff>
      <xdr:row>74</xdr:row>
      <xdr:rowOff>506195</xdr:rowOff>
    </xdr:from>
    <xdr:to>
      <xdr:col>19</xdr:col>
      <xdr:colOff>3821906</xdr:colOff>
      <xdr:row>75</xdr:row>
      <xdr:rowOff>252761</xdr:rowOff>
    </xdr:to>
    <xdr:sp macro="" textlink="">
      <xdr:nvSpPr>
        <xdr:cNvPr id="51" name="Flowchart: Multidocument 50">
          <a:extLst>
            <a:ext uri="{FF2B5EF4-FFF2-40B4-BE49-F238E27FC236}">
              <a16:creationId xmlns:a16="http://schemas.microsoft.com/office/drawing/2014/main" id="{5286CB38-C1C9-4AF8-89BB-E697A3F8280A}"/>
            </a:ext>
          </a:extLst>
        </xdr:cNvPr>
        <xdr:cNvSpPr/>
      </xdr:nvSpPr>
      <xdr:spPr>
        <a:xfrm>
          <a:off x="11305234406" y="35141476"/>
          <a:ext cx="1690687" cy="830035"/>
        </a:xfrm>
        <a:prstGeom prst="flowChartMultidocument">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غير معتمد ويتم ردة</a:t>
          </a:r>
          <a:r>
            <a:rPr lang="ar-SA" sz="1100" b="1" baseline="0"/>
            <a:t> للسكرتارية مع شرح لاسباب الرفض</a:t>
          </a:r>
          <a:endParaRPr lang="ar-SA" sz="1100" b="1"/>
        </a:p>
      </xdr:txBody>
    </xdr:sp>
    <xdr:clientData/>
  </xdr:twoCellAnchor>
  <xdr:twoCellAnchor>
    <xdr:from>
      <xdr:col>19</xdr:col>
      <xdr:colOff>1797843</xdr:colOff>
      <xdr:row>74</xdr:row>
      <xdr:rowOff>488166</xdr:rowOff>
    </xdr:from>
    <xdr:to>
      <xdr:col>19</xdr:col>
      <xdr:colOff>2155031</xdr:colOff>
      <xdr:row>74</xdr:row>
      <xdr:rowOff>750102</xdr:rowOff>
    </xdr:to>
    <xdr:cxnSp macro="">
      <xdr:nvCxnSpPr>
        <xdr:cNvPr id="53" name="Straight Arrow Connector 52">
          <a:extLst>
            <a:ext uri="{FF2B5EF4-FFF2-40B4-BE49-F238E27FC236}">
              <a16:creationId xmlns:a16="http://schemas.microsoft.com/office/drawing/2014/main" id="{921CF862-D587-4150-A7EB-E08780611EC8}"/>
            </a:ext>
          </a:extLst>
        </xdr:cNvPr>
        <xdr:cNvCxnSpPr/>
      </xdr:nvCxnSpPr>
      <xdr:spPr>
        <a:xfrm flipH="1">
          <a:off x="11306901281" y="35123447"/>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1404937</xdr:colOff>
      <xdr:row>74</xdr:row>
      <xdr:rowOff>500071</xdr:rowOff>
    </xdr:from>
    <xdr:to>
      <xdr:col>19</xdr:col>
      <xdr:colOff>1750218</xdr:colOff>
      <xdr:row>74</xdr:row>
      <xdr:rowOff>773914</xdr:rowOff>
    </xdr:to>
    <xdr:cxnSp macro="">
      <xdr:nvCxnSpPr>
        <xdr:cNvPr id="54" name="Straight Arrow Connector 53">
          <a:extLst>
            <a:ext uri="{FF2B5EF4-FFF2-40B4-BE49-F238E27FC236}">
              <a16:creationId xmlns:a16="http://schemas.microsoft.com/office/drawing/2014/main" id="{FBFF44AD-5EB0-43B2-909B-A64486A9A680}"/>
            </a:ext>
          </a:extLst>
        </xdr:cNvPr>
        <xdr:cNvCxnSpPr/>
      </xdr:nvCxnSpPr>
      <xdr:spPr>
        <a:xfrm>
          <a:off x="11307306094" y="35135352"/>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1845468</xdr:colOff>
      <xdr:row>49</xdr:row>
      <xdr:rowOff>404812</xdr:rowOff>
    </xdr:from>
    <xdr:to>
      <xdr:col>19</xdr:col>
      <xdr:colOff>2202656</xdr:colOff>
      <xdr:row>50</xdr:row>
      <xdr:rowOff>23811</xdr:rowOff>
    </xdr:to>
    <xdr:cxnSp macro="">
      <xdr:nvCxnSpPr>
        <xdr:cNvPr id="55" name="Straight Arrow Connector 54">
          <a:extLst>
            <a:ext uri="{FF2B5EF4-FFF2-40B4-BE49-F238E27FC236}">
              <a16:creationId xmlns:a16="http://schemas.microsoft.com/office/drawing/2014/main" id="{E0E58EE8-8269-446D-A422-2BAF41AB54DF}"/>
            </a:ext>
          </a:extLst>
        </xdr:cNvPr>
        <xdr:cNvCxnSpPr/>
      </xdr:nvCxnSpPr>
      <xdr:spPr>
        <a:xfrm flipH="1">
          <a:off x="11306853656" y="25157906"/>
          <a:ext cx="357188" cy="2619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1452562</xdr:colOff>
      <xdr:row>49</xdr:row>
      <xdr:rowOff>416717</xdr:rowOff>
    </xdr:from>
    <xdr:to>
      <xdr:col>19</xdr:col>
      <xdr:colOff>1797843</xdr:colOff>
      <xdr:row>50</xdr:row>
      <xdr:rowOff>47623</xdr:rowOff>
    </xdr:to>
    <xdr:cxnSp macro="">
      <xdr:nvCxnSpPr>
        <xdr:cNvPr id="56" name="Straight Arrow Connector 55">
          <a:extLst>
            <a:ext uri="{FF2B5EF4-FFF2-40B4-BE49-F238E27FC236}">
              <a16:creationId xmlns:a16="http://schemas.microsoft.com/office/drawing/2014/main" id="{0160EBFF-A424-4EF4-86B4-87E89C909B4A}"/>
            </a:ext>
          </a:extLst>
        </xdr:cNvPr>
        <xdr:cNvCxnSpPr/>
      </xdr:nvCxnSpPr>
      <xdr:spPr>
        <a:xfrm>
          <a:off x="11307258469" y="25169811"/>
          <a:ext cx="345281" cy="273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1523999</xdr:colOff>
      <xdr:row>75</xdr:row>
      <xdr:rowOff>363318</xdr:rowOff>
    </xdr:from>
    <xdr:to>
      <xdr:col>19</xdr:col>
      <xdr:colOff>3803338</xdr:colOff>
      <xdr:row>80</xdr:row>
      <xdr:rowOff>0</xdr:rowOff>
    </xdr:to>
    <xdr:sp macro="" textlink="">
      <xdr:nvSpPr>
        <xdr:cNvPr id="57" name="Flowchart: Multidocument 56">
          <a:extLst>
            <a:ext uri="{FF2B5EF4-FFF2-40B4-BE49-F238E27FC236}">
              <a16:creationId xmlns:a16="http://schemas.microsoft.com/office/drawing/2014/main" id="{C68E8FA2-1F4C-42B1-962C-B9C516F78D34}"/>
            </a:ext>
          </a:extLst>
        </xdr:cNvPr>
        <xdr:cNvSpPr/>
      </xdr:nvSpPr>
      <xdr:spPr>
        <a:xfrm>
          <a:off x="11305252974" y="36082068"/>
          <a:ext cx="2279339" cy="970182"/>
        </a:xfrm>
        <a:prstGeom prst="flowChartMultidocument">
          <a:avLst/>
        </a:prstGeom>
        <a:solidFill>
          <a:schemeClr val="accent2"/>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1" anchor="ctr"/>
        <a:lstStyle/>
        <a:p>
          <a:pPr algn="ctr" rtl="1"/>
          <a:r>
            <a:rPr lang="ar-SA" sz="1100" b="1"/>
            <a:t>نقاش اسباب الرفض مع العميل ومدير التدقيق والنتيجة اما اعتماد والمواصلة فى التعاقد او تاكيد الرفض وارجاعة للعميل</a:t>
          </a:r>
        </a:p>
      </xdr:txBody>
    </xdr:sp>
    <xdr:clientData/>
  </xdr:twoCellAnchor>
  <xdr:twoCellAnchor>
    <xdr:from>
      <xdr:col>19</xdr:col>
      <xdr:colOff>2678906</xdr:colOff>
      <xdr:row>75</xdr:row>
      <xdr:rowOff>130978</xdr:rowOff>
    </xdr:from>
    <xdr:to>
      <xdr:col>19</xdr:col>
      <xdr:colOff>2690813</xdr:colOff>
      <xdr:row>76</xdr:row>
      <xdr:rowOff>95249</xdr:rowOff>
    </xdr:to>
    <xdr:cxnSp macro="">
      <xdr:nvCxnSpPr>
        <xdr:cNvPr id="58" name="Straight Arrow Connector 57">
          <a:extLst>
            <a:ext uri="{FF2B5EF4-FFF2-40B4-BE49-F238E27FC236}">
              <a16:creationId xmlns:a16="http://schemas.microsoft.com/office/drawing/2014/main" id="{1D177944-5A79-482E-8877-B45A48DCBEA0}"/>
            </a:ext>
          </a:extLst>
        </xdr:cNvPr>
        <xdr:cNvCxnSpPr/>
      </xdr:nvCxnSpPr>
      <xdr:spPr>
        <a:xfrm>
          <a:off x="11306365499" y="35849728"/>
          <a:ext cx="11907" cy="3690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1452562</xdr:colOff>
      <xdr:row>75</xdr:row>
      <xdr:rowOff>83344</xdr:rowOff>
    </xdr:from>
    <xdr:to>
      <xdr:col>19</xdr:col>
      <xdr:colOff>1821656</xdr:colOff>
      <xdr:row>75</xdr:row>
      <xdr:rowOff>333375</xdr:rowOff>
    </xdr:to>
    <xdr:cxnSp macro="">
      <xdr:nvCxnSpPr>
        <xdr:cNvPr id="66" name="Straight Arrow Connector 65">
          <a:extLst>
            <a:ext uri="{FF2B5EF4-FFF2-40B4-BE49-F238E27FC236}">
              <a16:creationId xmlns:a16="http://schemas.microsoft.com/office/drawing/2014/main" id="{3A027723-992A-4F64-873E-0CA3B6660301}"/>
            </a:ext>
          </a:extLst>
        </xdr:cNvPr>
        <xdr:cNvCxnSpPr/>
      </xdr:nvCxnSpPr>
      <xdr:spPr>
        <a:xfrm flipV="1">
          <a:off x="11307234656" y="35802094"/>
          <a:ext cx="369094" cy="2500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654843</xdr:colOff>
      <xdr:row>75</xdr:row>
      <xdr:rowOff>107157</xdr:rowOff>
    </xdr:from>
    <xdr:to>
      <xdr:col>19</xdr:col>
      <xdr:colOff>675409</xdr:colOff>
      <xdr:row>80</xdr:row>
      <xdr:rowOff>277091</xdr:rowOff>
    </xdr:to>
    <xdr:cxnSp macro="">
      <xdr:nvCxnSpPr>
        <xdr:cNvPr id="61" name="Straight Arrow Connector 60">
          <a:extLst>
            <a:ext uri="{FF2B5EF4-FFF2-40B4-BE49-F238E27FC236}">
              <a16:creationId xmlns:a16="http://schemas.microsoft.com/office/drawing/2014/main" id="{0C6DB28D-CD09-490A-A9BD-1412E2DC3967}"/>
            </a:ext>
          </a:extLst>
        </xdr:cNvPr>
        <xdr:cNvCxnSpPr/>
      </xdr:nvCxnSpPr>
      <xdr:spPr>
        <a:xfrm flipH="1">
          <a:off x="11338975636" y="34362521"/>
          <a:ext cx="20566" cy="1503434"/>
        </a:xfrm>
        <a:prstGeom prst="straightConnector1">
          <a:avLst/>
        </a:prstGeom>
        <a:ln>
          <a:solidFill>
            <a:srgbClr val="FFFF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6b925f76f2c2ae2/Desktop/&#1576;&#1585;&#1606;&#1575;&#1605;&#1580;%20&#1575;&#1604;&#1605;&#1585;&#1575;&#1580;&#1593;&#1577;%20&#1575;&#1604;&#1575;&#1587;&#1575;&#1587;&#1610;/&#1576;&#1585;&#1606;&#1575;&#1605;&#1580;%20&#1605;&#1585;&#1575;&#1580;&#1593;&#1577;(%20&#1600;&#1600;&#1600;&#1600;&#1600;&#1600;%20&#1588;&#1585;&#1603;&#1577;%20&#1582;&#1583;&#1605;&#1575;&#1578;%20&#1575;&#1604;&#1605;&#1588;&#1575;&#1593;&#1585;%20&#1604;&#1604;&#1605;&#1606;&#1578;&#1580;&#1575;&#1578;%20&#1575;&#1604;&#1575;&#1587;&#1605;&#1606;&#1578;&#1610;&#1577;%20&#1600;&#1600;%20%20%20%20)%202024%20&#1605;%20.xlsx" TargetMode="External"/><Relationship Id="rId1" Type="http://schemas.openxmlformats.org/officeDocument/2006/relationships/externalLinkPath" Target="/b6b925f76f2c2ae2/Desktop/&#1576;&#1585;&#1606;&#1575;&#1605;&#1580;%20&#1575;&#1604;&#1605;&#1585;&#1575;&#1580;&#1593;&#1577;%20&#1575;&#1604;&#1575;&#1587;&#1575;&#1587;&#1610;/&#1576;&#1585;&#1606;&#1575;&#1605;&#1580;%20&#1605;&#1585;&#1575;&#1580;&#1593;&#1577;(%20&#1600;&#1600;&#1600;&#1600;&#1600;&#1600;%20&#1588;&#1585;&#1603;&#1577;%20&#1582;&#1583;&#1605;&#1575;&#1578;%20&#1575;&#1604;&#1605;&#1588;&#1575;&#1593;&#1585;%20&#1604;&#1604;&#1605;&#1606;&#1578;&#1580;&#1575;&#1578;%20&#1575;&#1604;&#1575;&#1587;&#1605;&#1606;&#1578;&#1610;&#1577;%20&#1600;&#1600;%20%20%20%20)%202024%20&#1605;%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ع1-ن18"/>
      <sheetName val="Sheet5"/>
      <sheetName val="ملاحظات الفحص "/>
      <sheetName val="تحليل التوقعات"/>
      <sheetName val="البيانات"/>
      <sheetName val="Sheet2"/>
      <sheetName val="نافذة وفهرست وتقرير"/>
      <sheetName val="القوائم المالية"/>
      <sheetName val="الاثر المالي"/>
      <sheetName val="الاصول الثابتة2"/>
      <sheetName val="النسب المالية"/>
      <sheetName val="اوراق العمل"/>
      <sheetName val="ميزان المراجعة النموذجي"/>
      <sheetName val="Sheet3"/>
      <sheetName val="Sheet4"/>
      <sheetName val="Sheet1"/>
      <sheetName val="العينات"/>
      <sheetName val="نموذج اقرار الزكاةوالضريبة"/>
      <sheetName val="آلة حاسبة"/>
    </sheetNames>
    <sheetDataSet>
      <sheetData sheetId="0"/>
      <sheetData sheetId="1"/>
      <sheetData sheetId="2"/>
      <sheetData sheetId="3"/>
      <sheetData sheetId="4">
        <row r="1">
          <cell r="D1" t="str">
            <v>شركة حصاد الجحاز للتجارة العامة والمقاولات القابضة</v>
          </cell>
        </row>
        <row r="2">
          <cell r="D2" t="str">
            <v>شركة ذات مسؤولية محدودة</v>
          </cell>
        </row>
        <row r="3">
          <cell r="D3" t="str">
            <v>للسنة المالية المنتهية في</v>
          </cell>
        </row>
        <row r="4">
          <cell r="D4">
            <v>45657</v>
          </cell>
        </row>
        <row r="9">
          <cell r="B9" t="str">
            <v>التوقيع المعتمد</v>
          </cell>
          <cell r="D9" t="str">
            <v>أ مسعود الرفيدي</v>
          </cell>
          <cell r="N9" t="str">
            <v>الشريك المسؤول</v>
          </cell>
        </row>
        <row r="10">
          <cell r="B10" t="str">
            <v>المدقق المباشر</v>
          </cell>
          <cell r="D10" t="str">
            <v>أ.اسلام الأشقر</v>
          </cell>
          <cell r="N10" t="str">
            <v>مدقق حسابات</v>
          </cell>
        </row>
        <row r="11">
          <cell r="B11" t="str">
            <v>مدير المراجعة</v>
          </cell>
          <cell r="D11" t="str">
            <v>أ. طاهر عبد الغفور</v>
          </cell>
          <cell r="N11" t="str">
            <v>مدير المراجعة</v>
          </cell>
        </row>
        <row r="12">
          <cell r="B12" t="str">
            <v>الإدارة</v>
          </cell>
          <cell r="D12" t="str">
            <v>أ. طاهر عبد الغفور</v>
          </cell>
          <cell r="N12" t="str">
            <v>المدير الإداري</v>
          </cell>
        </row>
      </sheetData>
      <sheetData sheetId="5"/>
      <sheetData sheetId="6"/>
      <sheetData sheetId="7">
        <row r="9">
          <cell r="A9" t="str">
            <v>النقد وما في حكمة</v>
          </cell>
        </row>
        <row r="10">
          <cell r="A10" t="str">
            <v>أعمال تحت التنفيذ</v>
          </cell>
        </row>
        <row r="11">
          <cell r="A11" t="str">
            <v>ذمم وارصدة مدينة تجارية</v>
          </cell>
        </row>
        <row r="12">
          <cell r="A12" t="str">
            <v>المخزون السلعي  ( البضاعة )</v>
          </cell>
        </row>
        <row r="13">
          <cell r="A13" t="str">
            <v>ذمم وارصدة مدينة اخري</v>
          </cell>
        </row>
        <row r="14">
          <cell r="A14" t="str">
            <v>مستحق من اطراف ذات علاقة</v>
          </cell>
        </row>
        <row r="15">
          <cell r="A15" t="str">
            <v>أرصدة مدينة مدفوعة مقدما</v>
          </cell>
        </row>
        <row r="16">
          <cell r="A16" t="str">
            <v>مصاريف تمويل مؤجلة</v>
          </cell>
        </row>
        <row r="17">
          <cell r="A17" t="str">
            <v>تعويضات مستحقة</v>
          </cell>
        </row>
        <row r="18">
          <cell r="A18" t="str">
            <v>أوراق قبض</v>
          </cell>
        </row>
        <row r="19">
          <cell r="A19" t="str">
            <v>خطابات ضمان</v>
          </cell>
        </row>
        <row r="20">
          <cell r="A20" t="str">
            <v>مخزون غير معد للبيع</v>
          </cell>
        </row>
        <row r="21">
          <cell r="A21" t="str">
            <v>الإيرادات المستحقة</v>
          </cell>
        </row>
        <row r="26">
          <cell r="A26" t="str">
            <v>مجموع الموجودات المتداولة</v>
          </cell>
        </row>
        <row r="27">
          <cell r="A27" t="str">
            <v>الموجودات غير المتداولة</v>
          </cell>
        </row>
        <row r="28">
          <cell r="A28" t="str">
            <v>أصول غير ملموسة</v>
          </cell>
        </row>
        <row r="29">
          <cell r="A29" t="str">
            <v>أصول بموجب عقود ايجار تمويلي</v>
          </cell>
        </row>
        <row r="30">
          <cell r="A30" t="str">
            <v>استثمارات طويلة الاجل</v>
          </cell>
        </row>
        <row r="31">
          <cell r="A31" t="str">
            <v>استثمارات متاحة للبيع</v>
          </cell>
        </row>
        <row r="32">
          <cell r="A32" t="str">
            <v>مصاريف ايرادية مؤجلة</v>
          </cell>
        </row>
        <row r="33">
          <cell r="A33" t="str">
            <v>مصاريف التاسيس ومشاريع تحت التنفيذ</v>
          </cell>
        </row>
        <row r="34">
          <cell r="A34" t="str">
            <v>الممتلكات والالات والمعدات</v>
          </cell>
        </row>
        <row r="41">
          <cell r="A41" t="str">
            <v>مجموع الموجودات غير المتداولة</v>
          </cell>
        </row>
        <row r="42">
          <cell r="A42" t="str">
            <v xml:space="preserve"> إجمالي الموجودات</v>
          </cell>
        </row>
        <row r="44">
          <cell r="A44" t="str">
            <v>المطلوبات وحقوق الشركاء</v>
          </cell>
        </row>
        <row r="45">
          <cell r="A45" t="str">
            <v>المطلوبات المتداولة:</v>
          </cell>
        </row>
        <row r="46">
          <cell r="A46" t="str">
            <v>ذمم وارصدة دائنة تجارية</v>
          </cell>
        </row>
        <row r="47">
          <cell r="A47" t="str">
            <v>ذمم وارصدة دائنة اخري</v>
          </cell>
        </row>
        <row r="48">
          <cell r="A48" t="str">
            <v>مستحق الي أطرف ذات علاقة ضمن المطلوبات المتداولة شركات شقيقة</v>
          </cell>
        </row>
        <row r="49">
          <cell r="A49" t="str">
            <v>مستحق الي أطرف ذات علاقة ضمن المطلوبات المتداولة شركاء</v>
          </cell>
        </row>
        <row r="50">
          <cell r="A50" t="str">
            <v>الجزء المتداول من الالتزامات بموجب عقود ايجار تمويلي</v>
          </cell>
        </row>
        <row r="51">
          <cell r="A51" t="str">
            <v>الجزء المتداول من قروض قصيرة الاجل</v>
          </cell>
        </row>
        <row r="52">
          <cell r="A52" t="str">
            <v>الجزء المتداول من قروض طويلة الاجل</v>
          </cell>
        </row>
        <row r="53">
          <cell r="A53" t="str">
            <v>مصروفات مستحقة</v>
          </cell>
        </row>
        <row r="54">
          <cell r="A54" t="str">
            <v>اوراق دفع</v>
          </cell>
        </row>
        <row r="60">
          <cell r="A60" t="str">
            <v>مخصص الزكاة والضريبة</v>
          </cell>
        </row>
        <row r="62">
          <cell r="A62" t="str">
            <v>مجموع المطلوبات المتداولة</v>
          </cell>
        </row>
        <row r="63">
          <cell r="A63" t="str">
            <v>المطلوبات غير المتداولة:</v>
          </cell>
        </row>
        <row r="64">
          <cell r="A64" t="str">
            <v>مخصص مكافأة ترك الخدمة</v>
          </cell>
        </row>
        <row r="65">
          <cell r="A65" t="str">
            <v>مستحق الي أطرف ذات علاقة ضمن المطلوبات غير المتداولة شركات شقيقة</v>
          </cell>
        </row>
        <row r="66">
          <cell r="A66" t="str">
            <v>مستحق الي أطرف ذات علاقة ضمن المطلوبات غير المتداولة شركاء</v>
          </cell>
        </row>
        <row r="67">
          <cell r="A67" t="str">
            <v>الجزء الغير متداول من الالتزامات بموجب عقود ايجار تمويلي</v>
          </cell>
        </row>
        <row r="68">
          <cell r="A68" t="str">
            <v>الجزء الغير متداول من قروض قصيرة الاجل</v>
          </cell>
        </row>
        <row r="74">
          <cell r="A74" t="str">
            <v>مجموع المطلوبات غير المتداولة</v>
          </cell>
        </row>
        <row r="75">
          <cell r="A75" t="str">
            <v>حقوق الشركاء</v>
          </cell>
        </row>
        <row r="76">
          <cell r="A76" t="str">
            <v>راس المال</v>
          </cell>
        </row>
        <row r="77">
          <cell r="A77" t="str">
            <v>الاحتياطي النظامي</v>
          </cell>
        </row>
        <row r="78">
          <cell r="A78" t="str">
            <v>الاحتياطي الاختياري</v>
          </cell>
        </row>
        <row r="79">
          <cell r="A79" t="str">
            <v>احتياطات اخري</v>
          </cell>
        </row>
        <row r="80">
          <cell r="A80" t="str">
            <v>رأس المال الإضافي</v>
          </cell>
        </row>
        <row r="81">
          <cell r="A81" t="str">
            <v>إضافة حساب جديد 1(حقوق الملكية / الشركاء / المساهمين)</v>
          </cell>
        </row>
        <row r="82">
          <cell r="A82" t="str">
            <v>إضافة حساب جديد 2(حقوق الملكية / الشركاء / المساهمين)</v>
          </cell>
        </row>
        <row r="87">
          <cell r="A87" t="str">
            <v>صافي الأرباح المبقاه</v>
          </cell>
        </row>
        <row r="88">
          <cell r="A88" t="str">
            <v>مجموع حقوق الشركاء</v>
          </cell>
          <cell r="E88">
            <v>0</v>
          </cell>
        </row>
        <row r="89">
          <cell r="A89" t="str">
            <v>مجموع المطلوبات</v>
          </cell>
        </row>
        <row r="90">
          <cell r="A90" t="str">
            <v>إجمالي حقوق الشركاء والمطلوبات</v>
          </cell>
        </row>
        <row r="92">
          <cell r="A92" t="str">
            <v>قائمة الدخل والدخل الشامل الآخر</v>
          </cell>
        </row>
        <row r="93">
          <cell r="A93">
            <v>45657</v>
          </cell>
        </row>
        <row r="94">
          <cell r="A94" t="str">
            <v>إيرادات العمليات المستمرة</v>
          </cell>
        </row>
        <row r="95">
          <cell r="A95" t="str">
            <v>الإيرادات</v>
          </cell>
          <cell r="E95">
            <v>0</v>
          </cell>
        </row>
        <row r="96">
          <cell r="A96" t="str">
            <v>تكلفة الإيرادات</v>
          </cell>
        </row>
        <row r="97">
          <cell r="A97" t="str">
            <v>مجمل ربح التشغيل</v>
          </cell>
        </row>
        <row r="99">
          <cell r="A99" t="str">
            <v>مصاريف العمليات المستمرة</v>
          </cell>
        </row>
        <row r="100">
          <cell r="A100" t="str">
            <v xml:space="preserve">مصروفات بيعيه وتسويقية </v>
          </cell>
        </row>
        <row r="101">
          <cell r="A101" t="str">
            <v>مصروفات عمومية وإدارية</v>
          </cell>
        </row>
        <row r="102">
          <cell r="A102" t="str">
            <v>أرباح / خسائر راسمالية</v>
          </cell>
        </row>
        <row r="103">
          <cell r="A103" t="str">
            <v>مصروفات تمويلية</v>
          </cell>
        </row>
        <row r="107">
          <cell r="A107" t="str">
            <v>مجموع المصروفات</v>
          </cell>
          <cell r="E107">
            <v>0</v>
          </cell>
        </row>
        <row r="108">
          <cell r="A108" t="str">
            <v>صافي ربح التشغيل من النشاط الرئيسي</v>
          </cell>
          <cell r="E108">
            <v>0</v>
          </cell>
          <cell r="G108">
            <v>0</v>
          </cell>
          <cell r="I108">
            <v>0</v>
          </cell>
          <cell r="K108">
            <v>0</v>
          </cell>
          <cell r="M108">
            <v>0</v>
          </cell>
        </row>
        <row r="110">
          <cell r="A110" t="str">
            <v>العمليات غير المستمرة</v>
          </cell>
        </row>
        <row r="111">
          <cell r="A111" t="str">
            <v xml:space="preserve">إيرادات اخري </v>
          </cell>
        </row>
        <row r="113">
          <cell r="A113" t="str">
            <v>تكاليف اخري</v>
          </cell>
        </row>
        <row r="117">
          <cell r="A117" t="str">
            <v>صافي ربح / خسارة العمليات غير المستمرة</v>
          </cell>
        </row>
        <row r="118">
          <cell r="A118" t="str">
            <v>دخل (خسارة) السنة قبل الزكاة والضريبة</v>
          </cell>
        </row>
        <row r="119">
          <cell r="A119" t="str">
            <v>الزكاة الشرعية</v>
          </cell>
        </row>
        <row r="120">
          <cell r="A120" t="str">
            <v>ضريبة الدخل</v>
          </cell>
        </row>
        <row r="121">
          <cell r="A121" t="str">
            <v>صافي أرباح السنة</v>
          </cell>
        </row>
        <row r="123">
          <cell r="A123" t="str">
            <v>الدخل الشامل الاخر</v>
          </cell>
        </row>
        <row r="124">
          <cell r="A124" t="str">
            <v>بنود لم يتم إعادة تصنيفها ضمن الربح والخسارة</v>
          </cell>
        </row>
        <row r="125">
          <cell r="A125" t="str">
            <v>أرباح / خسائر اكتوارية من إعادة قياس منافع الموظفين</v>
          </cell>
        </row>
        <row r="126">
          <cell r="A126" t="str">
            <v>إعادة احتساب استهلاك الأصول الثابتة</v>
          </cell>
        </row>
        <row r="127">
          <cell r="A127" t="str">
            <v xml:space="preserve"> الدخل والدخل الشامل الآخر للسنة </v>
          </cell>
        </row>
        <row r="129">
          <cell r="A129" t="str">
            <v xml:space="preserve">ربحية السهم </v>
          </cell>
        </row>
        <row r="130">
          <cell r="A130" t="str">
            <v xml:space="preserve">ربحية السهم </v>
          </cell>
        </row>
        <row r="131">
          <cell r="A131" t="str">
            <v>تم إحتساب ربحية السهم بقسمة صافي دخل العام على المتوسط المرجح لعدد الأسهم القائمة في تاريخ اعداد القوائم المالية والبالغة 50,000 سهم</v>
          </cell>
        </row>
      </sheetData>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khalil Osman" id="{3EBF3226-BCF7-4833-BABE-E5FE5DC04ED5}" userId="b6b925f76f2c2ae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1" dT="2025-08-16T12:58:18.36" personId="{3EBF3226-BCF7-4833-BABE-E5FE5DC04ED5}" id="{D34C375C-373C-4951-ACC6-5052188FA384}">
    <text xml:space="preserve">السنة المالية للمشترك
مثال : اذا كان العام الحالي 2025 واراد المشترك الاشتراك علي ان يكون عام البداية هو العام 2023 لادخال البيانات المالية القديمة لة مما يفيد ذلك بحفظ أرشيف اقدم لة عن العام الحالي ويساهم في زيادة دقة النسب المالية التي سيتم احتسابها لعملاءة بتاء علي ذلك سيتم تمكين الURL الخاص بة من فتح البيانات الخاصة بالعام 2023 بالإضافة لعام المقارنة 2022 السابقة </text>
  </threadedComment>
  <threadedComment ref="D41" dT="2025-08-16T12:58:39.02" personId="{3EBF3226-BCF7-4833-BABE-E5FE5DC04ED5}" id="{BCB275C3-92A3-4D19-A1B9-CFAB9BCAD0EC}" parentId="{D34C375C-373C-4951-ACC6-5052188FA384}">
    <text>khalil</text>
  </threadedComment>
  <threadedComment ref="D45" dT="2025-08-16T13:00:30.11" personId="{3EBF3226-BCF7-4833-BABE-E5FE5DC04ED5}" id="{9D315258-0AE0-4FCB-8271-7CD3B0D230F2}">
    <text xml:space="preserve">تاريخ الاشتراك هو التاريخ الذي يتم بة اشتراك المشترك والذي علي اساسة يتم تجديد الاشتراك </text>
  </threadedComment>
  <threadedComment ref="D45" dT="2025-08-16T13:00:45.43" personId="{3EBF3226-BCF7-4833-BABE-E5FE5DC04ED5}" id="{C27C75B7-3A4C-489A-9908-0C5340277639}" parentId="{9D315258-0AE0-4FCB-8271-7CD3B0D230F2}">
    <text>خليل</text>
  </threadedComment>
  <threadedComment ref="D49" dT="2025-08-16T13:02:32.93" personId="{3EBF3226-BCF7-4833-BABE-E5FE5DC04ED5}" id="{25C4FAB2-5A36-493C-A574-1946A6C6F7A7}">
    <text>تاريخ بداية الاشتراك يكون هو تاريخ بداية التجديد</text>
  </threadedComment>
</ThreadedComments>
</file>

<file path=xl/threadedComments/threadedComment2.xml><?xml version="1.0" encoding="utf-8"?>
<ThreadedComments xmlns="http://schemas.microsoft.com/office/spreadsheetml/2018/threadedcomments" xmlns:x="http://schemas.openxmlformats.org/spreadsheetml/2006/main">
  <threadedComment ref="C50" dT="2025-09-29T07:08:08.64" personId="{3EBF3226-BCF7-4833-BABE-E5FE5DC04ED5}" id="{1A929C92-3148-4B9C-B38A-23AC2F3A7117}">
    <text xml:space="preserve">يمثل رقم العقد ما يلي 
1- سنة القوائم المالية مثال 2025
2- سنة موسم القوائم المالية مثال 2026 ودائما سنة موسم القوائم المالية تكون اكبر من تاريخ القوائم المالية 
3- رقم السجل التجاري للمنشاءة محل المراجعة او الرقم الموحد 
4- اسم المنشأة محل المراجعة وغالبا متغير 
5- قطاع المنشأة وغالبا متغير 
هذا يعني ان التحقق سيكون فقط علي 1 و2 و3 ولا داعي لوجود 4 و5وهذا ويتم إضافة رقم مسلسل للعقد لأغراض العمل وعلية سيكون رقم العقد هو 
علي سبيل المثال 
0001 - 2025 - 2026 - الرقم الموحد 
وتفسيرة كما يلي رقم مسلسل 0001 تاريخ القوائم المالية محل التعاقد 2025 و تاريخ موسم العمل بالمكتب 2026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file:///f:\exls%20autorecover\IFRS\IAS%2012%20Income%20Taxes" TargetMode="External"/><Relationship Id="rId3" Type="http://schemas.openxmlformats.org/officeDocument/2006/relationships/hyperlink" Target="file:///f:\exls%20autorecover\IFRS\IAS%2019%20Employee%20Benefits" TargetMode="External"/><Relationship Id="rId7" Type="http://schemas.openxmlformats.org/officeDocument/2006/relationships/hyperlink" Target="file:///f:\exls%20autorecover\IFRS\IAS%2024%20Related%20Party%20Disclosures" TargetMode="External"/><Relationship Id="rId2" Type="http://schemas.openxmlformats.org/officeDocument/2006/relationships/hyperlink" Target="file:///f:\exls%20autorecover\IFRS\IAS%2016%20Property,%20Plant%20and%20Equipment" TargetMode="External"/><Relationship Id="rId1" Type="http://schemas.openxmlformats.org/officeDocument/2006/relationships/hyperlink" Target="file:///f:\exls%20autorecover\IFRS\IAS%202%20Inventories" TargetMode="External"/><Relationship Id="rId6" Type="http://schemas.openxmlformats.org/officeDocument/2006/relationships/hyperlink" Target="file:///f:\exls%20autorecover\IFRS\IAS%2024%20Related%20Party%20Disclosures" TargetMode="External"/><Relationship Id="rId5" Type="http://schemas.openxmlformats.org/officeDocument/2006/relationships/hyperlink" Target="file:///f:\exls%20autorecover\IFRS\IAS%2036%20Impairment%20of%20Assets" TargetMode="External"/><Relationship Id="rId4" Type="http://schemas.openxmlformats.org/officeDocument/2006/relationships/hyperlink" Target="file:///f:\exls%20autorecover\IFRS\IAS%2038%20Intangible%20Asset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6CF5-9363-4561-87FC-2A1FA8AF060E}">
  <sheetPr filterMode="1">
    <pageSetUpPr fitToPage="1"/>
  </sheetPr>
  <dimension ref="A1:BE579"/>
  <sheetViews>
    <sheetView rightToLeft="1" view="pageBreakPreview" topLeftCell="A158" zoomScaleSheetLayoutView="100" workbookViewId="0">
      <selection activeCell="J223" sqref="J223"/>
    </sheetView>
  </sheetViews>
  <sheetFormatPr defaultColWidth="8.625" defaultRowHeight="14.1" customHeight="1" outlineLevelRow="4"/>
  <cols>
    <col min="1" max="1" width="11.375" style="156" customWidth="1"/>
    <col min="2" max="2" width="3.125" style="163" customWidth="1"/>
    <col min="3" max="5" width="3.125" style="162" customWidth="1"/>
    <col min="6" max="6" width="5.75" style="162" customWidth="1"/>
    <col min="7" max="7" width="3.375" style="161" customWidth="1"/>
    <col min="8" max="8" width="6" style="161" customWidth="1"/>
    <col min="9" max="27" width="3.375" style="161" customWidth="1"/>
    <col min="28" max="31" width="3.375" style="157" customWidth="1"/>
    <col min="32" max="32" width="11.25" style="160" customWidth="1"/>
    <col min="33" max="33" width="11.25" style="158" customWidth="1"/>
    <col min="34" max="35" width="11.25" style="159" customWidth="1"/>
    <col min="36" max="37" width="11.25" style="158" customWidth="1"/>
    <col min="38" max="47" width="4.5" style="157" customWidth="1"/>
    <col min="48" max="48" width="15.25" style="157" customWidth="1"/>
    <col min="49" max="50" width="11.25" style="157" customWidth="1"/>
    <col min="51" max="51" width="30.75" style="157" customWidth="1"/>
    <col min="52" max="52" width="18.25" style="157" customWidth="1"/>
    <col min="53" max="16384" width="8.625" style="156"/>
  </cols>
  <sheetData>
    <row r="1" spans="1:57" s="269" customFormat="1" ht="16.5" customHeight="1">
      <c r="B1" s="356" t="str">
        <f>[1]البيانات!D1</f>
        <v>شركة حصاد الجحاز للتجارة العامة والمقاولات القابضة</v>
      </c>
      <c r="C1" s="355"/>
      <c r="D1" s="355"/>
      <c r="E1" s="355"/>
      <c r="F1" s="355"/>
      <c r="G1" s="355"/>
      <c r="H1" s="355"/>
      <c r="I1" s="275"/>
      <c r="J1" s="357" t="str">
        <f>[1]البيانات!B9</f>
        <v>التوقيع المعتمد</v>
      </c>
      <c r="K1" s="355"/>
      <c r="L1" s="355"/>
      <c r="M1" s="355"/>
      <c r="N1" s="379" t="s">
        <v>2978</v>
      </c>
      <c r="O1" s="354" t="str">
        <f>[1]البيانات!D9</f>
        <v>أ مسعود الرفيدي</v>
      </c>
      <c r="P1" s="355"/>
      <c r="Q1" s="355"/>
      <c r="R1" s="355"/>
      <c r="S1" s="355"/>
      <c r="T1" s="379" t="s">
        <v>2977</v>
      </c>
      <c r="U1" s="352" t="str">
        <f>[1]البيانات!N9</f>
        <v>الشريك المسؤول</v>
      </c>
      <c r="V1" s="352"/>
      <c r="W1" s="353"/>
      <c r="X1" s="353"/>
      <c r="Y1" s="353"/>
      <c r="Z1" s="275"/>
      <c r="AA1" s="275"/>
      <c r="AB1" s="276"/>
      <c r="AC1" s="375" t="s">
        <v>2976</v>
      </c>
      <c r="AD1" s="375" t="s">
        <v>461</v>
      </c>
      <c r="AE1" s="375" t="s">
        <v>460</v>
      </c>
      <c r="AF1" s="278"/>
      <c r="AG1" s="279"/>
      <c r="AH1" s="377" t="s">
        <v>2975</v>
      </c>
      <c r="AI1" s="280"/>
      <c r="AJ1" s="279"/>
      <c r="AK1" s="279"/>
      <c r="AL1" s="276"/>
      <c r="AM1" s="276"/>
      <c r="AN1" s="276"/>
      <c r="AO1" s="276"/>
      <c r="AP1" s="276"/>
      <c r="AQ1" s="276"/>
      <c r="AR1" s="276"/>
      <c r="AS1" s="276"/>
      <c r="AT1" s="276"/>
      <c r="AU1" s="276"/>
      <c r="AV1" s="276"/>
      <c r="AW1" s="276"/>
      <c r="AX1" s="276"/>
      <c r="AY1" s="276"/>
      <c r="AZ1" s="276"/>
      <c r="BA1" s="156"/>
      <c r="BB1" s="156"/>
      <c r="BC1" s="156"/>
    </row>
    <row r="2" spans="1:57" s="269" customFormat="1" ht="15" customHeight="1">
      <c r="B2" s="356" t="str">
        <f>[1]البيانات!D2</f>
        <v>شركة ذات مسؤولية محدودة</v>
      </c>
      <c r="C2" s="355"/>
      <c r="D2" s="355"/>
      <c r="E2" s="355"/>
      <c r="F2" s="355"/>
      <c r="G2" s="355"/>
      <c r="H2" s="355"/>
      <c r="I2" s="275"/>
      <c r="J2" s="357" t="str">
        <f>[1]البيانات!B10</f>
        <v>المدقق المباشر</v>
      </c>
      <c r="K2" s="355"/>
      <c r="L2" s="355"/>
      <c r="M2" s="355"/>
      <c r="N2" s="380"/>
      <c r="O2" s="354" t="str">
        <f>[1]البيانات!D10</f>
        <v>أ.اسلام الأشقر</v>
      </c>
      <c r="P2" s="355"/>
      <c r="Q2" s="355"/>
      <c r="R2" s="355"/>
      <c r="S2" s="355"/>
      <c r="T2" s="380"/>
      <c r="U2" s="352" t="str">
        <f>[1]البيانات!N10</f>
        <v>مدقق حسابات</v>
      </c>
      <c r="V2" s="352"/>
      <c r="W2" s="353"/>
      <c r="X2" s="353"/>
      <c r="Y2" s="353"/>
      <c r="Z2" s="275"/>
      <c r="AA2" s="275"/>
      <c r="AB2" s="276"/>
      <c r="AC2" s="376"/>
      <c r="AD2" s="375"/>
      <c r="AE2" s="376"/>
      <c r="AF2" s="278"/>
      <c r="AG2" s="279"/>
      <c r="AH2" s="378"/>
      <c r="AI2" s="280"/>
      <c r="AJ2" s="279"/>
      <c r="AK2" s="279"/>
      <c r="AL2" s="276"/>
      <c r="AM2" s="276"/>
      <c r="AN2" s="276"/>
      <c r="AO2" s="276"/>
      <c r="AP2" s="276"/>
      <c r="AQ2" s="276"/>
      <c r="AR2" s="276"/>
      <c r="AS2" s="276"/>
      <c r="AT2" s="276"/>
      <c r="AU2" s="276"/>
      <c r="AV2" s="276"/>
      <c r="AW2" s="276"/>
      <c r="AX2" s="276"/>
      <c r="AY2" s="276"/>
      <c r="AZ2" s="276"/>
      <c r="BA2" s="156"/>
      <c r="BB2" s="156"/>
      <c r="BC2" s="156"/>
    </row>
    <row r="3" spans="1:57" s="269" customFormat="1" ht="15" customHeight="1">
      <c r="B3" s="356" t="str">
        <f>[1]البيانات!D3</f>
        <v>للسنة المالية المنتهية في</v>
      </c>
      <c r="C3" s="355"/>
      <c r="D3" s="355"/>
      <c r="E3" s="355"/>
      <c r="F3" s="355"/>
      <c r="G3" s="355"/>
      <c r="H3" s="355"/>
      <c r="I3" s="275"/>
      <c r="J3" s="357" t="str">
        <f>[1]البيانات!B11</f>
        <v>مدير المراجعة</v>
      </c>
      <c r="K3" s="355"/>
      <c r="L3" s="355"/>
      <c r="M3" s="355"/>
      <c r="N3" s="380"/>
      <c r="O3" s="354" t="str">
        <f>[1]البيانات!D11</f>
        <v>أ. طاهر عبد الغفور</v>
      </c>
      <c r="P3" s="355"/>
      <c r="Q3" s="355"/>
      <c r="R3" s="355"/>
      <c r="S3" s="355"/>
      <c r="T3" s="380"/>
      <c r="U3" s="352" t="str">
        <f>[1]البيانات!N11</f>
        <v>مدير المراجعة</v>
      </c>
      <c r="V3" s="352"/>
      <c r="W3" s="353"/>
      <c r="X3" s="353"/>
      <c r="Y3" s="353"/>
      <c r="Z3" s="275"/>
      <c r="AA3" s="275"/>
      <c r="AB3" s="276"/>
      <c r="AC3" s="376"/>
      <c r="AD3" s="375"/>
      <c r="AE3" s="376"/>
      <c r="AF3" s="278"/>
      <c r="AG3" s="279"/>
      <c r="AH3" s="378"/>
      <c r="AI3" s="280"/>
      <c r="AJ3" s="279"/>
      <c r="AK3" s="279"/>
      <c r="AL3" s="276"/>
      <c r="AM3" s="276"/>
      <c r="AN3" s="276"/>
      <c r="AO3" s="276"/>
      <c r="AP3" s="276"/>
      <c r="AQ3" s="276"/>
      <c r="AR3" s="276"/>
      <c r="AS3" s="276"/>
      <c r="AT3" s="276"/>
      <c r="AU3" s="276"/>
      <c r="AV3" s="276"/>
      <c r="AW3" s="276"/>
      <c r="AX3" s="276"/>
      <c r="AY3" s="276"/>
      <c r="AZ3" s="276"/>
      <c r="BA3" s="156"/>
      <c r="BB3" s="156"/>
      <c r="BC3" s="156"/>
    </row>
    <row r="4" spans="1:57" s="269" customFormat="1" ht="15" customHeight="1" thickBot="1">
      <c r="B4" s="356">
        <f>[1]البيانات!D4</f>
        <v>45657</v>
      </c>
      <c r="C4" s="355"/>
      <c r="D4" s="355"/>
      <c r="E4" s="355"/>
      <c r="F4" s="355"/>
      <c r="G4" s="355"/>
      <c r="H4" s="355"/>
      <c r="I4" s="275"/>
      <c r="J4" s="357" t="str">
        <f>[1]البيانات!B12</f>
        <v>الإدارة</v>
      </c>
      <c r="K4" s="355"/>
      <c r="L4" s="355"/>
      <c r="M4" s="355"/>
      <c r="N4" s="380"/>
      <c r="O4" s="354" t="str">
        <f>[1]البيانات!D12</f>
        <v>أ. طاهر عبد الغفور</v>
      </c>
      <c r="P4" s="355"/>
      <c r="Q4" s="355"/>
      <c r="R4" s="355"/>
      <c r="S4" s="355"/>
      <c r="T4" s="380"/>
      <c r="U4" s="352" t="str">
        <f>[1]البيانات!N12</f>
        <v>المدير الإداري</v>
      </c>
      <c r="V4" s="352"/>
      <c r="W4" s="353"/>
      <c r="X4" s="353"/>
      <c r="Y4" s="353"/>
      <c r="Z4" s="275"/>
      <c r="AA4" s="275"/>
      <c r="AB4" s="276"/>
      <c r="AC4" s="376"/>
      <c r="AD4" s="375"/>
      <c r="AE4" s="376"/>
      <c r="AF4" s="271"/>
      <c r="AG4" s="270"/>
      <c r="AH4" s="378"/>
      <c r="AI4" s="280"/>
      <c r="AJ4" s="279"/>
      <c r="AK4" s="279"/>
      <c r="AL4" s="276"/>
      <c r="AM4" s="276"/>
      <c r="AN4" s="276"/>
      <c r="AO4" s="276"/>
      <c r="AP4" s="276"/>
      <c r="AQ4" s="276"/>
      <c r="AR4" s="276"/>
      <c r="AS4" s="276"/>
      <c r="AT4" s="276"/>
      <c r="AU4" s="276"/>
      <c r="AV4" s="276"/>
      <c r="AW4" s="276"/>
      <c r="AX4" s="276"/>
      <c r="AY4" s="276"/>
      <c r="AZ4" s="276"/>
      <c r="BA4" s="156"/>
      <c r="BB4" s="156"/>
      <c r="BC4" s="156"/>
    </row>
    <row r="5" spans="1:57" s="267" customFormat="1" ht="15" customHeight="1" thickTop="1" thickBot="1">
      <c r="A5" s="267" t="s">
        <v>3255</v>
      </c>
      <c r="B5" s="281"/>
      <c r="C5" s="282"/>
      <c r="D5" s="282"/>
      <c r="E5" s="282"/>
      <c r="F5" s="282"/>
      <c r="G5" s="276"/>
      <c r="H5" s="276"/>
      <c r="I5" s="276"/>
      <c r="J5" s="276"/>
      <c r="K5" s="283"/>
      <c r="L5" s="283"/>
      <c r="M5" s="284"/>
      <c r="N5" s="284"/>
      <c r="O5" s="284"/>
      <c r="P5" s="284"/>
      <c r="Q5" s="284"/>
      <c r="R5" s="284"/>
      <c r="S5" s="284"/>
      <c r="T5" s="284"/>
      <c r="U5" s="284"/>
      <c r="V5" s="284"/>
      <c r="W5" s="284"/>
      <c r="X5" s="284"/>
      <c r="Y5" s="284"/>
      <c r="Z5" s="179"/>
      <c r="AA5" s="268"/>
      <c r="AB5" s="157"/>
      <c r="AC5" s="376"/>
      <c r="AD5" s="375"/>
      <c r="AE5" s="376"/>
      <c r="AF5" s="160" t="s">
        <v>454</v>
      </c>
      <c r="AG5" s="179" t="s">
        <v>2308</v>
      </c>
      <c r="AH5" s="180" t="s">
        <v>2974</v>
      </c>
      <c r="AI5" s="180" t="s">
        <v>457</v>
      </c>
      <c r="AJ5" s="179" t="s">
        <v>458</v>
      </c>
      <c r="AK5" s="179" t="s">
        <v>2973</v>
      </c>
      <c r="AL5" s="157"/>
      <c r="AM5" s="157"/>
      <c r="AN5" s="179" t="s">
        <v>2307</v>
      </c>
      <c r="AO5" s="276"/>
      <c r="AP5" s="276"/>
      <c r="AQ5" s="276"/>
      <c r="AR5" s="276"/>
      <c r="AS5" s="276"/>
      <c r="AT5" s="276"/>
      <c r="AU5" s="276"/>
      <c r="AV5" s="276"/>
      <c r="AW5" s="276"/>
      <c r="AX5" s="276"/>
      <c r="AY5" s="276"/>
      <c r="AZ5" s="276"/>
      <c r="BA5" s="276"/>
      <c r="BB5" s="276"/>
      <c r="BC5" s="276"/>
      <c r="BD5" s="276"/>
      <c r="BE5" s="182" t="s">
        <v>2110</v>
      </c>
    </row>
    <row r="6" spans="1:57" s="266" customFormat="1" ht="28.5" hidden="1" customHeight="1" thickTop="1" thickBot="1">
      <c r="B6" s="370" t="s">
        <v>2972</v>
      </c>
      <c r="C6" s="371"/>
      <c r="D6" s="371"/>
      <c r="E6" s="371"/>
      <c r="F6" s="372" t="s">
        <v>2971</v>
      </c>
      <c r="G6" s="374" t="s">
        <v>2970</v>
      </c>
      <c r="H6" s="355"/>
      <c r="I6" s="355"/>
      <c r="J6" s="355"/>
      <c r="K6" s="355"/>
      <c r="L6" s="355"/>
      <c r="M6" s="355"/>
      <c r="N6" s="355"/>
      <c r="O6" s="355"/>
      <c r="P6" s="355"/>
      <c r="Q6" s="355"/>
      <c r="R6" s="355"/>
      <c r="S6" s="355"/>
      <c r="T6" s="355"/>
      <c r="U6" s="355"/>
      <c r="V6" s="355"/>
      <c r="W6" s="355"/>
      <c r="X6" s="355"/>
      <c r="Y6" s="355"/>
      <c r="Z6" s="355"/>
      <c r="AA6" s="355"/>
      <c r="AB6" s="355"/>
      <c r="AC6" s="277"/>
      <c r="AD6" s="375"/>
      <c r="AE6" s="277"/>
      <c r="AF6" s="279"/>
      <c r="AG6" s="279"/>
      <c r="AH6" s="280"/>
      <c r="AI6" s="280"/>
      <c r="AJ6" s="280"/>
      <c r="AK6" s="280"/>
      <c r="AL6" s="180"/>
      <c r="AM6" s="180"/>
      <c r="AN6" s="358" t="s">
        <v>2306</v>
      </c>
      <c r="AO6" s="359"/>
      <c r="AP6" s="358" t="s">
        <v>142</v>
      </c>
      <c r="AQ6" s="359"/>
      <c r="AR6" s="360" t="s">
        <v>2048</v>
      </c>
      <c r="AS6" s="361"/>
      <c r="AT6" s="362" t="s">
        <v>2049</v>
      </c>
      <c r="AU6" s="363"/>
      <c r="AV6" s="364" t="s">
        <v>2305</v>
      </c>
      <c r="AW6" s="365"/>
      <c r="AX6" s="239" t="s">
        <v>2304</v>
      </c>
      <c r="AY6" s="238"/>
      <c r="AZ6" s="238" t="s">
        <v>2303</v>
      </c>
      <c r="BA6" s="238"/>
      <c r="BB6" s="238" t="s">
        <v>2302</v>
      </c>
      <c r="BC6" s="238" t="s">
        <v>2053</v>
      </c>
      <c r="BD6" s="238" t="s">
        <v>2054</v>
      </c>
      <c r="BE6" s="237" t="s">
        <v>2110</v>
      </c>
    </row>
    <row r="7" spans="1:57" s="264" customFormat="1" ht="14.1" hidden="1" customHeight="1" thickTop="1">
      <c r="B7" s="265">
        <v>1</v>
      </c>
      <c r="C7" s="172">
        <v>2</v>
      </c>
      <c r="D7" s="172">
        <v>3</v>
      </c>
      <c r="E7" s="172">
        <v>4</v>
      </c>
      <c r="F7" s="373"/>
      <c r="G7" s="366" t="s">
        <v>2969</v>
      </c>
      <c r="H7" s="367"/>
      <c r="I7" s="367"/>
      <c r="J7" s="367"/>
      <c r="K7" s="367"/>
      <c r="L7" s="367"/>
      <c r="M7" s="367"/>
      <c r="N7" s="367"/>
      <c r="O7" s="367"/>
      <c r="P7" s="367"/>
      <c r="Q7" s="367"/>
      <c r="R7" s="367"/>
      <c r="S7" s="367"/>
      <c r="T7" s="367"/>
      <c r="U7" s="367"/>
      <c r="V7" s="367"/>
      <c r="W7" s="367"/>
      <c r="X7" s="367"/>
      <c r="Y7" s="367"/>
      <c r="Z7" s="367"/>
      <c r="AA7" s="367"/>
      <c r="AB7" s="185"/>
      <c r="AC7" s="277"/>
      <c r="AD7" s="375"/>
      <c r="AE7" s="277"/>
      <c r="AF7" s="179"/>
      <c r="AG7" s="179"/>
      <c r="AH7" s="180"/>
      <c r="AI7" s="180"/>
      <c r="AJ7" s="179"/>
      <c r="AK7" s="179"/>
    </row>
    <row r="8" spans="1:57" s="264" customFormat="1" ht="24.95" hidden="1" customHeight="1">
      <c r="A8" s="264" t="s">
        <v>186</v>
      </c>
      <c r="B8" s="259" t="s">
        <v>2968</v>
      </c>
      <c r="C8" s="259" t="s">
        <v>2968</v>
      </c>
      <c r="D8" s="259" t="s">
        <v>2968</v>
      </c>
      <c r="E8" s="259" t="s">
        <v>2968</v>
      </c>
      <c r="F8" s="259" t="s">
        <v>2968</v>
      </c>
      <c r="G8" s="368" t="s">
        <v>2967</v>
      </c>
      <c r="H8" s="369"/>
      <c r="I8" s="369"/>
      <c r="J8" s="369"/>
      <c r="K8" s="369"/>
      <c r="L8" s="369"/>
      <c r="M8" s="369"/>
      <c r="N8" s="369"/>
      <c r="O8" s="369"/>
      <c r="P8" s="369"/>
      <c r="Q8" s="369"/>
      <c r="R8" s="369"/>
      <c r="S8" s="369"/>
      <c r="T8" s="369"/>
      <c r="U8" s="369"/>
      <c r="V8" s="369"/>
      <c r="W8" s="369"/>
      <c r="X8" s="369"/>
      <c r="Y8" s="369"/>
      <c r="Z8" s="369"/>
      <c r="AA8" s="369"/>
      <c r="AB8" s="259" t="s">
        <v>2966</v>
      </c>
      <c r="AC8" s="259"/>
      <c r="AD8" s="259"/>
      <c r="AE8" s="259"/>
      <c r="AF8" s="260">
        <v>1</v>
      </c>
      <c r="AG8" s="259"/>
      <c r="AH8" s="259"/>
      <c r="AI8" s="259"/>
      <c r="AJ8" s="259"/>
      <c r="AK8" s="259"/>
    </row>
    <row r="9" spans="1:57" s="264" customFormat="1" ht="24.95" hidden="1" customHeight="1" outlineLevel="1">
      <c r="A9" s="264" t="s">
        <v>187</v>
      </c>
      <c r="B9" s="165" t="str">
        <f t="shared" ref="B9:E40" si="0">B8</f>
        <v>ع</v>
      </c>
      <c r="C9" s="165" t="s">
        <v>2965</v>
      </c>
      <c r="D9" s="165" t="s">
        <v>2965</v>
      </c>
      <c r="E9" s="165" t="s">
        <v>2965</v>
      </c>
      <c r="F9" s="165" t="s">
        <v>2965</v>
      </c>
      <c r="G9" s="382" t="s">
        <v>2964</v>
      </c>
      <c r="H9" s="382"/>
      <c r="I9" s="382"/>
      <c r="J9" s="382"/>
      <c r="K9" s="382"/>
      <c r="L9" s="382"/>
      <c r="M9" s="382"/>
      <c r="N9" s="382"/>
      <c r="O9" s="382"/>
      <c r="P9" s="382"/>
      <c r="Q9" s="382"/>
      <c r="R9" s="382"/>
      <c r="S9" s="382"/>
      <c r="T9" s="382"/>
      <c r="U9" s="382"/>
      <c r="V9" s="382"/>
      <c r="W9" s="382"/>
      <c r="X9" s="382"/>
      <c r="Y9" s="382"/>
      <c r="Z9" s="382"/>
      <c r="AA9" s="382"/>
      <c r="AB9" s="194"/>
      <c r="AC9" s="194"/>
      <c r="AD9" s="194"/>
      <c r="AE9" s="194"/>
      <c r="AF9" s="193">
        <v>1.1000000000000001</v>
      </c>
      <c r="AG9" s="286"/>
      <c r="AH9" s="287" t="s">
        <v>2125</v>
      </c>
      <c r="AI9" s="287" t="s">
        <v>2124</v>
      </c>
      <c r="AJ9" s="286"/>
      <c r="AK9" s="286"/>
      <c r="AL9" s="185"/>
      <c r="AM9" s="185"/>
      <c r="AN9" s="185"/>
      <c r="AO9" s="185"/>
      <c r="AP9" s="185"/>
      <c r="AQ9" s="185"/>
      <c r="AR9" s="185"/>
      <c r="AS9" s="185"/>
      <c r="AT9" s="185"/>
      <c r="AU9" s="185"/>
      <c r="AV9" s="257"/>
      <c r="AX9" s="257"/>
      <c r="AZ9" s="185"/>
      <c r="BA9" s="156"/>
      <c r="BB9" s="156"/>
      <c r="BC9" s="156"/>
    </row>
    <row r="10" spans="1:57" s="264" customFormat="1" ht="24.95" hidden="1" customHeight="1" outlineLevel="2" thickBot="1">
      <c r="A10" s="264" t="s">
        <v>188</v>
      </c>
      <c r="B10" s="165" t="str">
        <f t="shared" si="0"/>
        <v>ع</v>
      </c>
      <c r="C10" s="164" t="str">
        <f t="shared" si="0"/>
        <v>ع1</v>
      </c>
      <c r="D10" s="189" t="s">
        <v>2963</v>
      </c>
      <c r="E10" s="189" t="s">
        <v>2963</v>
      </c>
      <c r="F10" s="189" t="s">
        <v>2963</v>
      </c>
      <c r="G10" s="383" t="s">
        <v>2962</v>
      </c>
      <c r="H10" s="383"/>
      <c r="I10" s="383"/>
      <c r="J10" s="383"/>
      <c r="K10" s="383"/>
      <c r="L10" s="383"/>
      <c r="M10" s="383"/>
      <c r="N10" s="383"/>
      <c r="O10" s="383"/>
      <c r="P10" s="383"/>
      <c r="Q10" s="383"/>
      <c r="R10" s="383"/>
      <c r="S10" s="383"/>
      <c r="T10" s="383"/>
      <c r="U10" s="383"/>
      <c r="V10" s="383"/>
      <c r="W10" s="383"/>
      <c r="X10" s="383"/>
      <c r="Y10" s="383"/>
      <c r="Z10" s="383"/>
      <c r="AA10" s="383"/>
      <c r="AB10" s="188"/>
      <c r="AC10" s="188"/>
      <c r="AD10" s="188"/>
      <c r="AE10" s="188"/>
      <c r="AF10" s="288" t="s">
        <v>575</v>
      </c>
      <c r="AG10" s="289" t="s">
        <v>2152</v>
      </c>
      <c r="AH10" s="290" t="s">
        <v>2125</v>
      </c>
      <c r="AI10" s="290" t="s">
        <v>2124</v>
      </c>
      <c r="AJ10" s="291">
        <v>1</v>
      </c>
      <c r="AK10" s="289"/>
      <c r="AL10" s="185"/>
      <c r="AM10" s="185"/>
      <c r="AN10" s="185"/>
      <c r="AO10" s="185"/>
      <c r="AP10" s="185"/>
      <c r="AQ10" s="185"/>
      <c r="AR10" s="185"/>
      <c r="AS10" s="185"/>
      <c r="AT10" s="185"/>
      <c r="AU10" s="185"/>
      <c r="AV10" s="185"/>
      <c r="AX10" s="185"/>
      <c r="AZ10" s="185"/>
      <c r="BA10" s="156"/>
      <c r="BB10" s="156"/>
      <c r="BC10" s="156"/>
    </row>
    <row r="11" spans="1:57" s="178" customFormat="1" ht="24.95" hidden="1" customHeight="1" outlineLevel="3" thickTop="1" thickBot="1">
      <c r="A11" s="178" t="s">
        <v>189</v>
      </c>
      <c r="B11" s="165" t="str">
        <f t="shared" si="0"/>
        <v>ع</v>
      </c>
      <c r="C11" s="164" t="str">
        <f t="shared" si="0"/>
        <v>ع1</v>
      </c>
      <c r="D11" s="184" t="str">
        <f t="shared" si="0"/>
        <v>ع1-1</v>
      </c>
      <c r="E11" s="183" t="s">
        <v>2961</v>
      </c>
      <c r="F11" s="183" t="s">
        <v>2961</v>
      </c>
      <c r="G11" s="384" t="s">
        <v>2960</v>
      </c>
      <c r="H11" s="384"/>
      <c r="I11" s="384"/>
      <c r="J11" s="384"/>
      <c r="K11" s="384"/>
      <c r="L11" s="384"/>
      <c r="M11" s="384"/>
      <c r="N11" s="384"/>
      <c r="O11" s="384"/>
      <c r="P11" s="384"/>
      <c r="Q11" s="384"/>
      <c r="R11" s="384"/>
      <c r="S11" s="384"/>
      <c r="T11" s="384"/>
      <c r="U11" s="384"/>
      <c r="V11" s="384"/>
      <c r="W11" s="384"/>
      <c r="X11" s="384"/>
      <c r="Y11" s="384"/>
      <c r="Z11" s="384"/>
      <c r="AA11" s="384"/>
      <c r="AB11" s="263"/>
      <c r="AC11" s="185"/>
      <c r="AD11" s="185"/>
      <c r="AE11" s="185"/>
      <c r="AF11" s="279" t="s">
        <v>2959</v>
      </c>
      <c r="AG11" s="279" t="s">
        <v>2152</v>
      </c>
      <c r="AH11" s="292" t="s">
        <v>2125</v>
      </c>
      <c r="AI11" s="292" t="s">
        <v>2124</v>
      </c>
      <c r="AJ11" s="279"/>
      <c r="AK11" s="279"/>
      <c r="AL11" s="185"/>
      <c r="AM11" s="185"/>
      <c r="AN11" s="185"/>
      <c r="AO11" s="185"/>
      <c r="AP11" s="185"/>
      <c r="AQ11" s="185"/>
      <c r="AR11" s="185"/>
      <c r="AS11" s="185"/>
      <c r="AT11" s="185"/>
      <c r="AU11" s="185"/>
      <c r="AV11" s="185"/>
      <c r="AX11" s="262"/>
      <c r="AZ11" s="185"/>
      <c r="BA11" s="261"/>
      <c r="BB11" s="261"/>
      <c r="BC11" s="261"/>
    </row>
    <row r="12" spans="1:57" s="178" customFormat="1" ht="24.95" customHeight="1" outlineLevel="4" thickTop="1">
      <c r="A12" s="178" t="s">
        <v>3500</v>
      </c>
      <c r="B12" s="165" t="str">
        <f t="shared" si="0"/>
        <v>ع</v>
      </c>
      <c r="C12" s="164" t="str">
        <f t="shared" si="0"/>
        <v>ع1</v>
      </c>
      <c r="D12" s="184" t="str">
        <f t="shared" si="0"/>
        <v>ع1-1</v>
      </c>
      <c r="F12" s="171" t="s">
        <v>2958</v>
      </c>
      <c r="G12" s="381" t="s">
        <v>2957</v>
      </c>
      <c r="H12" s="381"/>
      <c r="I12" s="381"/>
      <c r="J12" s="381"/>
      <c r="K12" s="381"/>
      <c r="L12" s="381"/>
      <c r="M12" s="381"/>
      <c r="N12" s="381"/>
      <c r="O12" s="381"/>
      <c r="P12" s="381"/>
      <c r="Q12" s="381"/>
      <c r="R12" s="381"/>
      <c r="S12" s="381"/>
      <c r="T12" s="381"/>
      <c r="U12" s="381"/>
      <c r="V12" s="381"/>
      <c r="W12" s="381"/>
      <c r="X12" s="381"/>
      <c r="Y12" s="381"/>
      <c r="Z12" s="381"/>
      <c r="AA12" s="381"/>
      <c r="AB12" s="185" t="s">
        <v>2938</v>
      </c>
      <c r="AC12" s="185"/>
      <c r="AD12" s="185"/>
      <c r="AE12" s="185"/>
      <c r="AF12" s="279" t="s">
        <v>2956</v>
      </c>
      <c r="AG12" s="279"/>
      <c r="AH12" s="292" t="s">
        <v>2125</v>
      </c>
      <c r="AI12" s="292" t="s">
        <v>2124</v>
      </c>
      <c r="AJ12" s="279"/>
      <c r="AK12" s="279"/>
      <c r="AL12" s="185"/>
      <c r="AM12" s="185"/>
      <c r="AN12" s="185"/>
      <c r="AO12" s="185"/>
      <c r="AP12" s="185"/>
      <c r="AQ12" s="185"/>
      <c r="AR12" s="185"/>
      <c r="AS12" s="185"/>
      <c r="AT12" s="185"/>
      <c r="AU12" s="185"/>
      <c r="AV12" s="257"/>
      <c r="AX12" s="262"/>
      <c r="AZ12" s="250"/>
      <c r="BA12" s="261"/>
      <c r="BB12" s="261"/>
      <c r="BC12" s="261"/>
    </row>
    <row r="13" spans="1:57" s="178" customFormat="1" ht="24.95" customHeight="1" outlineLevel="4">
      <c r="A13" s="178" t="s">
        <v>3500</v>
      </c>
      <c r="B13" s="165" t="str">
        <f t="shared" si="0"/>
        <v>ع</v>
      </c>
      <c r="C13" s="164" t="str">
        <f t="shared" si="0"/>
        <v>ع1</v>
      </c>
      <c r="D13" s="184" t="str">
        <f t="shared" si="0"/>
        <v>ع1-1</v>
      </c>
      <c r="F13" s="171" t="s">
        <v>2955</v>
      </c>
      <c r="G13" s="381" t="s">
        <v>2954</v>
      </c>
      <c r="H13" s="381"/>
      <c r="I13" s="381"/>
      <c r="J13" s="381"/>
      <c r="K13" s="381"/>
      <c r="L13" s="381"/>
      <c r="M13" s="381"/>
      <c r="N13" s="381"/>
      <c r="O13" s="381"/>
      <c r="P13" s="381"/>
      <c r="Q13" s="381"/>
      <c r="R13" s="381"/>
      <c r="S13" s="381"/>
      <c r="T13" s="381"/>
      <c r="U13" s="381"/>
      <c r="V13" s="381"/>
      <c r="W13" s="381"/>
      <c r="X13" s="381"/>
      <c r="Y13" s="381"/>
      <c r="Z13" s="381"/>
      <c r="AA13" s="381"/>
      <c r="AB13" s="185" t="s">
        <v>2938</v>
      </c>
      <c r="AC13" s="185"/>
      <c r="AD13" s="185"/>
      <c r="AE13" s="185"/>
      <c r="AF13" s="279" t="s">
        <v>2953</v>
      </c>
      <c r="AG13" s="279" t="s">
        <v>2152</v>
      </c>
      <c r="AH13" s="292" t="s">
        <v>2125</v>
      </c>
      <c r="AI13" s="292" t="s">
        <v>2124</v>
      </c>
      <c r="AJ13" s="279"/>
      <c r="AK13" s="279"/>
      <c r="AL13" s="185"/>
      <c r="AM13" s="185"/>
      <c r="AN13" s="185"/>
      <c r="AO13" s="185"/>
      <c r="AP13" s="185"/>
      <c r="AQ13" s="185"/>
      <c r="AR13" s="185"/>
      <c r="AS13" s="185"/>
      <c r="AT13" s="185"/>
      <c r="AU13" s="185"/>
      <c r="AV13" s="257"/>
      <c r="AX13" s="262"/>
      <c r="AZ13" s="250"/>
      <c r="BA13" s="261"/>
      <c r="BB13" s="261"/>
      <c r="BC13" s="261"/>
    </row>
    <row r="14" spans="1:57" s="178" customFormat="1" ht="24.95" customHeight="1" outlineLevel="4">
      <c r="A14" s="178" t="s">
        <v>3500</v>
      </c>
      <c r="B14" s="165" t="str">
        <f t="shared" si="0"/>
        <v>ع</v>
      </c>
      <c r="C14" s="164" t="str">
        <f t="shared" si="0"/>
        <v>ع1</v>
      </c>
      <c r="D14" s="184" t="str">
        <f t="shared" si="0"/>
        <v>ع1-1</v>
      </c>
      <c r="F14" s="171" t="s">
        <v>2952</v>
      </c>
      <c r="G14" s="381" t="s">
        <v>2951</v>
      </c>
      <c r="H14" s="381"/>
      <c r="I14" s="381"/>
      <c r="J14" s="381"/>
      <c r="K14" s="381"/>
      <c r="L14" s="381"/>
      <c r="M14" s="381"/>
      <c r="N14" s="381"/>
      <c r="O14" s="381"/>
      <c r="P14" s="381"/>
      <c r="Q14" s="381"/>
      <c r="R14" s="381"/>
      <c r="S14" s="381"/>
      <c r="T14" s="381"/>
      <c r="U14" s="381"/>
      <c r="V14" s="381"/>
      <c r="W14" s="381"/>
      <c r="X14" s="381"/>
      <c r="Y14" s="381"/>
      <c r="Z14" s="381"/>
      <c r="AA14" s="381"/>
      <c r="AB14" s="185" t="s">
        <v>2938</v>
      </c>
      <c r="AC14" s="185"/>
      <c r="AD14" s="185"/>
      <c r="AE14" s="185"/>
      <c r="AF14" s="279" t="s">
        <v>2950</v>
      </c>
      <c r="AG14" s="279"/>
      <c r="AH14" s="292" t="s">
        <v>2125</v>
      </c>
      <c r="AI14" s="292" t="s">
        <v>2124</v>
      </c>
      <c r="AJ14" s="279"/>
      <c r="AK14" s="279"/>
      <c r="AL14" s="185"/>
      <c r="AM14" s="185"/>
      <c r="AN14" s="185"/>
      <c r="AO14" s="185"/>
      <c r="AP14" s="185"/>
      <c r="AQ14" s="185"/>
      <c r="AR14" s="185"/>
      <c r="AS14" s="185"/>
      <c r="AT14" s="185"/>
      <c r="AU14" s="185"/>
      <c r="AV14" s="257"/>
      <c r="AX14" s="262"/>
      <c r="AZ14" s="250"/>
      <c r="BA14" s="261"/>
      <c r="BB14" s="261"/>
      <c r="BC14" s="261"/>
    </row>
    <row r="15" spans="1:57" s="178" customFormat="1" ht="24.95" customHeight="1" outlineLevel="4">
      <c r="A15" s="178" t="s">
        <v>3500</v>
      </c>
      <c r="B15" s="165" t="str">
        <f t="shared" si="0"/>
        <v>ع</v>
      </c>
      <c r="C15" s="164" t="str">
        <f t="shared" si="0"/>
        <v>ع1</v>
      </c>
      <c r="D15" s="184" t="str">
        <f t="shared" si="0"/>
        <v>ع1-1</v>
      </c>
      <c r="F15" s="171" t="s">
        <v>2949</v>
      </c>
      <c r="G15" s="381" t="s">
        <v>2948</v>
      </c>
      <c r="H15" s="381"/>
      <c r="I15" s="381"/>
      <c r="J15" s="381"/>
      <c r="K15" s="381"/>
      <c r="L15" s="381"/>
      <c r="M15" s="381"/>
      <c r="N15" s="381"/>
      <c r="O15" s="381"/>
      <c r="P15" s="381"/>
      <c r="Q15" s="381"/>
      <c r="R15" s="381"/>
      <c r="S15" s="381"/>
      <c r="T15" s="381"/>
      <c r="U15" s="381"/>
      <c r="V15" s="381"/>
      <c r="W15" s="381"/>
      <c r="X15" s="381"/>
      <c r="Y15" s="381"/>
      <c r="Z15" s="381"/>
      <c r="AA15" s="381"/>
      <c r="AB15" s="185" t="s">
        <v>2938</v>
      </c>
      <c r="AC15" s="185"/>
      <c r="AD15" s="185"/>
      <c r="AE15" s="185"/>
      <c r="AF15" s="279" t="s">
        <v>2947</v>
      </c>
      <c r="AG15" s="279" t="s">
        <v>2152</v>
      </c>
      <c r="AH15" s="292" t="s">
        <v>2125</v>
      </c>
      <c r="AI15" s="292" t="s">
        <v>2124</v>
      </c>
      <c r="AJ15" s="279"/>
      <c r="AK15" s="279"/>
      <c r="AL15" s="185"/>
      <c r="AM15" s="185"/>
      <c r="AN15" s="185"/>
      <c r="AO15" s="185"/>
      <c r="AP15" s="185"/>
      <c r="AQ15" s="185"/>
      <c r="AR15" s="185"/>
      <c r="AS15" s="185"/>
      <c r="AT15" s="185"/>
      <c r="AU15" s="185"/>
      <c r="AV15" s="185"/>
      <c r="AX15" s="262"/>
      <c r="AZ15" s="250"/>
      <c r="BA15" s="261"/>
      <c r="BB15" s="261"/>
      <c r="BC15" s="261"/>
    </row>
    <row r="16" spans="1:57" s="178" customFormat="1" ht="24.95" customHeight="1" outlineLevel="4">
      <c r="A16" s="178" t="s">
        <v>3500</v>
      </c>
      <c r="B16" s="165" t="str">
        <f t="shared" si="0"/>
        <v>ع</v>
      </c>
      <c r="C16" s="164" t="str">
        <f t="shared" si="0"/>
        <v>ع1</v>
      </c>
      <c r="D16" s="184" t="str">
        <f t="shared" si="0"/>
        <v>ع1-1</v>
      </c>
      <c r="F16" s="171" t="s">
        <v>2946</v>
      </c>
      <c r="G16" s="381" t="s">
        <v>2945</v>
      </c>
      <c r="H16" s="381"/>
      <c r="I16" s="381"/>
      <c r="J16" s="381"/>
      <c r="K16" s="381"/>
      <c r="L16" s="381"/>
      <c r="M16" s="381"/>
      <c r="N16" s="381"/>
      <c r="O16" s="381"/>
      <c r="P16" s="381"/>
      <c r="Q16" s="381"/>
      <c r="R16" s="381"/>
      <c r="S16" s="381"/>
      <c r="T16" s="381"/>
      <c r="U16" s="381"/>
      <c r="V16" s="381"/>
      <c r="W16" s="381"/>
      <c r="X16" s="381"/>
      <c r="Y16" s="381"/>
      <c r="Z16" s="381"/>
      <c r="AA16" s="381"/>
      <c r="AB16" s="185" t="s">
        <v>2938</v>
      </c>
      <c r="AC16" s="185"/>
      <c r="AD16" s="185"/>
      <c r="AE16" s="185"/>
      <c r="AF16" s="279" t="s">
        <v>2944</v>
      </c>
      <c r="AG16" s="279"/>
      <c r="AH16" s="292" t="s">
        <v>2125</v>
      </c>
      <c r="AI16" s="292" t="s">
        <v>2124</v>
      </c>
      <c r="AJ16" s="279"/>
      <c r="AK16" s="279"/>
      <c r="AL16" s="185"/>
      <c r="AM16" s="185"/>
      <c r="AN16" s="185"/>
      <c r="AO16" s="185"/>
      <c r="AP16" s="185"/>
      <c r="AQ16" s="185"/>
      <c r="AR16" s="185"/>
      <c r="AS16" s="185"/>
      <c r="AT16" s="185"/>
      <c r="AU16" s="185"/>
      <c r="AV16" s="185"/>
      <c r="AX16" s="262"/>
      <c r="AZ16" s="250"/>
      <c r="BA16" s="261"/>
      <c r="BB16" s="261"/>
      <c r="BC16" s="261"/>
    </row>
    <row r="17" spans="1:37" s="178" customFormat="1" ht="24.95" customHeight="1" outlineLevel="4">
      <c r="A17" s="178" t="s">
        <v>3500</v>
      </c>
      <c r="B17" s="165" t="str">
        <f t="shared" si="0"/>
        <v>ع</v>
      </c>
      <c r="C17" s="164" t="str">
        <f t="shared" si="0"/>
        <v>ع1</v>
      </c>
      <c r="D17" s="184" t="str">
        <f t="shared" si="0"/>
        <v>ع1-1</v>
      </c>
      <c r="F17" s="171" t="s">
        <v>2943</v>
      </c>
      <c r="G17" s="381" t="s">
        <v>2942</v>
      </c>
      <c r="H17" s="381"/>
      <c r="I17" s="381"/>
      <c r="J17" s="381"/>
      <c r="K17" s="381"/>
      <c r="L17" s="381"/>
      <c r="M17" s="381"/>
      <c r="N17" s="381"/>
      <c r="O17" s="381"/>
      <c r="P17" s="381"/>
      <c r="Q17" s="381"/>
      <c r="R17" s="381"/>
      <c r="S17" s="381"/>
      <c r="T17" s="381"/>
      <c r="U17" s="381"/>
      <c r="V17" s="381"/>
      <c r="W17" s="381"/>
      <c r="X17" s="381"/>
      <c r="Y17" s="381"/>
      <c r="Z17" s="381"/>
      <c r="AA17" s="381"/>
      <c r="AB17" s="185" t="s">
        <v>2938</v>
      </c>
      <c r="AC17" s="185"/>
      <c r="AD17" s="185"/>
      <c r="AE17" s="185"/>
      <c r="AF17" s="279" t="s">
        <v>2941</v>
      </c>
      <c r="AG17" s="279"/>
      <c r="AH17" s="292" t="s">
        <v>2125</v>
      </c>
      <c r="AI17" s="292" t="s">
        <v>2124</v>
      </c>
      <c r="AJ17" s="279"/>
      <c r="AK17" s="279"/>
    </row>
    <row r="18" spans="1:37" s="178" customFormat="1" ht="24.95" customHeight="1" outlineLevel="4">
      <c r="A18" s="178" t="s">
        <v>3500</v>
      </c>
      <c r="B18" s="165" t="str">
        <f t="shared" si="0"/>
        <v>ع</v>
      </c>
      <c r="C18" s="164" t="str">
        <f t="shared" si="0"/>
        <v>ع1</v>
      </c>
      <c r="D18" s="184" t="str">
        <f t="shared" si="0"/>
        <v>ع1-1</v>
      </c>
      <c r="F18" s="171" t="s">
        <v>2940</v>
      </c>
      <c r="G18" s="381" t="s">
        <v>2939</v>
      </c>
      <c r="H18" s="381"/>
      <c r="I18" s="381"/>
      <c r="J18" s="381"/>
      <c r="K18" s="381"/>
      <c r="L18" s="381"/>
      <c r="M18" s="381"/>
      <c r="N18" s="381"/>
      <c r="O18" s="381"/>
      <c r="P18" s="381"/>
      <c r="Q18" s="381"/>
      <c r="R18" s="381"/>
      <c r="S18" s="381"/>
      <c r="T18" s="381"/>
      <c r="U18" s="381"/>
      <c r="V18" s="381"/>
      <c r="W18" s="381"/>
      <c r="X18" s="381"/>
      <c r="Y18" s="381"/>
      <c r="Z18" s="381"/>
      <c r="AA18" s="381"/>
      <c r="AB18" s="185" t="s">
        <v>2938</v>
      </c>
      <c r="AC18" s="185"/>
      <c r="AD18" s="185"/>
      <c r="AE18" s="185"/>
      <c r="AF18" s="279" t="s">
        <v>2937</v>
      </c>
      <c r="AG18" s="279"/>
      <c r="AH18" s="292" t="s">
        <v>2125</v>
      </c>
      <c r="AI18" s="292" t="s">
        <v>2124</v>
      </c>
      <c r="AJ18" s="279"/>
      <c r="AK18" s="279"/>
    </row>
    <row r="19" spans="1:37" s="178" customFormat="1" ht="24.95" customHeight="1" outlineLevel="4">
      <c r="A19" s="178" t="s">
        <v>3500</v>
      </c>
      <c r="B19" s="165" t="str">
        <f t="shared" si="0"/>
        <v>ع</v>
      </c>
      <c r="C19" s="164" t="str">
        <f t="shared" si="0"/>
        <v>ع1</v>
      </c>
      <c r="D19" s="184" t="str">
        <f t="shared" si="0"/>
        <v>ع1-1</v>
      </c>
      <c r="F19" s="171" t="s">
        <v>2936</v>
      </c>
      <c r="G19" s="381" t="s">
        <v>2935</v>
      </c>
      <c r="H19" s="381"/>
      <c r="I19" s="381"/>
      <c r="J19" s="381"/>
      <c r="K19" s="381"/>
      <c r="L19" s="381"/>
      <c r="M19" s="381"/>
      <c r="N19" s="381"/>
      <c r="O19" s="381"/>
      <c r="P19" s="381"/>
      <c r="Q19" s="381"/>
      <c r="R19" s="381"/>
      <c r="S19" s="381"/>
      <c r="T19" s="381"/>
      <c r="U19" s="381"/>
      <c r="V19" s="381"/>
      <c r="W19" s="381"/>
      <c r="X19" s="381"/>
      <c r="Y19" s="381"/>
      <c r="Z19" s="381"/>
      <c r="AA19" s="381"/>
      <c r="AB19" s="185" t="s">
        <v>2928</v>
      </c>
      <c r="AC19" s="185"/>
      <c r="AD19" s="185"/>
      <c r="AE19" s="185"/>
      <c r="AF19" s="279" t="s">
        <v>2934</v>
      </c>
      <c r="AG19" s="279" t="s">
        <v>2152</v>
      </c>
      <c r="AH19" s="292" t="s">
        <v>2125</v>
      </c>
      <c r="AI19" s="292" t="s">
        <v>2124</v>
      </c>
      <c r="AJ19" s="279"/>
      <c r="AK19" s="279"/>
    </row>
    <row r="20" spans="1:37" s="178" customFormat="1" ht="24.95" customHeight="1" outlineLevel="4">
      <c r="A20" s="178" t="s">
        <v>3500</v>
      </c>
      <c r="B20" s="165" t="str">
        <f t="shared" si="0"/>
        <v>ع</v>
      </c>
      <c r="C20" s="164" t="str">
        <f t="shared" si="0"/>
        <v>ع1</v>
      </c>
      <c r="D20" s="184" t="str">
        <f t="shared" si="0"/>
        <v>ع1-1</v>
      </c>
      <c r="F20" s="171" t="s">
        <v>2933</v>
      </c>
      <c r="G20" s="381" t="s">
        <v>2932</v>
      </c>
      <c r="H20" s="381"/>
      <c r="I20" s="381"/>
      <c r="J20" s="381"/>
      <c r="K20" s="381"/>
      <c r="L20" s="381"/>
      <c r="M20" s="381"/>
      <c r="N20" s="381"/>
      <c r="O20" s="381"/>
      <c r="P20" s="381"/>
      <c r="Q20" s="381"/>
      <c r="R20" s="381"/>
      <c r="S20" s="381"/>
      <c r="T20" s="381"/>
      <c r="U20" s="381"/>
      <c r="V20" s="381"/>
      <c r="W20" s="381"/>
      <c r="X20" s="381"/>
      <c r="Y20" s="381"/>
      <c r="Z20" s="381"/>
      <c r="AA20" s="381"/>
      <c r="AB20" s="185" t="s">
        <v>2928</v>
      </c>
      <c r="AC20" s="185"/>
      <c r="AD20" s="185"/>
      <c r="AE20" s="185"/>
      <c r="AF20" s="279" t="s">
        <v>2931</v>
      </c>
      <c r="AG20" s="279"/>
      <c r="AH20" s="292" t="s">
        <v>2125</v>
      </c>
      <c r="AI20" s="292" t="s">
        <v>2124</v>
      </c>
      <c r="AJ20" s="279"/>
      <c r="AK20" s="279"/>
    </row>
    <row r="21" spans="1:37" s="178" customFormat="1" ht="24.95" customHeight="1" outlineLevel="4">
      <c r="A21" s="178" t="s">
        <v>3500</v>
      </c>
      <c r="B21" s="165" t="str">
        <f t="shared" si="0"/>
        <v>ع</v>
      </c>
      <c r="C21" s="164" t="str">
        <f t="shared" si="0"/>
        <v>ع1</v>
      </c>
      <c r="D21" s="184" t="str">
        <f t="shared" si="0"/>
        <v>ع1-1</v>
      </c>
      <c r="F21" s="171" t="s">
        <v>2930</v>
      </c>
      <c r="G21" s="385" t="s">
        <v>2929</v>
      </c>
      <c r="H21" s="381"/>
      <c r="I21" s="381"/>
      <c r="J21" s="381"/>
      <c r="K21" s="381"/>
      <c r="L21" s="381"/>
      <c r="M21" s="381"/>
      <c r="N21" s="381"/>
      <c r="O21" s="381"/>
      <c r="P21" s="381"/>
      <c r="Q21" s="381"/>
      <c r="R21" s="381"/>
      <c r="S21" s="381"/>
      <c r="T21" s="381"/>
      <c r="U21" s="381"/>
      <c r="V21" s="381"/>
      <c r="W21" s="381"/>
      <c r="X21" s="381"/>
      <c r="Y21" s="381"/>
      <c r="Z21" s="381"/>
      <c r="AA21" s="381"/>
      <c r="AB21" s="185" t="s">
        <v>2928</v>
      </c>
      <c r="AC21" s="185"/>
      <c r="AD21" s="185"/>
      <c r="AE21" s="185"/>
      <c r="AF21" s="279" t="s">
        <v>2927</v>
      </c>
      <c r="AG21" s="279"/>
      <c r="AH21" s="292" t="s">
        <v>2125</v>
      </c>
      <c r="AI21" s="292" t="s">
        <v>2124</v>
      </c>
      <c r="AJ21" s="279"/>
      <c r="AK21" s="279"/>
    </row>
    <row r="22" spans="1:37" s="178" customFormat="1" ht="9" hidden="1" customHeight="1" outlineLevel="3">
      <c r="B22" s="165" t="str">
        <f t="shared" si="0"/>
        <v>ع</v>
      </c>
      <c r="C22" s="164" t="str">
        <f t="shared" si="0"/>
        <v>ع1</v>
      </c>
      <c r="D22" s="184" t="str">
        <f t="shared" si="0"/>
        <v>ع1-1</v>
      </c>
      <c r="F22" s="171"/>
      <c r="G22" s="293"/>
      <c r="H22" s="293"/>
      <c r="I22" s="293"/>
      <c r="J22" s="293"/>
      <c r="K22" s="293"/>
      <c r="L22" s="293"/>
      <c r="M22" s="293"/>
      <c r="N22" s="293"/>
      <c r="O22" s="293"/>
      <c r="P22" s="293"/>
      <c r="Q22" s="293"/>
      <c r="R22" s="293"/>
      <c r="S22" s="293"/>
      <c r="T22" s="293"/>
      <c r="U22" s="293"/>
      <c r="V22" s="293"/>
      <c r="W22" s="293"/>
      <c r="X22" s="293"/>
      <c r="Y22" s="293"/>
      <c r="Z22" s="293"/>
      <c r="AA22" s="293"/>
      <c r="AB22" s="185"/>
      <c r="AC22" s="185"/>
      <c r="AD22" s="185"/>
      <c r="AE22" s="185"/>
      <c r="AF22" s="294" t="s">
        <v>2926</v>
      </c>
      <c r="AG22" s="279"/>
      <c r="AH22" s="292" t="s">
        <v>2125</v>
      </c>
      <c r="AI22" s="292" t="s">
        <v>2124</v>
      </c>
      <c r="AJ22" s="279"/>
      <c r="AK22" s="279"/>
    </row>
    <row r="23" spans="1:37" s="178" customFormat="1" ht="9" hidden="1" customHeight="1" outlineLevel="2">
      <c r="B23" s="165" t="str">
        <f t="shared" si="0"/>
        <v>ع</v>
      </c>
      <c r="C23" s="164" t="str">
        <f t="shared" si="0"/>
        <v>ع1</v>
      </c>
      <c r="D23" s="184" t="str">
        <f t="shared" si="0"/>
        <v>ع1-1</v>
      </c>
      <c r="F23" s="171"/>
      <c r="G23" s="293"/>
      <c r="H23" s="293"/>
      <c r="I23" s="293"/>
      <c r="J23" s="293"/>
      <c r="K23" s="293"/>
      <c r="L23" s="293"/>
      <c r="M23" s="293"/>
      <c r="N23" s="293"/>
      <c r="O23" s="293"/>
      <c r="P23" s="293"/>
      <c r="Q23" s="293"/>
      <c r="R23" s="293"/>
      <c r="S23" s="293"/>
      <c r="T23" s="293"/>
      <c r="U23" s="293"/>
      <c r="V23" s="293"/>
      <c r="W23" s="293"/>
      <c r="X23" s="293"/>
      <c r="Y23" s="293"/>
      <c r="Z23" s="293"/>
      <c r="AA23" s="293"/>
      <c r="AB23" s="185"/>
      <c r="AC23" s="185"/>
      <c r="AD23" s="185"/>
      <c r="AE23" s="185"/>
      <c r="AF23" s="294" t="s">
        <v>2925</v>
      </c>
      <c r="AG23" s="279"/>
      <c r="AH23" s="292" t="s">
        <v>2125</v>
      </c>
      <c r="AI23" s="292" t="s">
        <v>2124</v>
      </c>
      <c r="AJ23" s="279"/>
      <c r="AK23" s="279"/>
    </row>
    <row r="24" spans="1:37" s="178" customFormat="1" ht="9" hidden="1" customHeight="1" outlineLevel="1">
      <c r="B24" s="165" t="str">
        <f t="shared" si="0"/>
        <v>ع</v>
      </c>
      <c r="C24" s="164" t="str">
        <f t="shared" si="0"/>
        <v>ع1</v>
      </c>
      <c r="D24" s="184" t="str">
        <f t="shared" si="0"/>
        <v>ع1-1</v>
      </c>
      <c r="F24" s="171"/>
      <c r="G24" s="293"/>
      <c r="H24" s="293"/>
      <c r="I24" s="293"/>
      <c r="J24" s="293"/>
      <c r="K24" s="293"/>
      <c r="L24" s="293"/>
      <c r="M24" s="293"/>
      <c r="N24" s="293"/>
      <c r="O24" s="293"/>
      <c r="P24" s="293"/>
      <c r="Q24" s="293"/>
      <c r="R24" s="293"/>
      <c r="S24" s="293"/>
      <c r="T24" s="293"/>
      <c r="U24" s="293"/>
      <c r="V24" s="293"/>
      <c r="W24" s="293"/>
      <c r="X24" s="293"/>
      <c r="Y24" s="293"/>
      <c r="Z24" s="293"/>
      <c r="AA24" s="293"/>
      <c r="AB24" s="185"/>
      <c r="AC24" s="185"/>
      <c r="AD24" s="185"/>
      <c r="AE24" s="185"/>
      <c r="AF24" s="294" t="s">
        <v>2924</v>
      </c>
      <c r="AG24" s="279"/>
      <c r="AH24" s="292" t="s">
        <v>2125</v>
      </c>
      <c r="AI24" s="292" t="s">
        <v>2124</v>
      </c>
      <c r="AJ24" s="279"/>
      <c r="AK24" s="279"/>
    </row>
    <row r="25" spans="1:37" s="178" customFormat="1" ht="18.95" hidden="1" customHeight="1" outlineLevel="1">
      <c r="A25" s="178" t="s">
        <v>187</v>
      </c>
      <c r="B25" s="165" t="str">
        <f t="shared" si="0"/>
        <v>ع</v>
      </c>
      <c r="C25" s="165" t="s">
        <v>2923</v>
      </c>
      <c r="D25" s="165" t="s">
        <v>2923</v>
      </c>
      <c r="E25" s="165" t="s">
        <v>2923</v>
      </c>
      <c r="F25" s="165" t="s">
        <v>2923</v>
      </c>
      <c r="G25" s="382" t="s">
        <v>2922</v>
      </c>
      <c r="H25" s="382"/>
      <c r="I25" s="382"/>
      <c r="J25" s="382"/>
      <c r="K25" s="382"/>
      <c r="L25" s="382"/>
      <c r="M25" s="382"/>
      <c r="N25" s="382"/>
      <c r="O25" s="382"/>
      <c r="P25" s="382"/>
      <c r="Q25" s="382"/>
      <c r="R25" s="382"/>
      <c r="S25" s="382"/>
      <c r="T25" s="382"/>
      <c r="U25" s="382"/>
      <c r="V25" s="382"/>
      <c r="W25" s="382"/>
      <c r="X25" s="382"/>
      <c r="Y25" s="382"/>
      <c r="Z25" s="382"/>
      <c r="AA25" s="382"/>
      <c r="AB25" s="194"/>
      <c r="AC25" s="194"/>
      <c r="AD25" s="194"/>
      <c r="AE25" s="194"/>
      <c r="AF25" s="193">
        <v>1.2</v>
      </c>
      <c r="AG25" s="286" t="s">
        <v>2152</v>
      </c>
      <c r="AH25" s="287" t="s">
        <v>2125</v>
      </c>
      <c r="AI25" s="287" t="s">
        <v>2124</v>
      </c>
      <c r="AJ25" s="291">
        <v>1</v>
      </c>
      <c r="AK25" s="286"/>
    </row>
    <row r="26" spans="1:37" s="178" customFormat="1" ht="18.95" hidden="1" customHeight="1" outlineLevel="2" thickBot="1">
      <c r="A26" s="264" t="s">
        <v>188</v>
      </c>
      <c r="B26" s="165" t="str">
        <f t="shared" si="0"/>
        <v>ع</v>
      </c>
      <c r="C26" s="164" t="str">
        <f t="shared" si="0"/>
        <v>ع2</v>
      </c>
      <c r="D26" s="189" t="s">
        <v>2921</v>
      </c>
      <c r="E26" s="189" t="s">
        <v>2921</v>
      </c>
      <c r="F26" s="189" t="s">
        <v>2921</v>
      </c>
      <c r="G26" s="383" t="s">
        <v>2920</v>
      </c>
      <c r="H26" s="383"/>
      <c r="I26" s="383"/>
      <c r="J26" s="383"/>
      <c r="K26" s="383"/>
      <c r="L26" s="383"/>
      <c r="M26" s="383"/>
      <c r="N26" s="383"/>
      <c r="O26" s="383"/>
      <c r="P26" s="383"/>
      <c r="Q26" s="383"/>
      <c r="R26" s="383"/>
      <c r="S26" s="383"/>
      <c r="T26" s="383"/>
      <c r="U26" s="383"/>
      <c r="V26" s="383"/>
      <c r="W26" s="383"/>
      <c r="X26" s="383"/>
      <c r="Y26" s="383"/>
      <c r="Z26" s="383"/>
      <c r="AA26" s="383"/>
      <c r="AB26" s="188"/>
      <c r="AC26" s="188"/>
      <c r="AD26" s="188"/>
      <c r="AE26" s="188"/>
      <c r="AF26" s="288" t="s">
        <v>580</v>
      </c>
      <c r="AG26" s="289" t="s">
        <v>2121</v>
      </c>
      <c r="AH26" s="290" t="s">
        <v>2125</v>
      </c>
      <c r="AI26" s="290" t="s">
        <v>2124</v>
      </c>
      <c r="AJ26" s="291">
        <v>1</v>
      </c>
      <c r="AK26" s="289"/>
    </row>
    <row r="27" spans="1:37" s="178" customFormat="1" ht="18.95" hidden="1" customHeight="1" outlineLevel="3" thickTop="1" thickBot="1">
      <c r="A27" s="178" t="s">
        <v>189</v>
      </c>
      <c r="B27" s="165" t="str">
        <f t="shared" si="0"/>
        <v>ع</v>
      </c>
      <c r="C27" s="164" t="str">
        <f t="shared" si="0"/>
        <v>ع2</v>
      </c>
      <c r="D27" s="184" t="str">
        <f t="shared" si="0"/>
        <v>ع2-1</v>
      </c>
      <c r="E27" s="183" t="s">
        <v>2919</v>
      </c>
      <c r="F27" s="183" t="s">
        <v>2919</v>
      </c>
      <c r="G27" s="384" t="s">
        <v>2918</v>
      </c>
      <c r="H27" s="384"/>
      <c r="I27" s="384"/>
      <c r="J27" s="384"/>
      <c r="K27" s="384"/>
      <c r="L27" s="384"/>
      <c r="M27" s="384"/>
      <c r="N27" s="384"/>
      <c r="O27" s="384"/>
      <c r="P27" s="384"/>
      <c r="Q27" s="384"/>
      <c r="R27" s="384"/>
      <c r="S27" s="384"/>
      <c r="T27" s="384"/>
      <c r="U27" s="384"/>
      <c r="V27" s="384"/>
      <c r="W27" s="384"/>
      <c r="X27" s="384"/>
      <c r="Y27" s="384"/>
      <c r="Z27" s="384"/>
      <c r="AA27" s="384"/>
      <c r="AB27" s="182" t="s">
        <v>2110</v>
      </c>
      <c r="AC27" s="181"/>
      <c r="AD27" s="181"/>
      <c r="AE27" s="181"/>
      <c r="AF27" s="294" t="s">
        <v>2917</v>
      </c>
      <c r="AG27" s="279"/>
      <c r="AH27" s="292" t="s">
        <v>2125</v>
      </c>
      <c r="AI27" s="292" t="s">
        <v>2124</v>
      </c>
      <c r="AJ27" s="279"/>
      <c r="AK27" s="279"/>
    </row>
    <row r="28" spans="1:37" s="178" customFormat="1" ht="18.95" customHeight="1" outlineLevel="4">
      <c r="A28" s="178" t="s">
        <v>3500</v>
      </c>
      <c r="B28" s="165" t="str">
        <f t="shared" si="0"/>
        <v>ع</v>
      </c>
      <c r="C28" s="164" t="str">
        <f t="shared" si="0"/>
        <v>ع2</v>
      </c>
      <c r="D28" s="164" t="str">
        <f t="shared" si="0"/>
        <v>ع2-1</v>
      </c>
      <c r="E28" s="164" t="str">
        <f t="shared" si="0"/>
        <v>ع2-1-1</v>
      </c>
      <c r="F28" s="171" t="s">
        <v>2916</v>
      </c>
      <c r="G28" s="381" t="s">
        <v>2915</v>
      </c>
      <c r="H28" s="381"/>
      <c r="I28" s="381"/>
      <c r="J28" s="381"/>
      <c r="K28" s="381"/>
      <c r="L28" s="381"/>
      <c r="M28" s="381"/>
      <c r="N28" s="381"/>
      <c r="O28" s="381"/>
      <c r="P28" s="381"/>
      <c r="Q28" s="381"/>
      <c r="R28" s="381"/>
      <c r="S28" s="381"/>
      <c r="T28" s="381"/>
      <c r="U28" s="381"/>
      <c r="V28" s="381"/>
      <c r="W28" s="381"/>
      <c r="X28" s="381"/>
      <c r="Y28" s="381"/>
      <c r="Z28" s="381"/>
      <c r="AA28" s="381"/>
      <c r="AB28" s="250">
        <v>3</v>
      </c>
      <c r="AC28" s="250"/>
      <c r="AD28" s="250"/>
      <c r="AE28" s="250"/>
      <c r="AF28" s="294" t="s">
        <v>2535</v>
      </c>
      <c r="AG28" s="279" t="s">
        <v>2152</v>
      </c>
      <c r="AH28" s="292" t="s">
        <v>2125</v>
      </c>
      <c r="AI28" s="292" t="s">
        <v>2124</v>
      </c>
      <c r="AJ28" s="279"/>
      <c r="AK28" s="279"/>
    </row>
    <row r="29" spans="1:37" s="178" customFormat="1" ht="18.95" customHeight="1" outlineLevel="4">
      <c r="A29" s="178" t="s">
        <v>3500</v>
      </c>
      <c r="B29" s="165" t="str">
        <f t="shared" si="0"/>
        <v>ع</v>
      </c>
      <c r="C29" s="164" t="str">
        <f t="shared" si="0"/>
        <v>ع2</v>
      </c>
      <c r="D29" s="164" t="str">
        <f t="shared" si="0"/>
        <v>ع2-1</v>
      </c>
      <c r="E29" s="164" t="str">
        <f t="shared" si="0"/>
        <v>ع2-1-1</v>
      </c>
      <c r="F29" s="171" t="s">
        <v>2914</v>
      </c>
      <c r="G29" s="381" t="s">
        <v>2913</v>
      </c>
      <c r="H29" s="381"/>
      <c r="I29" s="381"/>
      <c r="J29" s="381"/>
      <c r="K29" s="381"/>
      <c r="L29" s="381"/>
      <c r="M29" s="381"/>
      <c r="N29" s="381"/>
      <c r="O29" s="381"/>
      <c r="P29" s="381"/>
      <c r="Q29" s="381"/>
      <c r="R29" s="381"/>
      <c r="S29" s="381"/>
      <c r="T29" s="381"/>
      <c r="U29" s="381"/>
      <c r="V29" s="381"/>
      <c r="W29" s="381"/>
      <c r="X29" s="381"/>
      <c r="Y29" s="381"/>
      <c r="Z29" s="381"/>
      <c r="AA29" s="381"/>
      <c r="AB29" s="250">
        <v>3</v>
      </c>
      <c r="AC29" s="250"/>
      <c r="AD29" s="250"/>
      <c r="AE29" s="250"/>
      <c r="AF29" s="294" t="s">
        <v>2535</v>
      </c>
      <c r="AG29" s="279" t="s">
        <v>2152</v>
      </c>
      <c r="AH29" s="292" t="s">
        <v>2125</v>
      </c>
      <c r="AI29" s="292" t="s">
        <v>2124</v>
      </c>
      <c r="AJ29" s="279"/>
      <c r="AK29" s="279"/>
    </row>
    <row r="30" spans="1:37" s="178" customFormat="1" ht="18.95" customHeight="1" outlineLevel="4">
      <c r="A30" s="178" t="s">
        <v>3500</v>
      </c>
      <c r="B30" s="165" t="str">
        <f t="shared" si="0"/>
        <v>ع</v>
      </c>
      <c r="C30" s="164" t="str">
        <f t="shared" si="0"/>
        <v>ع2</v>
      </c>
      <c r="D30" s="164" t="str">
        <f t="shared" si="0"/>
        <v>ع2-1</v>
      </c>
      <c r="E30" s="164" t="str">
        <f t="shared" si="0"/>
        <v>ع2-1-1</v>
      </c>
      <c r="F30" s="171" t="s">
        <v>2912</v>
      </c>
      <c r="G30" s="381" t="s">
        <v>2911</v>
      </c>
      <c r="H30" s="381"/>
      <c r="I30" s="381"/>
      <c r="J30" s="381"/>
      <c r="K30" s="381"/>
      <c r="L30" s="381"/>
      <c r="M30" s="381"/>
      <c r="N30" s="381"/>
      <c r="O30" s="381"/>
      <c r="P30" s="381"/>
      <c r="Q30" s="381"/>
      <c r="R30" s="381"/>
      <c r="S30" s="381"/>
      <c r="T30" s="381"/>
      <c r="U30" s="381"/>
      <c r="V30" s="381"/>
      <c r="W30" s="381"/>
      <c r="X30" s="381"/>
      <c r="Y30" s="381"/>
      <c r="Z30" s="381"/>
      <c r="AA30" s="381"/>
      <c r="AB30" s="250">
        <v>3</v>
      </c>
      <c r="AC30" s="250"/>
      <c r="AD30" s="250"/>
      <c r="AE30" s="250"/>
      <c r="AF30" s="294" t="s">
        <v>2535</v>
      </c>
      <c r="AG30" s="279"/>
      <c r="AH30" s="292" t="s">
        <v>2125</v>
      </c>
      <c r="AI30" s="292" t="s">
        <v>2124</v>
      </c>
      <c r="AJ30" s="279"/>
      <c r="AK30" s="279"/>
    </row>
    <row r="31" spans="1:37" s="178" customFormat="1" ht="18.95" customHeight="1" outlineLevel="4">
      <c r="A31" s="178" t="s">
        <v>3500</v>
      </c>
      <c r="B31" s="165" t="str">
        <f t="shared" si="0"/>
        <v>ع</v>
      </c>
      <c r="C31" s="164" t="str">
        <f t="shared" si="0"/>
        <v>ع2</v>
      </c>
      <c r="D31" s="164" t="str">
        <f t="shared" si="0"/>
        <v>ع2-1</v>
      </c>
      <c r="E31" s="164" t="str">
        <f t="shared" si="0"/>
        <v>ع2-1-1</v>
      </c>
      <c r="F31" s="171" t="s">
        <v>2910</v>
      </c>
      <c r="G31" s="381" t="s">
        <v>2909</v>
      </c>
      <c r="H31" s="381"/>
      <c r="I31" s="381"/>
      <c r="J31" s="381"/>
      <c r="K31" s="381"/>
      <c r="L31" s="381"/>
      <c r="M31" s="381"/>
      <c r="N31" s="381"/>
      <c r="O31" s="381"/>
      <c r="P31" s="381"/>
      <c r="Q31" s="381"/>
      <c r="R31" s="381"/>
      <c r="S31" s="381"/>
      <c r="T31" s="381"/>
      <c r="U31" s="381"/>
      <c r="V31" s="381"/>
      <c r="W31" s="381"/>
      <c r="X31" s="381"/>
      <c r="Y31" s="381"/>
      <c r="Z31" s="381"/>
      <c r="AA31" s="381"/>
      <c r="AB31" s="250">
        <v>3</v>
      </c>
      <c r="AC31" s="250"/>
      <c r="AD31" s="250"/>
      <c r="AE31" s="250"/>
      <c r="AF31" s="294" t="s">
        <v>2535</v>
      </c>
      <c r="AG31" s="279"/>
      <c r="AH31" s="292" t="s">
        <v>2125</v>
      </c>
      <c r="AI31" s="292" t="s">
        <v>2124</v>
      </c>
      <c r="AJ31" s="279"/>
      <c r="AK31" s="279"/>
    </row>
    <row r="32" spans="1:37" s="178" customFormat="1" ht="18.95" customHeight="1" outlineLevel="4">
      <c r="A32" s="178" t="s">
        <v>3500</v>
      </c>
      <c r="B32" s="165" t="str">
        <f t="shared" si="0"/>
        <v>ع</v>
      </c>
      <c r="C32" s="164" t="str">
        <f t="shared" si="0"/>
        <v>ع2</v>
      </c>
      <c r="D32" s="164" t="str">
        <f t="shared" si="0"/>
        <v>ع2-1</v>
      </c>
      <c r="E32" s="164" t="str">
        <f t="shared" si="0"/>
        <v>ع2-1-1</v>
      </c>
      <c r="F32" s="171" t="s">
        <v>2908</v>
      </c>
      <c r="G32" s="381" t="s">
        <v>2907</v>
      </c>
      <c r="H32" s="381"/>
      <c r="I32" s="381"/>
      <c r="J32" s="381"/>
      <c r="K32" s="381"/>
      <c r="L32" s="381"/>
      <c r="M32" s="381"/>
      <c r="N32" s="381"/>
      <c r="O32" s="381"/>
      <c r="P32" s="381"/>
      <c r="Q32" s="381"/>
      <c r="R32" s="381"/>
      <c r="S32" s="381"/>
      <c r="T32" s="381"/>
      <c r="U32" s="381"/>
      <c r="V32" s="381"/>
      <c r="W32" s="381"/>
      <c r="X32" s="381"/>
      <c r="Y32" s="381"/>
      <c r="Z32" s="381"/>
      <c r="AA32" s="381"/>
      <c r="AB32" s="250">
        <v>3</v>
      </c>
      <c r="AC32" s="250"/>
      <c r="AD32" s="250"/>
      <c r="AE32" s="250"/>
      <c r="AF32" s="294" t="s">
        <v>2535</v>
      </c>
      <c r="AG32" s="279"/>
      <c r="AH32" s="292" t="s">
        <v>2125</v>
      </c>
      <c r="AI32" s="292" t="s">
        <v>2124</v>
      </c>
      <c r="AJ32" s="279"/>
      <c r="AK32" s="279"/>
    </row>
    <row r="33" spans="1:37" s="178" customFormat="1" ht="18.95" customHeight="1" outlineLevel="4">
      <c r="A33" s="178" t="s">
        <v>3500</v>
      </c>
      <c r="B33" s="165" t="str">
        <f t="shared" si="0"/>
        <v>ع</v>
      </c>
      <c r="C33" s="164" t="str">
        <f t="shared" si="0"/>
        <v>ع2</v>
      </c>
      <c r="D33" s="164" t="str">
        <f t="shared" si="0"/>
        <v>ع2-1</v>
      </c>
      <c r="E33" s="164" t="str">
        <f t="shared" si="0"/>
        <v>ع2-1-1</v>
      </c>
      <c r="F33" s="171" t="s">
        <v>2906</v>
      </c>
      <c r="G33" s="381" t="s">
        <v>2905</v>
      </c>
      <c r="H33" s="381"/>
      <c r="I33" s="381"/>
      <c r="J33" s="381"/>
      <c r="K33" s="381"/>
      <c r="L33" s="381"/>
      <c r="M33" s="381"/>
      <c r="N33" s="381"/>
      <c r="O33" s="381"/>
      <c r="P33" s="381"/>
      <c r="Q33" s="381"/>
      <c r="R33" s="381"/>
      <c r="S33" s="381"/>
      <c r="T33" s="381"/>
      <c r="U33" s="381"/>
      <c r="V33" s="381"/>
      <c r="W33" s="381"/>
      <c r="X33" s="381"/>
      <c r="Y33" s="381"/>
      <c r="Z33" s="381"/>
      <c r="AA33" s="381"/>
      <c r="AB33" s="250">
        <v>3</v>
      </c>
      <c r="AC33" s="250"/>
      <c r="AD33" s="250"/>
      <c r="AE33" s="250"/>
      <c r="AF33" s="294" t="s">
        <v>2535</v>
      </c>
      <c r="AG33" s="279"/>
      <c r="AH33" s="292" t="s">
        <v>2125</v>
      </c>
      <c r="AI33" s="292" t="s">
        <v>2124</v>
      </c>
      <c r="AJ33" s="279"/>
      <c r="AK33" s="279"/>
    </row>
    <row r="34" spans="1:37" s="178" customFormat="1" ht="18.95" customHeight="1" outlineLevel="4">
      <c r="A34" s="178" t="s">
        <v>3500</v>
      </c>
      <c r="B34" s="165" t="str">
        <f t="shared" si="0"/>
        <v>ع</v>
      </c>
      <c r="C34" s="164" t="str">
        <f t="shared" si="0"/>
        <v>ع2</v>
      </c>
      <c r="D34" s="164" t="str">
        <f t="shared" si="0"/>
        <v>ع2-1</v>
      </c>
      <c r="E34" s="164" t="str">
        <f t="shared" si="0"/>
        <v>ع2-1-1</v>
      </c>
      <c r="F34" s="171" t="s">
        <v>2904</v>
      </c>
      <c r="G34" s="381" t="s">
        <v>2903</v>
      </c>
      <c r="H34" s="381"/>
      <c r="I34" s="381"/>
      <c r="J34" s="381"/>
      <c r="K34" s="381"/>
      <c r="L34" s="381"/>
      <c r="M34" s="381"/>
      <c r="N34" s="381"/>
      <c r="O34" s="381"/>
      <c r="P34" s="381"/>
      <c r="Q34" s="381"/>
      <c r="R34" s="381"/>
      <c r="S34" s="381"/>
      <c r="T34" s="381"/>
      <c r="U34" s="381"/>
      <c r="V34" s="381"/>
      <c r="W34" s="381"/>
      <c r="X34" s="381"/>
      <c r="Y34" s="381"/>
      <c r="Z34" s="381"/>
      <c r="AA34" s="381"/>
      <c r="AB34" s="250">
        <v>3</v>
      </c>
      <c r="AC34" s="250"/>
      <c r="AD34" s="250"/>
      <c r="AE34" s="250"/>
      <c r="AF34" s="294" t="s">
        <v>2535</v>
      </c>
      <c r="AG34" s="279"/>
      <c r="AH34" s="292" t="s">
        <v>2125</v>
      </c>
      <c r="AI34" s="292" t="s">
        <v>2124</v>
      </c>
      <c r="AJ34" s="279"/>
      <c r="AK34" s="279"/>
    </row>
    <row r="35" spans="1:37" s="178" customFormat="1" ht="18.95" customHeight="1" outlineLevel="4">
      <c r="A35" s="178" t="s">
        <v>3500</v>
      </c>
      <c r="B35" s="165" t="str">
        <f t="shared" si="0"/>
        <v>ع</v>
      </c>
      <c r="C35" s="164" t="str">
        <f t="shared" si="0"/>
        <v>ع2</v>
      </c>
      <c r="D35" s="164" t="str">
        <f t="shared" si="0"/>
        <v>ع2-1</v>
      </c>
      <c r="E35" s="164" t="str">
        <f t="shared" si="0"/>
        <v>ع2-1-1</v>
      </c>
      <c r="F35" s="171" t="s">
        <v>2902</v>
      </c>
      <c r="G35" s="381" t="s">
        <v>2901</v>
      </c>
      <c r="H35" s="381"/>
      <c r="I35" s="381"/>
      <c r="J35" s="381"/>
      <c r="K35" s="381"/>
      <c r="L35" s="381"/>
      <c r="M35" s="381"/>
      <c r="N35" s="381"/>
      <c r="O35" s="381"/>
      <c r="P35" s="381"/>
      <c r="Q35" s="381"/>
      <c r="R35" s="381"/>
      <c r="S35" s="381"/>
      <c r="T35" s="381"/>
      <c r="U35" s="381"/>
      <c r="V35" s="381"/>
      <c r="W35" s="381"/>
      <c r="X35" s="381"/>
      <c r="Y35" s="381"/>
      <c r="Z35" s="381"/>
      <c r="AA35" s="381"/>
      <c r="AB35" s="250">
        <v>3</v>
      </c>
      <c r="AC35" s="250"/>
      <c r="AD35" s="250"/>
      <c r="AE35" s="250"/>
      <c r="AF35" s="294" t="s">
        <v>2535</v>
      </c>
      <c r="AG35" s="279"/>
      <c r="AH35" s="292" t="s">
        <v>2125</v>
      </c>
      <c r="AI35" s="292" t="s">
        <v>2124</v>
      </c>
      <c r="AJ35" s="279"/>
      <c r="AK35" s="279"/>
    </row>
    <row r="36" spans="1:37" s="178" customFormat="1" ht="9" hidden="1" customHeight="1" outlineLevel="3" thickBot="1">
      <c r="B36" s="165" t="str">
        <f t="shared" si="0"/>
        <v>ع</v>
      </c>
      <c r="C36" s="164" t="str">
        <f t="shared" si="0"/>
        <v>ع2</v>
      </c>
      <c r="D36" s="164" t="str">
        <f t="shared" si="0"/>
        <v>ع2-1</v>
      </c>
      <c r="E36" s="164" t="str">
        <f t="shared" si="0"/>
        <v>ع2-1-1</v>
      </c>
      <c r="F36" s="171"/>
      <c r="G36" s="293"/>
      <c r="H36" s="293"/>
      <c r="I36" s="293"/>
      <c r="J36" s="293"/>
      <c r="K36" s="293"/>
      <c r="L36" s="293"/>
      <c r="M36" s="293"/>
      <c r="N36" s="293"/>
      <c r="O36" s="293"/>
      <c r="P36" s="293"/>
      <c r="Q36" s="293"/>
      <c r="R36" s="293"/>
      <c r="S36" s="293"/>
      <c r="T36" s="293"/>
      <c r="U36" s="293"/>
      <c r="V36" s="293"/>
      <c r="W36" s="293"/>
      <c r="X36" s="293"/>
      <c r="Y36" s="293"/>
      <c r="Z36" s="293"/>
      <c r="AA36" s="293"/>
      <c r="AB36" s="250"/>
      <c r="AC36" s="250"/>
      <c r="AD36" s="250"/>
      <c r="AE36" s="250"/>
      <c r="AF36" s="294" t="s">
        <v>2535</v>
      </c>
      <c r="AG36" s="279"/>
      <c r="AH36" s="292" t="s">
        <v>2125</v>
      </c>
      <c r="AI36" s="292" t="s">
        <v>2124</v>
      </c>
      <c r="AJ36" s="279"/>
      <c r="AK36" s="279"/>
    </row>
    <row r="37" spans="1:37" s="178" customFormat="1" ht="18.95" hidden="1" customHeight="1" outlineLevel="3" thickTop="1" thickBot="1">
      <c r="A37" s="178" t="s">
        <v>189</v>
      </c>
      <c r="B37" s="165" t="str">
        <f t="shared" si="0"/>
        <v>ع</v>
      </c>
      <c r="C37" s="164" t="str">
        <f t="shared" si="0"/>
        <v>ع2</v>
      </c>
      <c r="D37" s="184" t="str">
        <f t="shared" si="0"/>
        <v>ع2-1</v>
      </c>
      <c r="E37" s="183" t="s">
        <v>2900</v>
      </c>
      <c r="F37" s="183" t="s">
        <v>2900</v>
      </c>
      <c r="G37" s="384" t="s">
        <v>2899</v>
      </c>
      <c r="H37" s="384"/>
      <c r="I37" s="384"/>
      <c r="J37" s="384"/>
      <c r="K37" s="384"/>
      <c r="L37" s="384"/>
      <c r="M37" s="384"/>
      <c r="N37" s="384"/>
      <c r="O37" s="384"/>
      <c r="P37" s="384"/>
      <c r="Q37" s="384"/>
      <c r="R37" s="384"/>
      <c r="S37" s="384"/>
      <c r="T37" s="384"/>
      <c r="U37" s="384"/>
      <c r="V37" s="384"/>
      <c r="W37" s="384"/>
      <c r="X37" s="384"/>
      <c r="Y37" s="384"/>
      <c r="Z37" s="384"/>
      <c r="AA37" s="384"/>
      <c r="AB37" s="182" t="s">
        <v>2110</v>
      </c>
      <c r="AC37" s="181"/>
      <c r="AD37" s="181"/>
      <c r="AE37" s="181"/>
      <c r="AF37" s="294" t="s">
        <v>2898</v>
      </c>
      <c r="AG37" s="279" t="s">
        <v>2121</v>
      </c>
      <c r="AH37" s="292" t="s">
        <v>2125</v>
      </c>
      <c r="AI37" s="292" t="s">
        <v>2124</v>
      </c>
      <c r="AJ37" s="279"/>
      <c r="AK37" s="279"/>
    </row>
    <row r="38" spans="1:37" s="178" customFormat="1" ht="18.95" customHeight="1" outlineLevel="4">
      <c r="A38" s="178" t="s">
        <v>3500</v>
      </c>
      <c r="B38" s="165" t="str">
        <f t="shared" si="0"/>
        <v>ع</v>
      </c>
      <c r="C38" s="164" t="str">
        <f t="shared" si="0"/>
        <v>ع2</v>
      </c>
      <c r="D38" s="164" t="str">
        <f t="shared" si="0"/>
        <v>ع2-1</v>
      </c>
      <c r="E38" s="164" t="str">
        <f>E37</f>
        <v>ع2-1-2</v>
      </c>
      <c r="F38" s="171" t="s">
        <v>2897</v>
      </c>
      <c r="G38" s="381" t="s">
        <v>2896</v>
      </c>
      <c r="H38" s="381"/>
      <c r="I38" s="381"/>
      <c r="J38" s="381"/>
      <c r="K38" s="381"/>
      <c r="L38" s="381"/>
      <c r="M38" s="381"/>
      <c r="N38" s="381"/>
      <c r="O38" s="381"/>
      <c r="P38" s="381"/>
      <c r="Q38" s="381"/>
      <c r="R38" s="381"/>
      <c r="S38" s="381"/>
      <c r="T38" s="381"/>
      <c r="U38" s="381"/>
      <c r="V38" s="381"/>
      <c r="W38" s="381"/>
      <c r="X38" s="381"/>
      <c r="Y38" s="381"/>
      <c r="Z38" s="381"/>
      <c r="AA38" s="381"/>
      <c r="AB38" s="250">
        <v>3</v>
      </c>
      <c r="AC38" s="250"/>
      <c r="AD38" s="250"/>
      <c r="AE38" s="250"/>
      <c r="AF38" s="294" t="s">
        <v>2535</v>
      </c>
      <c r="AG38" s="279"/>
      <c r="AH38" s="292" t="s">
        <v>2125</v>
      </c>
      <c r="AI38" s="292" t="s">
        <v>2124</v>
      </c>
      <c r="AJ38" s="279"/>
      <c r="AK38" s="279"/>
    </row>
    <row r="39" spans="1:37" s="178" customFormat="1" ht="18.95" customHeight="1" outlineLevel="4">
      <c r="A39" s="178" t="s">
        <v>3500</v>
      </c>
      <c r="B39" s="165" t="str">
        <f t="shared" si="0"/>
        <v>ع</v>
      </c>
      <c r="C39" s="164" t="str">
        <f t="shared" si="0"/>
        <v>ع2</v>
      </c>
      <c r="D39" s="164" t="str">
        <f t="shared" si="0"/>
        <v>ع2-1</v>
      </c>
      <c r="E39" s="164" t="str">
        <f>E38</f>
        <v>ع2-1-2</v>
      </c>
      <c r="F39" s="171" t="s">
        <v>2895</v>
      </c>
      <c r="G39" s="381" t="s">
        <v>2894</v>
      </c>
      <c r="H39" s="381"/>
      <c r="I39" s="381"/>
      <c r="J39" s="381"/>
      <c r="K39" s="381"/>
      <c r="L39" s="381"/>
      <c r="M39" s="381"/>
      <c r="N39" s="381"/>
      <c r="O39" s="381"/>
      <c r="P39" s="381"/>
      <c r="Q39" s="381"/>
      <c r="R39" s="381"/>
      <c r="S39" s="381"/>
      <c r="T39" s="381"/>
      <c r="U39" s="381"/>
      <c r="V39" s="381"/>
      <c r="W39" s="381"/>
      <c r="X39" s="381"/>
      <c r="Y39" s="381"/>
      <c r="Z39" s="381"/>
      <c r="AA39" s="381"/>
      <c r="AB39" s="250">
        <v>3</v>
      </c>
      <c r="AC39" s="250"/>
      <c r="AD39" s="250"/>
      <c r="AE39" s="250"/>
      <c r="AF39" s="294" t="s">
        <v>2535</v>
      </c>
      <c r="AG39" s="279"/>
      <c r="AH39" s="292" t="s">
        <v>2125</v>
      </c>
      <c r="AI39" s="292" t="s">
        <v>2124</v>
      </c>
      <c r="AJ39" s="279"/>
      <c r="AK39" s="279"/>
    </row>
    <row r="40" spans="1:37" s="178" customFormat="1" ht="18.95" customHeight="1" outlineLevel="4">
      <c r="A40" s="178" t="s">
        <v>3500</v>
      </c>
      <c r="B40" s="165" t="str">
        <f t="shared" si="0"/>
        <v>ع</v>
      </c>
      <c r="C40" s="164" t="str">
        <f t="shared" si="0"/>
        <v>ع2</v>
      </c>
      <c r="D40" s="164" t="str">
        <f t="shared" si="0"/>
        <v>ع2-1</v>
      </c>
      <c r="E40" s="164" t="str">
        <f>E39</f>
        <v>ع2-1-2</v>
      </c>
      <c r="F40" s="171" t="s">
        <v>2893</v>
      </c>
      <c r="G40" s="381" t="s">
        <v>2892</v>
      </c>
      <c r="H40" s="381"/>
      <c r="I40" s="381"/>
      <c r="J40" s="381"/>
      <c r="K40" s="381"/>
      <c r="L40" s="381"/>
      <c r="M40" s="381"/>
      <c r="N40" s="381"/>
      <c r="O40" s="381"/>
      <c r="P40" s="381"/>
      <c r="Q40" s="381"/>
      <c r="R40" s="381"/>
      <c r="S40" s="381"/>
      <c r="T40" s="381"/>
      <c r="U40" s="381"/>
      <c r="V40" s="381"/>
      <c r="W40" s="381"/>
      <c r="X40" s="381"/>
      <c r="Y40" s="381"/>
      <c r="Z40" s="381"/>
      <c r="AA40" s="381"/>
      <c r="AB40" s="250">
        <v>3</v>
      </c>
      <c r="AC40" s="250"/>
      <c r="AD40" s="250"/>
      <c r="AE40" s="250"/>
      <c r="AF40" s="294" t="s">
        <v>2535</v>
      </c>
      <c r="AG40" s="279"/>
      <c r="AH40" s="292" t="s">
        <v>2125</v>
      </c>
      <c r="AI40" s="292" t="s">
        <v>2124</v>
      </c>
      <c r="AJ40" s="279"/>
      <c r="AK40" s="279"/>
    </row>
    <row r="41" spans="1:37" s="178" customFormat="1" ht="18.95" customHeight="1" outlineLevel="4">
      <c r="A41" s="178" t="s">
        <v>3500</v>
      </c>
      <c r="B41" s="165" t="str">
        <f t="shared" ref="B41:E72" si="1">B40</f>
        <v>ع</v>
      </c>
      <c r="C41" s="164" t="str">
        <f t="shared" si="1"/>
        <v>ع2</v>
      </c>
      <c r="D41" s="164" t="str">
        <f t="shared" si="1"/>
        <v>ع2-1</v>
      </c>
      <c r="E41" s="164" t="str">
        <f>E40</f>
        <v>ع2-1-2</v>
      </c>
      <c r="F41" s="171" t="s">
        <v>2891</v>
      </c>
      <c r="G41" s="381" t="s">
        <v>2890</v>
      </c>
      <c r="H41" s="381"/>
      <c r="I41" s="381"/>
      <c r="J41" s="381"/>
      <c r="K41" s="381"/>
      <c r="L41" s="381"/>
      <c r="M41" s="381"/>
      <c r="N41" s="381"/>
      <c r="O41" s="381"/>
      <c r="P41" s="381"/>
      <c r="Q41" s="381"/>
      <c r="R41" s="381"/>
      <c r="S41" s="381"/>
      <c r="T41" s="381"/>
      <c r="U41" s="381"/>
      <c r="V41" s="381"/>
      <c r="W41" s="381"/>
      <c r="X41" s="381"/>
      <c r="Y41" s="381"/>
      <c r="Z41" s="381"/>
      <c r="AA41" s="381"/>
      <c r="AB41" s="250">
        <v>3</v>
      </c>
      <c r="AC41" s="250"/>
      <c r="AD41" s="250"/>
      <c r="AE41" s="250"/>
      <c r="AF41" s="294" t="s">
        <v>2535</v>
      </c>
      <c r="AG41" s="279"/>
      <c r="AH41" s="292" t="s">
        <v>2125</v>
      </c>
      <c r="AI41" s="292" t="s">
        <v>2124</v>
      </c>
      <c r="AJ41" s="279"/>
      <c r="AK41" s="279"/>
    </row>
    <row r="42" spans="1:37" s="178" customFormat="1" ht="9" hidden="1" customHeight="1" outlineLevel="3" thickBot="1">
      <c r="B42" s="165" t="str">
        <f t="shared" si="1"/>
        <v>ع</v>
      </c>
      <c r="C42" s="164" t="str">
        <f t="shared" si="1"/>
        <v>ع2</v>
      </c>
      <c r="D42" s="164" t="str">
        <f t="shared" si="1"/>
        <v>ع2-1</v>
      </c>
      <c r="E42" s="164" t="str">
        <f>E41</f>
        <v>ع2-1-2</v>
      </c>
      <c r="F42" s="171"/>
      <c r="G42" s="293"/>
      <c r="H42" s="293"/>
      <c r="I42" s="293"/>
      <c r="J42" s="293"/>
      <c r="K42" s="293"/>
      <c r="L42" s="293"/>
      <c r="M42" s="293"/>
      <c r="N42" s="293"/>
      <c r="O42" s="293"/>
      <c r="P42" s="293"/>
      <c r="Q42" s="293"/>
      <c r="R42" s="293"/>
      <c r="S42" s="293"/>
      <c r="T42" s="293"/>
      <c r="U42" s="293"/>
      <c r="V42" s="293"/>
      <c r="W42" s="293"/>
      <c r="X42" s="293"/>
      <c r="Y42" s="293"/>
      <c r="Z42" s="293"/>
      <c r="AA42" s="293"/>
      <c r="AB42" s="250"/>
      <c r="AC42" s="250"/>
      <c r="AD42" s="250"/>
      <c r="AE42" s="250"/>
      <c r="AF42" s="294" t="s">
        <v>2535</v>
      </c>
      <c r="AG42" s="279"/>
      <c r="AH42" s="292" t="s">
        <v>2125</v>
      </c>
      <c r="AI42" s="292" t="s">
        <v>2124</v>
      </c>
      <c r="AJ42" s="279"/>
      <c r="AK42" s="279"/>
    </row>
    <row r="43" spans="1:37" s="178" customFormat="1" ht="18.95" hidden="1" customHeight="1" outlineLevel="3" thickTop="1" thickBot="1">
      <c r="A43" s="178" t="s">
        <v>189</v>
      </c>
      <c r="B43" s="165" t="str">
        <f t="shared" si="1"/>
        <v>ع</v>
      </c>
      <c r="C43" s="164" t="str">
        <f t="shared" si="1"/>
        <v>ع2</v>
      </c>
      <c r="D43" s="184" t="str">
        <f t="shared" si="1"/>
        <v>ع2-1</v>
      </c>
      <c r="E43" s="183" t="s">
        <v>2889</v>
      </c>
      <c r="F43" s="183" t="s">
        <v>2889</v>
      </c>
      <c r="G43" s="384" t="s">
        <v>488</v>
      </c>
      <c r="H43" s="384"/>
      <c r="I43" s="384"/>
      <c r="J43" s="384"/>
      <c r="K43" s="384"/>
      <c r="L43" s="384"/>
      <c r="M43" s="384"/>
      <c r="N43" s="384"/>
      <c r="O43" s="384"/>
      <c r="P43" s="384"/>
      <c r="Q43" s="384"/>
      <c r="R43" s="384"/>
      <c r="S43" s="384"/>
      <c r="T43" s="384"/>
      <c r="U43" s="384"/>
      <c r="V43" s="384"/>
      <c r="W43" s="384"/>
      <c r="X43" s="384"/>
      <c r="Y43" s="384"/>
      <c r="Z43" s="384"/>
      <c r="AA43" s="384"/>
      <c r="AB43" s="182" t="s">
        <v>2110</v>
      </c>
      <c r="AC43" s="181"/>
      <c r="AD43" s="181"/>
      <c r="AE43" s="181"/>
      <c r="AF43" s="294" t="s">
        <v>2888</v>
      </c>
      <c r="AG43" s="279"/>
      <c r="AH43" s="292" t="s">
        <v>2125</v>
      </c>
      <c r="AI43" s="292" t="s">
        <v>2124</v>
      </c>
      <c r="AJ43" s="279"/>
      <c r="AK43" s="279"/>
    </row>
    <row r="44" spans="1:37" s="178" customFormat="1" ht="18.95" customHeight="1" outlineLevel="4">
      <c r="A44" s="178" t="s">
        <v>3500</v>
      </c>
      <c r="B44" s="165" t="str">
        <f t="shared" si="1"/>
        <v>ع</v>
      </c>
      <c r="C44" s="164" t="str">
        <f t="shared" si="1"/>
        <v>ع2</v>
      </c>
      <c r="D44" s="164" t="str">
        <f t="shared" si="1"/>
        <v>ع2-1</v>
      </c>
      <c r="E44" s="164" t="str">
        <f t="shared" si="1"/>
        <v>ع2-1-3</v>
      </c>
      <c r="F44" s="171" t="s">
        <v>2887</v>
      </c>
      <c r="G44" s="381" t="s">
        <v>2886</v>
      </c>
      <c r="H44" s="381"/>
      <c r="I44" s="381"/>
      <c r="J44" s="381"/>
      <c r="K44" s="381"/>
      <c r="L44" s="381"/>
      <c r="M44" s="381"/>
      <c r="N44" s="381"/>
      <c r="O44" s="381"/>
      <c r="P44" s="381"/>
      <c r="Q44" s="381"/>
      <c r="R44" s="381"/>
      <c r="S44" s="381"/>
      <c r="T44" s="381"/>
      <c r="U44" s="381"/>
      <c r="V44" s="381"/>
      <c r="W44" s="381"/>
      <c r="X44" s="381"/>
      <c r="Y44" s="381"/>
      <c r="Z44" s="381"/>
      <c r="AA44" s="381"/>
      <c r="AB44" s="250">
        <v>3</v>
      </c>
      <c r="AC44" s="250"/>
      <c r="AD44" s="250"/>
      <c r="AE44" s="250"/>
      <c r="AF44" s="294" t="s">
        <v>2535</v>
      </c>
      <c r="AG44" s="279"/>
      <c r="AH44" s="292" t="s">
        <v>2125</v>
      </c>
      <c r="AI44" s="292" t="s">
        <v>2124</v>
      </c>
      <c r="AJ44" s="279"/>
      <c r="AK44" s="279"/>
    </row>
    <row r="45" spans="1:37" s="178" customFormat="1" ht="18.95" customHeight="1" outlineLevel="4">
      <c r="A45" s="178" t="s">
        <v>3500</v>
      </c>
      <c r="B45" s="165" t="str">
        <f t="shared" si="1"/>
        <v>ع</v>
      </c>
      <c r="C45" s="164" t="str">
        <f t="shared" si="1"/>
        <v>ع2</v>
      </c>
      <c r="D45" s="164" t="str">
        <f t="shared" si="1"/>
        <v>ع2-1</v>
      </c>
      <c r="E45" s="164" t="str">
        <f t="shared" si="1"/>
        <v>ع2-1-3</v>
      </c>
      <c r="F45" s="171" t="s">
        <v>2885</v>
      </c>
      <c r="G45" s="381" t="s">
        <v>2884</v>
      </c>
      <c r="H45" s="381"/>
      <c r="I45" s="381"/>
      <c r="J45" s="381"/>
      <c r="K45" s="381"/>
      <c r="L45" s="381"/>
      <c r="M45" s="381"/>
      <c r="N45" s="381"/>
      <c r="O45" s="381"/>
      <c r="P45" s="381"/>
      <c r="Q45" s="381"/>
      <c r="R45" s="381"/>
      <c r="S45" s="381"/>
      <c r="T45" s="381"/>
      <c r="U45" s="381"/>
      <c r="V45" s="381"/>
      <c r="W45" s="381"/>
      <c r="X45" s="381"/>
      <c r="Y45" s="381"/>
      <c r="Z45" s="381"/>
      <c r="AA45" s="381"/>
      <c r="AB45" s="250">
        <v>3</v>
      </c>
      <c r="AC45" s="250"/>
      <c r="AD45" s="250"/>
      <c r="AE45" s="250"/>
      <c r="AF45" s="294" t="s">
        <v>2535</v>
      </c>
      <c r="AG45" s="279"/>
      <c r="AH45" s="292" t="s">
        <v>2125</v>
      </c>
      <c r="AI45" s="292" t="s">
        <v>2124</v>
      </c>
      <c r="AJ45" s="279"/>
      <c r="AK45" s="279"/>
    </row>
    <row r="46" spans="1:37" s="178" customFormat="1" ht="18.95" customHeight="1" outlineLevel="4">
      <c r="A46" s="178" t="s">
        <v>3500</v>
      </c>
      <c r="B46" s="165" t="str">
        <f t="shared" si="1"/>
        <v>ع</v>
      </c>
      <c r="C46" s="164" t="str">
        <f t="shared" si="1"/>
        <v>ع2</v>
      </c>
      <c r="D46" s="164" t="str">
        <f t="shared" si="1"/>
        <v>ع2-1</v>
      </c>
      <c r="E46" s="164" t="str">
        <f t="shared" si="1"/>
        <v>ع2-1-3</v>
      </c>
      <c r="F46" s="171" t="s">
        <v>2883</v>
      </c>
      <c r="G46" s="381" t="s">
        <v>2882</v>
      </c>
      <c r="H46" s="381"/>
      <c r="I46" s="381"/>
      <c r="J46" s="381"/>
      <c r="K46" s="381"/>
      <c r="L46" s="381"/>
      <c r="M46" s="381"/>
      <c r="N46" s="381"/>
      <c r="O46" s="381"/>
      <c r="P46" s="381"/>
      <c r="Q46" s="381"/>
      <c r="R46" s="381"/>
      <c r="S46" s="381"/>
      <c r="T46" s="381"/>
      <c r="U46" s="381"/>
      <c r="V46" s="381"/>
      <c r="W46" s="381"/>
      <c r="X46" s="381"/>
      <c r="Y46" s="381"/>
      <c r="Z46" s="381"/>
      <c r="AA46" s="381"/>
      <c r="AB46" s="250">
        <v>3</v>
      </c>
      <c r="AC46" s="250"/>
      <c r="AD46" s="250"/>
      <c r="AE46" s="250"/>
      <c r="AF46" s="294" t="s">
        <v>2535</v>
      </c>
      <c r="AG46" s="279" t="s">
        <v>2152</v>
      </c>
      <c r="AH46" s="292" t="s">
        <v>2125</v>
      </c>
      <c r="AI46" s="292" t="s">
        <v>2124</v>
      </c>
      <c r="AJ46" s="279"/>
      <c r="AK46" s="279"/>
    </row>
    <row r="47" spans="1:37" s="178" customFormat="1" ht="18.95" customHeight="1" outlineLevel="4">
      <c r="A47" s="178" t="s">
        <v>3500</v>
      </c>
      <c r="B47" s="165" t="str">
        <f t="shared" si="1"/>
        <v>ع</v>
      </c>
      <c r="C47" s="164" t="str">
        <f t="shared" si="1"/>
        <v>ع2</v>
      </c>
      <c r="D47" s="164" t="str">
        <f t="shared" si="1"/>
        <v>ع2-1</v>
      </c>
      <c r="E47" s="164" t="str">
        <f t="shared" si="1"/>
        <v>ع2-1-3</v>
      </c>
      <c r="F47" s="171" t="s">
        <v>2881</v>
      </c>
      <c r="G47" s="381" t="s">
        <v>2880</v>
      </c>
      <c r="H47" s="381"/>
      <c r="I47" s="381"/>
      <c r="J47" s="381"/>
      <c r="K47" s="381"/>
      <c r="L47" s="381"/>
      <c r="M47" s="381"/>
      <c r="N47" s="381"/>
      <c r="O47" s="381"/>
      <c r="P47" s="381"/>
      <c r="Q47" s="381"/>
      <c r="R47" s="381"/>
      <c r="S47" s="381"/>
      <c r="T47" s="381"/>
      <c r="U47" s="381"/>
      <c r="V47" s="381"/>
      <c r="W47" s="381"/>
      <c r="X47" s="381"/>
      <c r="Y47" s="381"/>
      <c r="Z47" s="381"/>
      <c r="AA47" s="381"/>
      <c r="AB47" s="250">
        <v>3</v>
      </c>
      <c r="AC47" s="250"/>
      <c r="AD47" s="250"/>
      <c r="AE47" s="250"/>
      <c r="AF47" s="294" t="s">
        <v>2535</v>
      </c>
      <c r="AG47" s="279"/>
      <c r="AH47" s="292" t="s">
        <v>2125</v>
      </c>
      <c r="AI47" s="292" t="s">
        <v>2124</v>
      </c>
      <c r="AJ47" s="279"/>
      <c r="AK47" s="279"/>
    </row>
    <row r="48" spans="1:37" s="178" customFormat="1" ht="18.95" customHeight="1" outlineLevel="4">
      <c r="A48" s="178" t="s">
        <v>3500</v>
      </c>
      <c r="B48" s="165" t="str">
        <f t="shared" si="1"/>
        <v>ع</v>
      </c>
      <c r="C48" s="164" t="str">
        <f t="shared" si="1"/>
        <v>ع2</v>
      </c>
      <c r="D48" s="164" t="str">
        <f t="shared" si="1"/>
        <v>ع2-1</v>
      </c>
      <c r="E48" s="164" t="str">
        <f t="shared" si="1"/>
        <v>ع2-1-3</v>
      </c>
      <c r="F48" s="171" t="s">
        <v>2879</v>
      </c>
      <c r="G48" s="381" t="s">
        <v>2878</v>
      </c>
      <c r="H48" s="381"/>
      <c r="I48" s="381"/>
      <c r="J48" s="381"/>
      <c r="K48" s="381"/>
      <c r="L48" s="381"/>
      <c r="M48" s="381"/>
      <c r="N48" s="381"/>
      <c r="O48" s="381"/>
      <c r="P48" s="381"/>
      <c r="Q48" s="381"/>
      <c r="R48" s="381"/>
      <c r="S48" s="381"/>
      <c r="T48" s="381"/>
      <c r="U48" s="381"/>
      <c r="V48" s="381"/>
      <c r="W48" s="381"/>
      <c r="X48" s="381"/>
      <c r="Y48" s="381"/>
      <c r="Z48" s="381"/>
      <c r="AA48" s="381"/>
      <c r="AB48" s="250">
        <v>3</v>
      </c>
      <c r="AC48" s="250"/>
      <c r="AD48" s="250"/>
      <c r="AE48" s="250"/>
      <c r="AF48" s="294" t="s">
        <v>2535</v>
      </c>
      <c r="AG48" s="279" t="s">
        <v>2152</v>
      </c>
      <c r="AH48" s="292" t="s">
        <v>2125</v>
      </c>
      <c r="AI48" s="292" t="s">
        <v>2124</v>
      </c>
      <c r="AJ48" s="279"/>
      <c r="AK48" s="279"/>
    </row>
    <row r="49" spans="1:37" s="178" customFormat="1" ht="18.95" customHeight="1" outlineLevel="4">
      <c r="A49" s="178" t="s">
        <v>3500</v>
      </c>
      <c r="B49" s="165" t="str">
        <f t="shared" si="1"/>
        <v>ع</v>
      </c>
      <c r="C49" s="164" t="str">
        <f t="shared" si="1"/>
        <v>ع2</v>
      </c>
      <c r="D49" s="164" t="str">
        <f t="shared" si="1"/>
        <v>ع2-1</v>
      </c>
      <c r="E49" s="164" t="str">
        <f t="shared" si="1"/>
        <v>ع2-1-3</v>
      </c>
      <c r="F49" s="171" t="s">
        <v>2877</v>
      </c>
      <c r="G49" s="381" t="s">
        <v>2876</v>
      </c>
      <c r="H49" s="381"/>
      <c r="I49" s="381"/>
      <c r="J49" s="381"/>
      <c r="K49" s="381"/>
      <c r="L49" s="381"/>
      <c r="M49" s="381"/>
      <c r="N49" s="381"/>
      <c r="O49" s="381"/>
      <c r="P49" s="381"/>
      <c r="Q49" s="381"/>
      <c r="R49" s="381"/>
      <c r="S49" s="381"/>
      <c r="T49" s="381"/>
      <c r="U49" s="381"/>
      <c r="V49" s="381"/>
      <c r="W49" s="381"/>
      <c r="X49" s="381"/>
      <c r="Y49" s="381"/>
      <c r="Z49" s="381"/>
      <c r="AA49" s="381"/>
      <c r="AB49" s="250">
        <v>3</v>
      </c>
      <c r="AC49" s="250"/>
      <c r="AD49" s="250"/>
      <c r="AE49" s="250"/>
      <c r="AF49" s="294" t="s">
        <v>2535</v>
      </c>
      <c r="AG49" s="279"/>
      <c r="AH49" s="292" t="s">
        <v>2125</v>
      </c>
      <c r="AI49" s="292" t="s">
        <v>2124</v>
      </c>
      <c r="AJ49" s="279"/>
      <c r="AK49" s="279"/>
    </row>
    <row r="50" spans="1:37" s="178" customFormat="1" ht="18.95" customHeight="1" outlineLevel="4">
      <c r="A50" s="178" t="s">
        <v>3500</v>
      </c>
      <c r="B50" s="165" t="str">
        <f t="shared" si="1"/>
        <v>ع</v>
      </c>
      <c r="C50" s="164" t="str">
        <f t="shared" si="1"/>
        <v>ع2</v>
      </c>
      <c r="D50" s="164" t="str">
        <f t="shared" si="1"/>
        <v>ع2-1</v>
      </c>
      <c r="E50" s="164" t="str">
        <f t="shared" si="1"/>
        <v>ع2-1-3</v>
      </c>
      <c r="F50" s="171" t="s">
        <v>2875</v>
      </c>
      <c r="G50" s="381" t="s">
        <v>2874</v>
      </c>
      <c r="H50" s="381"/>
      <c r="I50" s="381"/>
      <c r="J50" s="381"/>
      <c r="K50" s="381"/>
      <c r="L50" s="381"/>
      <c r="M50" s="381"/>
      <c r="N50" s="381"/>
      <c r="O50" s="381"/>
      <c r="P50" s="381"/>
      <c r="Q50" s="381"/>
      <c r="R50" s="381"/>
      <c r="S50" s="381"/>
      <c r="T50" s="381"/>
      <c r="U50" s="381"/>
      <c r="V50" s="381"/>
      <c r="W50" s="381"/>
      <c r="X50" s="381"/>
      <c r="Y50" s="381"/>
      <c r="Z50" s="381"/>
      <c r="AA50" s="381"/>
      <c r="AB50" s="250">
        <v>3</v>
      </c>
      <c r="AC50" s="250"/>
      <c r="AD50" s="250"/>
      <c r="AE50" s="250"/>
      <c r="AF50" s="294" t="s">
        <v>2535</v>
      </c>
      <c r="AG50" s="279"/>
      <c r="AH50" s="292" t="s">
        <v>2125</v>
      </c>
      <c r="AI50" s="292" t="s">
        <v>2124</v>
      </c>
      <c r="AJ50" s="279"/>
      <c r="AK50" s="279"/>
    </row>
    <row r="51" spans="1:37" s="178" customFormat="1" ht="18.95" customHeight="1" outlineLevel="4">
      <c r="A51" s="178" t="s">
        <v>3500</v>
      </c>
      <c r="B51" s="165" t="str">
        <f t="shared" si="1"/>
        <v>ع</v>
      </c>
      <c r="C51" s="164" t="str">
        <f t="shared" si="1"/>
        <v>ع2</v>
      </c>
      <c r="D51" s="164" t="str">
        <f t="shared" si="1"/>
        <v>ع2-1</v>
      </c>
      <c r="E51" s="164" t="str">
        <f t="shared" si="1"/>
        <v>ع2-1-3</v>
      </c>
      <c r="F51" s="171" t="s">
        <v>2873</v>
      </c>
      <c r="G51" s="381" t="s">
        <v>2872</v>
      </c>
      <c r="H51" s="381"/>
      <c r="I51" s="381"/>
      <c r="J51" s="381"/>
      <c r="K51" s="381"/>
      <c r="L51" s="381"/>
      <c r="M51" s="381"/>
      <c r="N51" s="381"/>
      <c r="O51" s="381"/>
      <c r="P51" s="381"/>
      <c r="Q51" s="381"/>
      <c r="R51" s="381"/>
      <c r="S51" s="381"/>
      <c r="T51" s="381"/>
      <c r="U51" s="381"/>
      <c r="V51" s="381"/>
      <c r="W51" s="381"/>
      <c r="X51" s="381"/>
      <c r="Y51" s="381"/>
      <c r="Z51" s="381"/>
      <c r="AA51" s="381"/>
      <c r="AB51" s="250">
        <v>3</v>
      </c>
      <c r="AC51" s="250"/>
      <c r="AD51" s="250"/>
      <c r="AE51" s="250"/>
      <c r="AF51" s="294" t="s">
        <v>2535</v>
      </c>
      <c r="AG51" s="279"/>
      <c r="AH51" s="292" t="s">
        <v>2125</v>
      </c>
      <c r="AI51" s="292" t="s">
        <v>2124</v>
      </c>
      <c r="AJ51" s="279"/>
      <c r="AK51" s="279"/>
    </row>
    <row r="52" spans="1:37" s="178" customFormat="1" ht="18.95" customHeight="1" outlineLevel="4">
      <c r="A52" s="178" t="s">
        <v>3500</v>
      </c>
      <c r="B52" s="165" t="str">
        <f t="shared" si="1"/>
        <v>ع</v>
      </c>
      <c r="C52" s="164" t="str">
        <f t="shared" si="1"/>
        <v>ع2</v>
      </c>
      <c r="D52" s="164" t="str">
        <f t="shared" si="1"/>
        <v>ع2-1</v>
      </c>
      <c r="E52" s="164" t="str">
        <f t="shared" si="1"/>
        <v>ع2-1-3</v>
      </c>
      <c r="F52" s="171" t="s">
        <v>2871</v>
      </c>
      <c r="G52" s="381" t="s">
        <v>2870</v>
      </c>
      <c r="H52" s="381"/>
      <c r="I52" s="381"/>
      <c r="J52" s="381"/>
      <c r="K52" s="381"/>
      <c r="L52" s="381"/>
      <c r="M52" s="381"/>
      <c r="N52" s="381"/>
      <c r="O52" s="381"/>
      <c r="P52" s="381"/>
      <c r="Q52" s="381"/>
      <c r="R52" s="381"/>
      <c r="S52" s="381"/>
      <c r="T52" s="381"/>
      <c r="U52" s="381"/>
      <c r="V52" s="381"/>
      <c r="W52" s="381"/>
      <c r="X52" s="381"/>
      <c r="Y52" s="381"/>
      <c r="Z52" s="381"/>
      <c r="AA52" s="381"/>
      <c r="AB52" s="250">
        <v>3</v>
      </c>
      <c r="AC52" s="250"/>
      <c r="AD52" s="250"/>
      <c r="AE52" s="250"/>
      <c r="AF52" s="294" t="s">
        <v>2535</v>
      </c>
      <c r="AG52" s="279" t="s">
        <v>2149</v>
      </c>
      <c r="AH52" s="292" t="s">
        <v>2125</v>
      </c>
      <c r="AI52" s="292" t="s">
        <v>2124</v>
      </c>
      <c r="AJ52" s="279"/>
      <c r="AK52" s="279"/>
    </row>
    <row r="53" spans="1:37" s="178" customFormat="1" ht="9" hidden="1" customHeight="1" outlineLevel="3" thickBot="1">
      <c r="B53" s="165" t="str">
        <f t="shared" si="1"/>
        <v>ع</v>
      </c>
      <c r="C53" s="164" t="str">
        <f t="shared" si="1"/>
        <v>ع2</v>
      </c>
      <c r="D53" s="164" t="str">
        <f t="shared" si="1"/>
        <v>ع2-1</v>
      </c>
      <c r="E53" s="164" t="str">
        <f t="shared" si="1"/>
        <v>ع2-1-3</v>
      </c>
      <c r="F53" s="171"/>
      <c r="G53" s="293"/>
      <c r="H53" s="293"/>
      <c r="I53" s="293"/>
      <c r="J53" s="293"/>
      <c r="K53" s="293"/>
      <c r="L53" s="293"/>
      <c r="M53" s="293"/>
      <c r="N53" s="293"/>
      <c r="O53" s="293"/>
      <c r="P53" s="293"/>
      <c r="Q53" s="293"/>
      <c r="R53" s="293"/>
      <c r="S53" s="293"/>
      <c r="T53" s="293"/>
      <c r="U53" s="293"/>
      <c r="V53" s="293"/>
      <c r="W53" s="293"/>
      <c r="X53" s="293"/>
      <c r="Y53" s="293"/>
      <c r="Z53" s="293"/>
      <c r="AA53" s="293"/>
      <c r="AB53" s="250"/>
      <c r="AC53" s="250"/>
      <c r="AD53" s="250"/>
      <c r="AE53" s="250"/>
      <c r="AF53" s="294" t="s">
        <v>2535</v>
      </c>
      <c r="AG53" s="279"/>
      <c r="AH53" s="292" t="s">
        <v>2125</v>
      </c>
      <c r="AI53" s="292" t="s">
        <v>2124</v>
      </c>
      <c r="AJ53" s="279"/>
      <c r="AK53" s="279"/>
    </row>
    <row r="54" spans="1:37" s="178" customFormat="1" ht="18.95" hidden="1" customHeight="1" outlineLevel="3" thickTop="1" thickBot="1">
      <c r="A54" s="178" t="s">
        <v>189</v>
      </c>
      <c r="B54" s="165" t="str">
        <f t="shared" si="1"/>
        <v>ع</v>
      </c>
      <c r="C54" s="164" t="str">
        <f t="shared" si="1"/>
        <v>ع2</v>
      </c>
      <c r="D54" s="184" t="str">
        <f t="shared" si="1"/>
        <v>ع2-1</v>
      </c>
      <c r="E54" s="183" t="s">
        <v>2869</v>
      </c>
      <c r="F54" s="183" t="s">
        <v>2869</v>
      </c>
      <c r="G54" s="384" t="s">
        <v>2868</v>
      </c>
      <c r="H54" s="384"/>
      <c r="I54" s="384"/>
      <c r="J54" s="384"/>
      <c r="K54" s="384"/>
      <c r="L54" s="384"/>
      <c r="M54" s="384"/>
      <c r="N54" s="384"/>
      <c r="O54" s="384"/>
      <c r="P54" s="384"/>
      <c r="Q54" s="384"/>
      <c r="R54" s="384"/>
      <c r="S54" s="384"/>
      <c r="T54" s="384"/>
      <c r="U54" s="384"/>
      <c r="V54" s="384"/>
      <c r="W54" s="384"/>
      <c r="X54" s="384"/>
      <c r="Y54" s="384"/>
      <c r="Z54" s="384"/>
      <c r="AA54" s="384"/>
      <c r="AB54" s="182" t="s">
        <v>2110</v>
      </c>
      <c r="AC54" s="181"/>
      <c r="AD54" s="181"/>
      <c r="AE54" s="181"/>
      <c r="AF54" s="294" t="s">
        <v>2867</v>
      </c>
      <c r="AG54" s="279" t="s">
        <v>2121</v>
      </c>
      <c r="AH54" s="292" t="s">
        <v>2125</v>
      </c>
      <c r="AI54" s="292" t="s">
        <v>2124</v>
      </c>
      <c r="AJ54" s="279"/>
      <c r="AK54" s="279"/>
    </row>
    <row r="55" spans="1:37" s="178" customFormat="1" ht="18.95" customHeight="1" outlineLevel="4">
      <c r="A55" s="178" t="s">
        <v>3500</v>
      </c>
      <c r="B55" s="165" t="str">
        <f t="shared" si="1"/>
        <v>ع</v>
      </c>
      <c r="C55" s="164" t="str">
        <f t="shared" si="1"/>
        <v>ع2</v>
      </c>
      <c r="D55" s="164" t="str">
        <f t="shared" si="1"/>
        <v>ع2-1</v>
      </c>
      <c r="E55" s="164" t="str">
        <f t="shared" si="1"/>
        <v>ع2-1-4</v>
      </c>
      <c r="F55" s="171" t="s">
        <v>2866</v>
      </c>
      <c r="G55" s="381" t="s">
        <v>2865</v>
      </c>
      <c r="H55" s="381"/>
      <c r="I55" s="381"/>
      <c r="J55" s="381"/>
      <c r="K55" s="381"/>
      <c r="L55" s="381"/>
      <c r="M55" s="381"/>
      <c r="N55" s="381"/>
      <c r="O55" s="381"/>
      <c r="P55" s="381"/>
      <c r="Q55" s="381"/>
      <c r="R55" s="381"/>
      <c r="S55" s="381"/>
      <c r="T55" s="381"/>
      <c r="U55" s="381"/>
      <c r="V55" s="381"/>
      <c r="W55" s="381"/>
      <c r="X55" s="381"/>
      <c r="Y55" s="381"/>
      <c r="Z55" s="381"/>
      <c r="AA55" s="381"/>
      <c r="AB55" s="250">
        <v>3</v>
      </c>
      <c r="AC55" s="250"/>
      <c r="AD55" s="250"/>
      <c r="AE55" s="250"/>
      <c r="AF55" s="294" t="s">
        <v>2535</v>
      </c>
      <c r="AG55" s="279" t="s">
        <v>2152</v>
      </c>
      <c r="AH55" s="292" t="s">
        <v>2125</v>
      </c>
      <c r="AI55" s="292" t="s">
        <v>2124</v>
      </c>
      <c r="AJ55" s="279"/>
      <c r="AK55" s="279"/>
    </row>
    <row r="56" spans="1:37" s="178" customFormat="1" ht="18.95" customHeight="1" outlineLevel="4">
      <c r="A56" s="178" t="s">
        <v>3500</v>
      </c>
      <c r="B56" s="165" t="str">
        <f t="shared" si="1"/>
        <v>ع</v>
      </c>
      <c r="C56" s="164" t="str">
        <f t="shared" si="1"/>
        <v>ع2</v>
      </c>
      <c r="D56" s="164" t="str">
        <f t="shared" si="1"/>
        <v>ع2-1</v>
      </c>
      <c r="E56" s="164" t="str">
        <f t="shared" si="1"/>
        <v>ع2-1-4</v>
      </c>
      <c r="F56" s="171" t="s">
        <v>2864</v>
      </c>
      <c r="G56" s="381" t="s">
        <v>2863</v>
      </c>
      <c r="H56" s="381"/>
      <c r="I56" s="381"/>
      <c r="J56" s="381"/>
      <c r="K56" s="381"/>
      <c r="L56" s="381"/>
      <c r="M56" s="381"/>
      <c r="N56" s="381"/>
      <c r="O56" s="381"/>
      <c r="P56" s="381"/>
      <c r="Q56" s="381"/>
      <c r="R56" s="381"/>
      <c r="S56" s="381"/>
      <c r="T56" s="381"/>
      <c r="U56" s="381"/>
      <c r="V56" s="381"/>
      <c r="W56" s="381"/>
      <c r="X56" s="381"/>
      <c r="Y56" s="381"/>
      <c r="Z56" s="381"/>
      <c r="AA56" s="381"/>
      <c r="AB56" s="250">
        <v>3</v>
      </c>
      <c r="AC56" s="250"/>
      <c r="AD56" s="250"/>
      <c r="AE56" s="250"/>
      <c r="AF56" s="294" t="s">
        <v>2535</v>
      </c>
      <c r="AG56" s="279"/>
      <c r="AH56" s="292" t="s">
        <v>2125</v>
      </c>
      <c r="AI56" s="292" t="s">
        <v>2124</v>
      </c>
      <c r="AJ56" s="279"/>
      <c r="AK56" s="279"/>
    </row>
    <row r="57" spans="1:37" s="178" customFormat="1" ht="18.95" customHeight="1" outlineLevel="4">
      <c r="A57" s="178" t="s">
        <v>3500</v>
      </c>
      <c r="B57" s="165" t="str">
        <f t="shared" si="1"/>
        <v>ع</v>
      </c>
      <c r="C57" s="164" t="str">
        <f t="shared" si="1"/>
        <v>ع2</v>
      </c>
      <c r="D57" s="164" t="str">
        <f t="shared" si="1"/>
        <v>ع2-1</v>
      </c>
      <c r="E57" s="164" t="str">
        <f t="shared" si="1"/>
        <v>ع2-1-4</v>
      </c>
      <c r="F57" s="171" t="s">
        <v>2862</v>
      </c>
      <c r="G57" s="381" t="s">
        <v>2861</v>
      </c>
      <c r="H57" s="381"/>
      <c r="I57" s="381"/>
      <c r="J57" s="381"/>
      <c r="K57" s="381"/>
      <c r="L57" s="381"/>
      <c r="M57" s="381"/>
      <c r="N57" s="381"/>
      <c r="O57" s="381"/>
      <c r="P57" s="381"/>
      <c r="Q57" s="381"/>
      <c r="R57" s="381"/>
      <c r="S57" s="381"/>
      <c r="T57" s="381"/>
      <c r="U57" s="381"/>
      <c r="V57" s="381"/>
      <c r="W57" s="381"/>
      <c r="X57" s="381"/>
      <c r="Y57" s="381"/>
      <c r="Z57" s="381"/>
      <c r="AA57" s="381"/>
      <c r="AB57" s="250">
        <v>3</v>
      </c>
      <c r="AC57" s="250"/>
      <c r="AD57" s="250"/>
      <c r="AE57" s="250"/>
      <c r="AF57" s="294" t="s">
        <v>2535</v>
      </c>
      <c r="AG57" s="279"/>
      <c r="AH57" s="292" t="s">
        <v>2125</v>
      </c>
      <c r="AI57" s="292" t="s">
        <v>2124</v>
      </c>
      <c r="AJ57" s="279"/>
      <c r="AK57" s="279"/>
    </row>
    <row r="58" spans="1:37" s="178" customFormat="1" ht="18.95" customHeight="1" outlineLevel="4">
      <c r="A58" s="178" t="s">
        <v>3500</v>
      </c>
      <c r="B58" s="165" t="str">
        <f t="shared" si="1"/>
        <v>ع</v>
      </c>
      <c r="C58" s="164" t="str">
        <f t="shared" si="1"/>
        <v>ع2</v>
      </c>
      <c r="D58" s="164" t="str">
        <f t="shared" si="1"/>
        <v>ع2-1</v>
      </c>
      <c r="E58" s="164" t="str">
        <f t="shared" si="1"/>
        <v>ع2-1-4</v>
      </c>
      <c r="F58" s="171" t="s">
        <v>2860</v>
      </c>
      <c r="G58" s="381" t="s">
        <v>2859</v>
      </c>
      <c r="H58" s="381"/>
      <c r="I58" s="381"/>
      <c r="J58" s="381"/>
      <c r="K58" s="381"/>
      <c r="L58" s="381"/>
      <c r="M58" s="381"/>
      <c r="N58" s="381"/>
      <c r="O58" s="381"/>
      <c r="P58" s="381"/>
      <c r="Q58" s="381"/>
      <c r="R58" s="381"/>
      <c r="S58" s="381"/>
      <c r="T58" s="381"/>
      <c r="U58" s="381"/>
      <c r="V58" s="381"/>
      <c r="W58" s="381"/>
      <c r="X58" s="381"/>
      <c r="Y58" s="381"/>
      <c r="Z58" s="381"/>
      <c r="AA58" s="381"/>
      <c r="AB58" s="250">
        <v>3</v>
      </c>
      <c r="AC58" s="250"/>
      <c r="AD58" s="250"/>
      <c r="AE58" s="250"/>
      <c r="AF58" s="294" t="s">
        <v>2535</v>
      </c>
      <c r="AG58" s="279"/>
      <c r="AH58" s="292" t="s">
        <v>2125</v>
      </c>
      <c r="AI58" s="292" t="s">
        <v>2124</v>
      </c>
      <c r="AJ58" s="279"/>
      <c r="AK58" s="279"/>
    </row>
    <row r="59" spans="1:37" s="178" customFormat="1" ht="18.95" customHeight="1" outlineLevel="4">
      <c r="A59" s="178" t="s">
        <v>3500</v>
      </c>
      <c r="B59" s="165" t="str">
        <f t="shared" si="1"/>
        <v>ع</v>
      </c>
      <c r="C59" s="164" t="str">
        <f t="shared" si="1"/>
        <v>ع2</v>
      </c>
      <c r="D59" s="164" t="str">
        <f t="shared" si="1"/>
        <v>ع2-1</v>
      </c>
      <c r="E59" s="164" t="str">
        <f t="shared" si="1"/>
        <v>ع2-1-4</v>
      </c>
      <c r="F59" s="171" t="s">
        <v>2858</v>
      </c>
      <c r="G59" s="381" t="s">
        <v>2857</v>
      </c>
      <c r="H59" s="381"/>
      <c r="I59" s="381"/>
      <c r="J59" s="381"/>
      <c r="K59" s="381"/>
      <c r="L59" s="381"/>
      <c r="M59" s="381"/>
      <c r="N59" s="381"/>
      <c r="O59" s="381"/>
      <c r="P59" s="381"/>
      <c r="Q59" s="381"/>
      <c r="R59" s="381"/>
      <c r="S59" s="381"/>
      <c r="T59" s="381"/>
      <c r="U59" s="381"/>
      <c r="V59" s="381"/>
      <c r="W59" s="381"/>
      <c r="X59" s="381"/>
      <c r="Y59" s="381"/>
      <c r="Z59" s="381"/>
      <c r="AA59" s="381"/>
      <c r="AB59" s="250">
        <v>3</v>
      </c>
      <c r="AC59" s="250"/>
      <c r="AD59" s="250"/>
      <c r="AE59" s="250"/>
      <c r="AF59" s="294" t="s">
        <v>2535</v>
      </c>
      <c r="AG59" s="279"/>
      <c r="AH59" s="292" t="s">
        <v>2125</v>
      </c>
      <c r="AI59" s="292" t="s">
        <v>2124</v>
      </c>
      <c r="AJ59" s="279"/>
      <c r="AK59" s="279"/>
    </row>
    <row r="60" spans="1:37" s="178" customFormat="1" ht="18.95" customHeight="1" outlineLevel="4">
      <c r="A60" s="178" t="s">
        <v>3500</v>
      </c>
      <c r="B60" s="165" t="str">
        <f t="shared" si="1"/>
        <v>ع</v>
      </c>
      <c r="C60" s="164" t="str">
        <f t="shared" si="1"/>
        <v>ع2</v>
      </c>
      <c r="D60" s="164" t="str">
        <f t="shared" si="1"/>
        <v>ع2-1</v>
      </c>
      <c r="E60" s="164" t="str">
        <f t="shared" si="1"/>
        <v>ع2-1-4</v>
      </c>
      <c r="F60" s="171" t="s">
        <v>2856</v>
      </c>
      <c r="G60" s="381" t="s">
        <v>2855</v>
      </c>
      <c r="H60" s="381"/>
      <c r="I60" s="381"/>
      <c r="J60" s="381"/>
      <c r="K60" s="381"/>
      <c r="L60" s="381"/>
      <c r="M60" s="381"/>
      <c r="N60" s="381"/>
      <c r="O60" s="381"/>
      <c r="P60" s="381"/>
      <c r="Q60" s="381"/>
      <c r="R60" s="381"/>
      <c r="S60" s="381"/>
      <c r="T60" s="381"/>
      <c r="U60" s="381"/>
      <c r="V60" s="381"/>
      <c r="W60" s="381"/>
      <c r="X60" s="381"/>
      <c r="Y60" s="381"/>
      <c r="Z60" s="381"/>
      <c r="AA60" s="381"/>
      <c r="AB60" s="250">
        <v>3</v>
      </c>
      <c r="AC60" s="250"/>
      <c r="AD60" s="250"/>
      <c r="AE60" s="250"/>
      <c r="AF60" s="294" t="s">
        <v>2535</v>
      </c>
      <c r="AG60" s="279" t="s">
        <v>2152</v>
      </c>
      <c r="AH60" s="292" t="s">
        <v>2125</v>
      </c>
      <c r="AI60" s="292" t="s">
        <v>2124</v>
      </c>
      <c r="AJ60" s="279"/>
      <c r="AK60" s="279"/>
    </row>
    <row r="61" spans="1:37" s="178" customFormat="1" ht="18.95" customHeight="1" outlineLevel="4">
      <c r="A61" s="178" t="s">
        <v>3500</v>
      </c>
      <c r="B61" s="165" t="str">
        <f t="shared" si="1"/>
        <v>ع</v>
      </c>
      <c r="C61" s="164" t="str">
        <f t="shared" si="1"/>
        <v>ع2</v>
      </c>
      <c r="D61" s="164" t="str">
        <f t="shared" si="1"/>
        <v>ع2-1</v>
      </c>
      <c r="E61" s="164" t="str">
        <f t="shared" si="1"/>
        <v>ع2-1-4</v>
      </c>
      <c r="F61" s="171" t="s">
        <v>2854</v>
      </c>
      <c r="G61" s="381" t="s">
        <v>2853</v>
      </c>
      <c r="H61" s="381"/>
      <c r="I61" s="381"/>
      <c r="J61" s="381"/>
      <c r="K61" s="381"/>
      <c r="L61" s="381"/>
      <c r="M61" s="381"/>
      <c r="N61" s="381"/>
      <c r="O61" s="381"/>
      <c r="P61" s="381"/>
      <c r="Q61" s="381"/>
      <c r="R61" s="381"/>
      <c r="S61" s="381"/>
      <c r="T61" s="381"/>
      <c r="U61" s="381"/>
      <c r="V61" s="381"/>
      <c r="W61" s="381"/>
      <c r="X61" s="381"/>
      <c r="Y61" s="381"/>
      <c r="Z61" s="381"/>
      <c r="AA61" s="381"/>
      <c r="AB61" s="250">
        <v>3</v>
      </c>
      <c r="AC61" s="250"/>
      <c r="AD61" s="250"/>
      <c r="AE61" s="250"/>
      <c r="AF61" s="294" t="s">
        <v>2535</v>
      </c>
      <c r="AG61" s="279" t="s">
        <v>2152</v>
      </c>
      <c r="AH61" s="292" t="s">
        <v>2125</v>
      </c>
      <c r="AI61" s="292" t="s">
        <v>2124</v>
      </c>
      <c r="AJ61" s="279"/>
      <c r="AK61" s="279"/>
    </row>
    <row r="62" spans="1:37" s="178" customFormat="1" ht="9" hidden="1" customHeight="1" outlineLevel="3" thickBot="1">
      <c r="B62" s="165" t="str">
        <f t="shared" si="1"/>
        <v>ع</v>
      </c>
      <c r="C62" s="164" t="str">
        <f t="shared" si="1"/>
        <v>ع2</v>
      </c>
      <c r="D62" s="164" t="str">
        <f t="shared" si="1"/>
        <v>ع2-1</v>
      </c>
      <c r="E62" s="164" t="str">
        <f t="shared" si="1"/>
        <v>ع2-1-4</v>
      </c>
      <c r="F62" s="171"/>
      <c r="G62" s="293"/>
      <c r="H62" s="293"/>
      <c r="I62" s="293"/>
      <c r="J62" s="293"/>
      <c r="K62" s="293"/>
      <c r="L62" s="293"/>
      <c r="M62" s="293"/>
      <c r="N62" s="293"/>
      <c r="O62" s="293"/>
      <c r="P62" s="293"/>
      <c r="Q62" s="293"/>
      <c r="R62" s="293"/>
      <c r="S62" s="293"/>
      <c r="T62" s="293"/>
      <c r="U62" s="293"/>
      <c r="V62" s="293"/>
      <c r="W62" s="293"/>
      <c r="X62" s="293"/>
      <c r="Y62" s="293"/>
      <c r="Z62" s="293"/>
      <c r="AA62" s="293"/>
      <c r="AB62" s="250"/>
      <c r="AC62" s="250"/>
      <c r="AD62" s="250"/>
      <c r="AE62" s="250"/>
      <c r="AF62" s="294" t="s">
        <v>2535</v>
      </c>
      <c r="AG62" s="279"/>
      <c r="AH62" s="292" t="s">
        <v>2125</v>
      </c>
      <c r="AI62" s="292" t="s">
        <v>2124</v>
      </c>
      <c r="AJ62" s="279"/>
      <c r="AK62" s="279"/>
    </row>
    <row r="63" spans="1:37" s="178" customFormat="1" ht="18.95" hidden="1" customHeight="1" outlineLevel="3" thickTop="1" thickBot="1">
      <c r="A63" s="178" t="s">
        <v>189</v>
      </c>
      <c r="B63" s="165" t="str">
        <f t="shared" si="1"/>
        <v>ع</v>
      </c>
      <c r="C63" s="164" t="str">
        <f t="shared" si="1"/>
        <v>ع2</v>
      </c>
      <c r="D63" s="184" t="str">
        <f t="shared" si="1"/>
        <v>ع2-1</v>
      </c>
      <c r="E63" s="183" t="s">
        <v>2852</v>
      </c>
      <c r="F63" s="183" t="s">
        <v>2852</v>
      </c>
      <c r="G63" s="384" t="s">
        <v>2851</v>
      </c>
      <c r="H63" s="384"/>
      <c r="I63" s="384"/>
      <c r="J63" s="384"/>
      <c r="K63" s="384"/>
      <c r="L63" s="384"/>
      <c r="M63" s="384"/>
      <c r="N63" s="384"/>
      <c r="O63" s="384"/>
      <c r="P63" s="384"/>
      <c r="Q63" s="384"/>
      <c r="R63" s="384"/>
      <c r="S63" s="384"/>
      <c r="T63" s="384"/>
      <c r="U63" s="384"/>
      <c r="V63" s="384"/>
      <c r="W63" s="384"/>
      <c r="X63" s="384"/>
      <c r="Y63" s="384"/>
      <c r="Z63" s="384"/>
      <c r="AA63" s="384"/>
      <c r="AB63" s="182" t="s">
        <v>2110</v>
      </c>
      <c r="AC63" s="181"/>
      <c r="AD63" s="181"/>
      <c r="AE63" s="181"/>
      <c r="AF63" s="294" t="s">
        <v>2850</v>
      </c>
      <c r="AG63" s="279" t="s">
        <v>2121</v>
      </c>
      <c r="AH63" s="292" t="s">
        <v>2125</v>
      </c>
      <c r="AI63" s="292" t="s">
        <v>2124</v>
      </c>
      <c r="AJ63" s="279"/>
      <c r="AK63" s="279"/>
    </row>
    <row r="64" spans="1:37" s="178" customFormat="1" ht="18.95" customHeight="1" outlineLevel="4">
      <c r="A64" s="178" t="s">
        <v>3500</v>
      </c>
      <c r="B64" s="165" t="str">
        <f t="shared" si="1"/>
        <v>ع</v>
      </c>
      <c r="C64" s="164" t="str">
        <f t="shared" si="1"/>
        <v>ع2</v>
      </c>
      <c r="D64" s="164" t="str">
        <f t="shared" si="1"/>
        <v>ع2-1</v>
      </c>
      <c r="E64" s="164" t="str">
        <f t="shared" si="1"/>
        <v>ع2-1-5</v>
      </c>
      <c r="F64" s="171" t="s">
        <v>2849</v>
      </c>
      <c r="G64" s="381" t="s">
        <v>2848</v>
      </c>
      <c r="H64" s="381"/>
      <c r="I64" s="381"/>
      <c r="J64" s="381"/>
      <c r="K64" s="381"/>
      <c r="L64" s="381"/>
      <c r="M64" s="381"/>
      <c r="N64" s="381"/>
      <c r="O64" s="381"/>
      <c r="P64" s="381"/>
      <c r="Q64" s="381"/>
      <c r="R64" s="381"/>
      <c r="S64" s="381"/>
      <c r="T64" s="381"/>
      <c r="U64" s="381"/>
      <c r="V64" s="381"/>
      <c r="W64" s="381"/>
      <c r="X64" s="381"/>
      <c r="Y64" s="381"/>
      <c r="Z64" s="381"/>
      <c r="AA64" s="381"/>
      <c r="AB64" s="250">
        <v>3</v>
      </c>
      <c r="AC64" s="250"/>
      <c r="AD64" s="250"/>
      <c r="AE64" s="250"/>
      <c r="AF64" s="294" t="s">
        <v>2535</v>
      </c>
      <c r="AG64" s="279" t="s">
        <v>2152</v>
      </c>
      <c r="AH64" s="292" t="s">
        <v>2125</v>
      </c>
      <c r="AI64" s="292" t="s">
        <v>2124</v>
      </c>
      <c r="AJ64" s="279"/>
      <c r="AK64" s="279"/>
    </row>
    <row r="65" spans="1:37" s="178" customFormat="1" ht="18.95" customHeight="1" outlineLevel="4">
      <c r="A65" s="178" t="s">
        <v>3500</v>
      </c>
      <c r="B65" s="165" t="str">
        <f t="shared" si="1"/>
        <v>ع</v>
      </c>
      <c r="C65" s="164" t="str">
        <f t="shared" si="1"/>
        <v>ع2</v>
      </c>
      <c r="D65" s="164" t="str">
        <f t="shared" si="1"/>
        <v>ع2-1</v>
      </c>
      <c r="E65" s="164" t="str">
        <f t="shared" si="1"/>
        <v>ع2-1-5</v>
      </c>
      <c r="F65" s="171" t="s">
        <v>2847</v>
      </c>
      <c r="G65" s="381" t="s">
        <v>2846</v>
      </c>
      <c r="H65" s="381"/>
      <c r="I65" s="381"/>
      <c r="J65" s="381"/>
      <c r="K65" s="381"/>
      <c r="L65" s="381"/>
      <c r="M65" s="381"/>
      <c r="N65" s="381"/>
      <c r="O65" s="381"/>
      <c r="P65" s="381"/>
      <c r="Q65" s="381"/>
      <c r="R65" s="381"/>
      <c r="S65" s="381"/>
      <c r="T65" s="381"/>
      <c r="U65" s="381"/>
      <c r="V65" s="381"/>
      <c r="W65" s="381"/>
      <c r="X65" s="381"/>
      <c r="Y65" s="381"/>
      <c r="Z65" s="381"/>
      <c r="AA65" s="381"/>
      <c r="AB65" s="250">
        <v>3</v>
      </c>
      <c r="AC65" s="250"/>
      <c r="AD65" s="250"/>
      <c r="AE65" s="250"/>
      <c r="AF65" s="294" t="s">
        <v>2535</v>
      </c>
      <c r="AG65" s="279"/>
      <c r="AH65" s="292" t="s">
        <v>2125</v>
      </c>
      <c r="AI65" s="292" t="s">
        <v>2124</v>
      </c>
      <c r="AJ65" s="279"/>
      <c r="AK65" s="279"/>
    </row>
    <row r="66" spans="1:37" s="178" customFormat="1" ht="18.95" customHeight="1" outlineLevel="4">
      <c r="A66" s="178" t="s">
        <v>3500</v>
      </c>
      <c r="B66" s="165" t="str">
        <f t="shared" si="1"/>
        <v>ع</v>
      </c>
      <c r="C66" s="164" t="str">
        <f t="shared" si="1"/>
        <v>ع2</v>
      </c>
      <c r="D66" s="164" t="str">
        <f t="shared" si="1"/>
        <v>ع2-1</v>
      </c>
      <c r="E66" s="164" t="str">
        <f t="shared" si="1"/>
        <v>ع2-1-5</v>
      </c>
      <c r="F66" s="171" t="s">
        <v>2845</v>
      </c>
      <c r="G66" s="381" t="s">
        <v>2844</v>
      </c>
      <c r="H66" s="381"/>
      <c r="I66" s="381"/>
      <c r="J66" s="381"/>
      <c r="K66" s="381"/>
      <c r="L66" s="381"/>
      <c r="M66" s="381"/>
      <c r="N66" s="381"/>
      <c r="O66" s="381"/>
      <c r="P66" s="381"/>
      <c r="Q66" s="381"/>
      <c r="R66" s="381"/>
      <c r="S66" s="381"/>
      <c r="T66" s="381"/>
      <c r="U66" s="381"/>
      <c r="V66" s="381"/>
      <c r="W66" s="381"/>
      <c r="X66" s="381"/>
      <c r="Y66" s="381"/>
      <c r="Z66" s="381"/>
      <c r="AA66" s="381"/>
      <c r="AB66" s="250">
        <v>3</v>
      </c>
      <c r="AC66" s="250"/>
      <c r="AD66" s="250"/>
      <c r="AE66" s="250"/>
      <c r="AF66" s="294" t="s">
        <v>2535</v>
      </c>
      <c r="AG66" s="279"/>
      <c r="AH66" s="292" t="s">
        <v>2125</v>
      </c>
      <c r="AI66" s="292" t="s">
        <v>2124</v>
      </c>
      <c r="AJ66" s="279"/>
      <c r="AK66" s="279"/>
    </row>
    <row r="67" spans="1:37" s="178" customFormat="1" ht="18.95" customHeight="1" outlineLevel="4">
      <c r="A67" s="178" t="s">
        <v>3500</v>
      </c>
      <c r="B67" s="165" t="str">
        <f t="shared" si="1"/>
        <v>ع</v>
      </c>
      <c r="C67" s="164" t="str">
        <f t="shared" si="1"/>
        <v>ع2</v>
      </c>
      <c r="D67" s="164" t="str">
        <f t="shared" si="1"/>
        <v>ع2-1</v>
      </c>
      <c r="E67" s="164" t="str">
        <f t="shared" si="1"/>
        <v>ع2-1-5</v>
      </c>
      <c r="F67" s="171" t="s">
        <v>2843</v>
      </c>
      <c r="G67" s="381" t="s">
        <v>2842</v>
      </c>
      <c r="H67" s="381"/>
      <c r="I67" s="381"/>
      <c r="J67" s="381"/>
      <c r="K67" s="381"/>
      <c r="L67" s="381"/>
      <c r="M67" s="381"/>
      <c r="N67" s="381"/>
      <c r="O67" s="381"/>
      <c r="P67" s="381"/>
      <c r="Q67" s="381"/>
      <c r="R67" s="381"/>
      <c r="S67" s="381"/>
      <c r="T67" s="381"/>
      <c r="U67" s="381"/>
      <c r="V67" s="381"/>
      <c r="W67" s="381"/>
      <c r="X67" s="381"/>
      <c r="Y67" s="381"/>
      <c r="Z67" s="381"/>
      <c r="AA67" s="381"/>
      <c r="AB67" s="250">
        <v>3</v>
      </c>
      <c r="AC67" s="250"/>
      <c r="AD67" s="250"/>
      <c r="AE67" s="250"/>
      <c r="AF67" s="294" t="s">
        <v>2535</v>
      </c>
      <c r="AG67" s="279"/>
      <c r="AH67" s="292" t="s">
        <v>2125</v>
      </c>
      <c r="AI67" s="292" t="s">
        <v>2124</v>
      </c>
      <c r="AJ67" s="279"/>
      <c r="AK67" s="279"/>
    </row>
    <row r="68" spans="1:37" s="178" customFormat="1" ht="18.95" customHeight="1" outlineLevel="4">
      <c r="A68" s="178" t="s">
        <v>3500</v>
      </c>
      <c r="B68" s="165" t="str">
        <f t="shared" si="1"/>
        <v>ع</v>
      </c>
      <c r="C68" s="164" t="str">
        <f t="shared" si="1"/>
        <v>ع2</v>
      </c>
      <c r="D68" s="164" t="str">
        <f t="shared" si="1"/>
        <v>ع2-1</v>
      </c>
      <c r="E68" s="164" t="str">
        <f t="shared" si="1"/>
        <v>ع2-1-5</v>
      </c>
      <c r="F68" s="171" t="s">
        <v>2841</v>
      </c>
      <c r="G68" s="381" t="s">
        <v>2840</v>
      </c>
      <c r="H68" s="381"/>
      <c r="I68" s="381"/>
      <c r="J68" s="381"/>
      <c r="K68" s="381"/>
      <c r="L68" s="381"/>
      <c r="M68" s="381"/>
      <c r="N68" s="381"/>
      <c r="O68" s="381"/>
      <c r="P68" s="381"/>
      <c r="Q68" s="381"/>
      <c r="R68" s="381"/>
      <c r="S68" s="381"/>
      <c r="T68" s="381"/>
      <c r="U68" s="381"/>
      <c r="V68" s="381"/>
      <c r="W68" s="381"/>
      <c r="X68" s="381"/>
      <c r="Y68" s="381"/>
      <c r="Z68" s="381"/>
      <c r="AA68" s="381"/>
      <c r="AB68" s="250">
        <v>3</v>
      </c>
      <c r="AC68" s="250"/>
      <c r="AD68" s="250"/>
      <c r="AE68" s="250"/>
      <c r="AF68" s="294" t="s">
        <v>2535</v>
      </c>
      <c r="AG68" s="279"/>
      <c r="AH68" s="292" t="s">
        <v>2125</v>
      </c>
      <c r="AI68" s="292" t="s">
        <v>2124</v>
      </c>
      <c r="AJ68" s="279"/>
      <c r="AK68" s="279"/>
    </row>
    <row r="69" spans="1:37" s="178" customFormat="1" ht="18.95" customHeight="1" outlineLevel="4">
      <c r="A69" s="178" t="s">
        <v>3500</v>
      </c>
      <c r="B69" s="165" t="str">
        <f t="shared" si="1"/>
        <v>ع</v>
      </c>
      <c r="C69" s="164" t="str">
        <f t="shared" si="1"/>
        <v>ع2</v>
      </c>
      <c r="D69" s="164" t="str">
        <f t="shared" si="1"/>
        <v>ع2-1</v>
      </c>
      <c r="E69" s="164" t="str">
        <f t="shared" si="1"/>
        <v>ع2-1-5</v>
      </c>
      <c r="F69" s="171" t="s">
        <v>2839</v>
      </c>
      <c r="G69" s="381" t="s">
        <v>2838</v>
      </c>
      <c r="H69" s="381"/>
      <c r="I69" s="381"/>
      <c r="J69" s="381"/>
      <c r="K69" s="381"/>
      <c r="L69" s="381"/>
      <c r="M69" s="381"/>
      <c r="N69" s="381"/>
      <c r="O69" s="381"/>
      <c r="P69" s="381"/>
      <c r="Q69" s="381"/>
      <c r="R69" s="381"/>
      <c r="S69" s="381"/>
      <c r="T69" s="381"/>
      <c r="U69" s="381"/>
      <c r="V69" s="381"/>
      <c r="W69" s="381"/>
      <c r="X69" s="381"/>
      <c r="Y69" s="381"/>
      <c r="Z69" s="381"/>
      <c r="AA69" s="381"/>
      <c r="AB69" s="250">
        <v>3</v>
      </c>
      <c r="AC69" s="250"/>
      <c r="AD69" s="250"/>
      <c r="AE69" s="250"/>
      <c r="AF69" s="294" t="s">
        <v>2535</v>
      </c>
      <c r="AG69" s="279"/>
      <c r="AH69" s="292" t="s">
        <v>2125</v>
      </c>
      <c r="AI69" s="292" t="s">
        <v>2124</v>
      </c>
      <c r="AJ69" s="279"/>
      <c r="AK69" s="279"/>
    </row>
    <row r="70" spans="1:37" s="178" customFormat="1" ht="9" hidden="1" customHeight="1" outlineLevel="3" thickBot="1">
      <c r="B70" s="165" t="str">
        <f t="shared" si="1"/>
        <v>ع</v>
      </c>
      <c r="C70" s="164" t="str">
        <f t="shared" si="1"/>
        <v>ع2</v>
      </c>
      <c r="D70" s="164" t="str">
        <f t="shared" si="1"/>
        <v>ع2-1</v>
      </c>
      <c r="E70" s="164" t="str">
        <f t="shared" si="1"/>
        <v>ع2-1-5</v>
      </c>
      <c r="F70" s="171"/>
      <c r="G70" s="293"/>
      <c r="H70" s="293"/>
      <c r="I70" s="293"/>
      <c r="J70" s="293"/>
      <c r="K70" s="293"/>
      <c r="L70" s="293"/>
      <c r="M70" s="293"/>
      <c r="N70" s="293"/>
      <c r="O70" s="293"/>
      <c r="P70" s="293"/>
      <c r="Q70" s="293"/>
      <c r="R70" s="293"/>
      <c r="S70" s="293"/>
      <c r="T70" s="293"/>
      <c r="U70" s="293"/>
      <c r="V70" s="293"/>
      <c r="W70" s="293"/>
      <c r="X70" s="293"/>
      <c r="Y70" s="293"/>
      <c r="Z70" s="293"/>
      <c r="AA70" s="293"/>
      <c r="AB70" s="250"/>
      <c r="AC70" s="250"/>
      <c r="AD70" s="250"/>
      <c r="AE70" s="250"/>
      <c r="AF70" s="294" t="s">
        <v>2535</v>
      </c>
      <c r="AG70" s="279"/>
      <c r="AH70" s="292" t="s">
        <v>2125</v>
      </c>
      <c r="AI70" s="292" t="s">
        <v>2124</v>
      </c>
      <c r="AJ70" s="279"/>
      <c r="AK70" s="279"/>
    </row>
    <row r="71" spans="1:37" s="178" customFormat="1" ht="18.95" hidden="1" customHeight="1" outlineLevel="3" thickTop="1" thickBot="1">
      <c r="A71" s="178" t="s">
        <v>189</v>
      </c>
      <c r="B71" s="165" t="str">
        <f t="shared" si="1"/>
        <v>ع</v>
      </c>
      <c r="C71" s="164" t="str">
        <f t="shared" si="1"/>
        <v>ع2</v>
      </c>
      <c r="D71" s="184" t="str">
        <f t="shared" si="1"/>
        <v>ع2-1</v>
      </c>
      <c r="E71" s="183" t="s">
        <v>2837</v>
      </c>
      <c r="F71" s="183" t="s">
        <v>2837</v>
      </c>
      <c r="G71" s="384" t="s">
        <v>2836</v>
      </c>
      <c r="H71" s="384"/>
      <c r="I71" s="384"/>
      <c r="J71" s="384"/>
      <c r="K71" s="384"/>
      <c r="L71" s="384"/>
      <c r="M71" s="384"/>
      <c r="N71" s="384"/>
      <c r="O71" s="384"/>
      <c r="P71" s="384"/>
      <c r="Q71" s="384"/>
      <c r="R71" s="384"/>
      <c r="S71" s="384"/>
      <c r="T71" s="384"/>
      <c r="U71" s="384"/>
      <c r="V71" s="384"/>
      <c r="W71" s="384"/>
      <c r="X71" s="384"/>
      <c r="Y71" s="384"/>
      <c r="Z71" s="384"/>
      <c r="AA71" s="384"/>
      <c r="AB71" s="182" t="s">
        <v>2110</v>
      </c>
      <c r="AC71" s="181"/>
      <c r="AD71" s="181"/>
      <c r="AE71" s="181"/>
      <c r="AF71" s="294" t="s">
        <v>2835</v>
      </c>
      <c r="AG71" s="279" t="s">
        <v>2121</v>
      </c>
      <c r="AH71" s="292" t="s">
        <v>2125</v>
      </c>
      <c r="AI71" s="292" t="s">
        <v>2124</v>
      </c>
      <c r="AJ71" s="279"/>
      <c r="AK71" s="279"/>
    </row>
    <row r="72" spans="1:37" s="178" customFormat="1" ht="18.95" customHeight="1" outlineLevel="4">
      <c r="A72" s="178" t="s">
        <v>3500</v>
      </c>
      <c r="B72" s="165" t="str">
        <f t="shared" si="1"/>
        <v>ع</v>
      </c>
      <c r="C72" s="164" t="str">
        <f t="shared" si="1"/>
        <v>ع2</v>
      </c>
      <c r="D72" s="164" t="str">
        <f t="shared" si="1"/>
        <v>ع2-1</v>
      </c>
      <c r="E72" s="164" t="str">
        <f t="shared" si="1"/>
        <v>ع2-1-6</v>
      </c>
      <c r="F72" s="171" t="s">
        <v>2834</v>
      </c>
      <c r="G72" s="381" t="s">
        <v>2833</v>
      </c>
      <c r="H72" s="381"/>
      <c r="I72" s="381"/>
      <c r="J72" s="381"/>
      <c r="K72" s="381"/>
      <c r="L72" s="381"/>
      <c r="M72" s="381"/>
      <c r="N72" s="381"/>
      <c r="O72" s="381"/>
      <c r="P72" s="381"/>
      <c r="Q72" s="381"/>
      <c r="R72" s="381"/>
      <c r="S72" s="381"/>
      <c r="T72" s="381"/>
      <c r="U72" s="381"/>
      <c r="V72" s="381"/>
      <c r="W72" s="381"/>
      <c r="X72" s="381"/>
      <c r="Y72" s="381"/>
      <c r="Z72" s="381"/>
      <c r="AA72" s="381"/>
      <c r="AB72" s="250">
        <v>3</v>
      </c>
      <c r="AC72" s="250"/>
      <c r="AD72" s="250"/>
      <c r="AE72" s="250"/>
      <c r="AF72" s="294" t="s">
        <v>2535</v>
      </c>
      <c r="AG72" s="279"/>
      <c r="AH72" s="292" t="s">
        <v>2125</v>
      </c>
      <c r="AI72" s="292" t="s">
        <v>2124</v>
      </c>
      <c r="AJ72" s="279"/>
      <c r="AK72" s="279"/>
    </row>
    <row r="73" spans="1:37" s="178" customFormat="1" ht="18.95" customHeight="1" outlineLevel="4">
      <c r="A73" s="178" t="s">
        <v>3500</v>
      </c>
      <c r="B73" s="165" t="str">
        <f t="shared" ref="B73:E104" si="2">B72</f>
        <v>ع</v>
      </c>
      <c r="C73" s="164" t="str">
        <f t="shared" si="2"/>
        <v>ع2</v>
      </c>
      <c r="D73" s="164" t="str">
        <f t="shared" si="2"/>
        <v>ع2-1</v>
      </c>
      <c r="E73" s="164" t="str">
        <f t="shared" si="2"/>
        <v>ع2-1-6</v>
      </c>
      <c r="F73" s="171" t="s">
        <v>2832</v>
      </c>
      <c r="G73" s="381" t="s">
        <v>2831</v>
      </c>
      <c r="H73" s="381"/>
      <c r="I73" s="381"/>
      <c r="J73" s="381"/>
      <c r="K73" s="381"/>
      <c r="L73" s="381"/>
      <c r="M73" s="381"/>
      <c r="N73" s="381"/>
      <c r="O73" s="381"/>
      <c r="P73" s="381"/>
      <c r="Q73" s="381"/>
      <c r="R73" s="381"/>
      <c r="S73" s="381"/>
      <c r="T73" s="381"/>
      <c r="U73" s="381"/>
      <c r="V73" s="381"/>
      <c r="W73" s="381"/>
      <c r="X73" s="381"/>
      <c r="Y73" s="381"/>
      <c r="Z73" s="381"/>
      <c r="AA73" s="381"/>
      <c r="AB73" s="250">
        <v>3</v>
      </c>
      <c r="AC73" s="250"/>
      <c r="AD73" s="250"/>
      <c r="AE73" s="250"/>
      <c r="AF73" s="294" t="s">
        <v>2535</v>
      </c>
      <c r="AG73" s="279"/>
      <c r="AH73" s="292" t="s">
        <v>2125</v>
      </c>
      <c r="AI73" s="292" t="s">
        <v>2124</v>
      </c>
      <c r="AJ73" s="279"/>
      <c r="AK73" s="279"/>
    </row>
    <row r="74" spans="1:37" s="178" customFormat="1" ht="18.95" customHeight="1" outlineLevel="4">
      <c r="A74" s="178" t="s">
        <v>3500</v>
      </c>
      <c r="B74" s="165" t="str">
        <f t="shared" si="2"/>
        <v>ع</v>
      </c>
      <c r="C74" s="164" t="str">
        <f t="shared" si="2"/>
        <v>ع2</v>
      </c>
      <c r="D74" s="164" t="str">
        <f t="shared" si="2"/>
        <v>ع2-1</v>
      </c>
      <c r="E74" s="164" t="str">
        <f t="shared" si="2"/>
        <v>ع2-1-6</v>
      </c>
      <c r="F74" s="171" t="s">
        <v>2830</v>
      </c>
      <c r="G74" s="381" t="s">
        <v>2829</v>
      </c>
      <c r="H74" s="381"/>
      <c r="I74" s="381"/>
      <c r="J74" s="381"/>
      <c r="K74" s="381"/>
      <c r="L74" s="381"/>
      <c r="M74" s="381"/>
      <c r="N74" s="381"/>
      <c r="O74" s="381"/>
      <c r="P74" s="381"/>
      <c r="Q74" s="381"/>
      <c r="R74" s="381"/>
      <c r="S74" s="381"/>
      <c r="T74" s="381"/>
      <c r="U74" s="381"/>
      <c r="V74" s="381"/>
      <c r="W74" s="381"/>
      <c r="X74" s="381"/>
      <c r="Y74" s="381"/>
      <c r="Z74" s="381"/>
      <c r="AA74" s="381"/>
      <c r="AB74" s="250">
        <v>3</v>
      </c>
      <c r="AC74" s="250"/>
      <c r="AD74" s="250"/>
      <c r="AE74" s="250"/>
      <c r="AF74" s="294" t="s">
        <v>2535</v>
      </c>
      <c r="AG74" s="279"/>
      <c r="AH74" s="292" t="s">
        <v>2125</v>
      </c>
      <c r="AI74" s="292" t="s">
        <v>2124</v>
      </c>
      <c r="AJ74" s="279"/>
      <c r="AK74" s="279"/>
    </row>
    <row r="75" spans="1:37" s="178" customFormat="1" ht="18.95" customHeight="1" outlineLevel="4">
      <c r="A75" s="178" t="s">
        <v>3500</v>
      </c>
      <c r="B75" s="165" t="str">
        <f t="shared" si="2"/>
        <v>ع</v>
      </c>
      <c r="C75" s="164" t="str">
        <f t="shared" si="2"/>
        <v>ع2</v>
      </c>
      <c r="D75" s="164" t="str">
        <f t="shared" si="2"/>
        <v>ع2-1</v>
      </c>
      <c r="E75" s="164" t="str">
        <f t="shared" si="2"/>
        <v>ع2-1-6</v>
      </c>
      <c r="F75" s="171" t="s">
        <v>2828</v>
      </c>
      <c r="G75" s="381" t="s">
        <v>2827</v>
      </c>
      <c r="H75" s="381"/>
      <c r="I75" s="381"/>
      <c r="J75" s="381"/>
      <c r="K75" s="381"/>
      <c r="L75" s="381"/>
      <c r="M75" s="381"/>
      <c r="N75" s="381"/>
      <c r="O75" s="381"/>
      <c r="P75" s="381"/>
      <c r="Q75" s="381"/>
      <c r="R75" s="381"/>
      <c r="S75" s="381"/>
      <c r="T75" s="381"/>
      <c r="U75" s="381"/>
      <c r="V75" s="381"/>
      <c r="W75" s="381"/>
      <c r="X75" s="381"/>
      <c r="Y75" s="381"/>
      <c r="Z75" s="381"/>
      <c r="AA75" s="381"/>
      <c r="AB75" s="250">
        <v>3</v>
      </c>
      <c r="AC75" s="250"/>
      <c r="AD75" s="250"/>
      <c r="AE75" s="250"/>
      <c r="AF75" s="294" t="s">
        <v>2535</v>
      </c>
      <c r="AG75" s="279"/>
      <c r="AH75" s="292" t="s">
        <v>2125</v>
      </c>
      <c r="AI75" s="292" t="s">
        <v>2124</v>
      </c>
      <c r="AJ75" s="279"/>
      <c r="AK75" s="279"/>
    </row>
    <row r="76" spans="1:37" s="178" customFormat="1" ht="9" hidden="1" customHeight="1" outlineLevel="3">
      <c r="B76" s="165" t="str">
        <f t="shared" si="2"/>
        <v>ع</v>
      </c>
      <c r="C76" s="164" t="str">
        <f t="shared" si="2"/>
        <v>ع2</v>
      </c>
      <c r="D76" s="164" t="str">
        <f t="shared" si="2"/>
        <v>ع2-1</v>
      </c>
      <c r="E76" s="164" t="str">
        <f t="shared" si="2"/>
        <v>ع2-1-6</v>
      </c>
      <c r="F76" s="171"/>
      <c r="G76" s="293"/>
      <c r="H76" s="293"/>
      <c r="I76" s="293"/>
      <c r="J76" s="293"/>
      <c r="K76" s="293"/>
      <c r="L76" s="293"/>
      <c r="M76" s="293"/>
      <c r="N76" s="293"/>
      <c r="O76" s="293"/>
      <c r="P76" s="293"/>
      <c r="Q76" s="293"/>
      <c r="R76" s="293"/>
      <c r="S76" s="293"/>
      <c r="T76" s="293"/>
      <c r="U76" s="293"/>
      <c r="V76" s="293"/>
      <c r="W76" s="293"/>
      <c r="X76" s="293"/>
      <c r="Y76" s="293"/>
      <c r="Z76" s="293"/>
      <c r="AA76" s="293"/>
      <c r="AB76" s="250"/>
      <c r="AC76" s="250"/>
      <c r="AD76" s="250"/>
      <c r="AE76" s="250"/>
      <c r="AF76" s="294" t="s">
        <v>2535</v>
      </c>
      <c r="AG76" s="279"/>
      <c r="AH76" s="292" t="s">
        <v>2125</v>
      </c>
      <c r="AI76" s="292" t="s">
        <v>2124</v>
      </c>
      <c r="AJ76" s="279"/>
      <c r="AK76" s="279"/>
    </row>
    <row r="77" spans="1:37" s="178" customFormat="1" ht="9" hidden="1" customHeight="1" outlineLevel="2">
      <c r="B77" s="165" t="str">
        <f t="shared" si="2"/>
        <v>ع</v>
      </c>
      <c r="C77" s="164" t="str">
        <f t="shared" si="2"/>
        <v>ع2</v>
      </c>
      <c r="D77" s="164" t="str">
        <f t="shared" si="2"/>
        <v>ع2-1</v>
      </c>
      <c r="E77" s="164" t="str">
        <f t="shared" si="2"/>
        <v>ع2-1-6</v>
      </c>
      <c r="F77" s="171"/>
      <c r="G77" s="293"/>
      <c r="H77" s="293"/>
      <c r="I77" s="293"/>
      <c r="J77" s="293"/>
      <c r="K77" s="293"/>
      <c r="L77" s="293"/>
      <c r="M77" s="293"/>
      <c r="N77" s="293"/>
      <c r="O77" s="293"/>
      <c r="P77" s="293"/>
      <c r="Q77" s="293"/>
      <c r="R77" s="293"/>
      <c r="S77" s="293"/>
      <c r="T77" s="293"/>
      <c r="U77" s="293"/>
      <c r="V77" s="293"/>
      <c r="W77" s="293"/>
      <c r="X77" s="293"/>
      <c r="Y77" s="293"/>
      <c r="Z77" s="293"/>
      <c r="AA77" s="293"/>
      <c r="AB77" s="250"/>
      <c r="AC77" s="250"/>
      <c r="AD77" s="250"/>
      <c r="AE77" s="250"/>
      <c r="AF77" s="294" t="s">
        <v>2535</v>
      </c>
      <c r="AG77" s="279"/>
      <c r="AH77" s="292" t="s">
        <v>2125</v>
      </c>
      <c r="AI77" s="292" t="s">
        <v>2124</v>
      </c>
      <c r="AJ77" s="279"/>
      <c r="AK77" s="279"/>
    </row>
    <row r="78" spans="1:37" s="178" customFormat="1" ht="24.95" hidden="1" customHeight="1" outlineLevel="2" thickBot="1">
      <c r="A78" s="264" t="s">
        <v>188</v>
      </c>
      <c r="B78" s="165" t="str">
        <f t="shared" si="2"/>
        <v>ع</v>
      </c>
      <c r="C78" s="164" t="str">
        <f t="shared" si="2"/>
        <v>ع2</v>
      </c>
      <c r="D78" s="189" t="s">
        <v>2826</v>
      </c>
      <c r="E78" s="189" t="s">
        <v>2826</v>
      </c>
      <c r="F78" s="189" t="s">
        <v>2826</v>
      </c>
      <c r="G78" s="383" t="s">
        <v>2825</v>
      </c>
      <c r="H78" s="383"/>
      <c r="I78" s="383"/>
      <c r="J78" s="383"/>
      <c r="K78" s="383"/>
      <c r="L78" s="383"/>
      <c r="M78" s="383"/>
      <c r="N78" s="383"/>
      <c r="O78" s="383"/>
      <c r="P78" s="383"/>
      <c r="Q78" s="383"/>
      <c r="R78" s="383"/>
      <c r="S78" s="383"/>
      <c r="T78" s="383"/>
      <c r="U78" s="383"/>
      <c r="V78" s="383"/>
      <c r="W78" s="383"/>
      <c r="X78" s="383"/>
      <c r="Y78" s="383"/>
      <c r="Z78" s="383"/>
      <c r="AA78" s="383"/>
      <c r="AB78" s="188"/>
      <c r="AC78" s="188"/>
      <c r="AD78" s="188"/>
      <c r="AE78" s="188"/>
      <c r="AF78" s="288" t="s">
        <v>582</v>
      </c>
      <c r="AG78" s="289"/>
      <c r="AH78" s="290" t="s">
        <v>2125</v>
      </c>
      <c r="AI78" s="290" t="s">
        <v>2124</v>
      </c>
      <c r="AJ78" s="291">
        <v>1</v>
      </c>
      <c r="AK78" s="289"/>
    </row>
    <row r="79" spans="1:37" s="178" customFormat="1" ht="24.95" hidden="1" customHeight="1" outlineLevel="3" thickTop="1" thickBot="1">
      <c r="A79" s="178" t="s">
        <v>189</v>
      </c>
      <c r="B79" s="165" t="str">
        <f t="shared" si="2"/>
        <v>ع</v>
      </c>
      <c r="C79" s="164" t="str">
        <f t="shared" si="2"/>
        <v>ع2</v>
      </c>
      <c r="D79" s="184" t="str">
        <f t="shared" si="2"/>
        <v>ع2-2</v>
      </c>
      <c r="E79" s="183" t="s">
        <v>2824</v>
      </c>
      <c r="F79" s="183" t="s">
        <v>2824</v>
      </c>
      <c r="G79" s="384" t="s">
        <v>2823</v>
      </c>
      <c r="H79" s="384"/>
      <c r="I79" s="384"/>
      <c r="J79" s="384"/>
      <c r="K79" s="384"/>
      <c r="L79" s="384"/>
      <c r="M79" s="384"/>
      <c r="N79" s="384"/>
      <c r="O79" s="384"/>
      <c r="P79" s="384"/>
      <c r="Q79" s="384"/>
      <c r="R79" s="384"/>
      <c r="S79" s="384"/>
      <c r="T79" s="384"/>
      <c r="U79" s="384"/>
      <c r="V79" s="384"/>
      <c r="W79" s="384"/>
      <c r="X79" s="384"/>
      <c r="Y79" s="384"/>
      <c r="Z79" s="384"/>
      <c r="AA79" s="384"/>
      <c r="AB79" s="182" t="s">
        <v>2110</v>
      </c>
      <c r="AC79" s="181"/>
      <c r="AD79" s="181"/>
      <c r="AE79" s="181"/>
      <c r="AF79" s="294" t="s">
        <v>2822</v>
      </c>
      <c r="AG79" s="279" t="s">
        <v>2152</v>
      </c>
      <c r="AH79" s="292" t="s">
        <v>2125</v>
      </c>
      <c r="AI79" s="292" t="s">
        <v>2124</v>
      </c>
      <c r="AJ79" s="279"/>
      <c r="AK79" s="279"/>
    </row>
    <row r="80" spans="1:37" s="178" customFormat="1" ht="24.95" customHeight="1" outlineLevel="4">
      <c r="A80" s="178" t="s">
        <v>3500</v>
      </c>
      <c r="B80" s="165" t="str">
        <f t="shared" si="2"/>
        <v>ع</v>
      </c>
      <c r="C80" s="164" t="str">
        <f t="shared" si="2"/>
        <v>ع2</v>
      </c>
      <c r="D80" s="164" t="str">
        <f t="shared" si="2"/>
        <v>ع2-2</v>
      </c>
      <c r="E80" s="164" t="str">
        <f t="shared" si="2"/>
        <v>ع2-2-1</v>
      </c>
      <c r="F80" s="171" t="s">
        <v>2821</v>
      </c>
      <c r="G80" s="381" t="s">
        <v>2820</v>
      </c>
      <c r="H80" s="381"/>
      <c r="I80" s="381"/>
      <c r="J80" s="381"/>
      <c r="K80" s="381"/>
      <c r="L80" s="381"/>
      <c r="M80" s="381"/>
      <c r="N80" s="381"/>
      <c r="O80" s="381"/>
      <c r="P80" s="381"/>
      <c r="Q80" s="381"/>
      <c r="R80" s="381"/>
      <c r="S80" s="381"/>
      <c r="T80" s="381"/>
      <c r="U80" s="381"/>
      <c r="V80" s="381"/>
      <c r="W80" s="381"/>
      <c r="X80" s="381"/>
      <c r="Y80" s="381"/>
      <c r="Z80" s="381"/>
      <c r="AA80" s="381"/>
      <c r="AB80" s="250">
        <v>1</v>
      </c>
      <c r="AC80" s="250"/>
      <c r="AD80" s="250"/>
      <c r="AE80" s="250"/>
      <c r="AF80" s="294" t="s">
        <v>2789</v>
      </c>
      <c r="AG80" s="279"/>
      <c r="AH80" s="292" t="s">
        <v>2125</v>
      </c>
      <c r="AI80" s="292" t="s">
        <v>2124</v>
      </c>
      <c r="AJ80" s="279"/>
      <c r="AK80" s="279"/>
    </row>
    <row r="81" spans="1:37" s="178" customFormat="1" ht="24.95" customHeight="1" outlineLevel="4">
      <c r="A81" s="178" t="s">
        <v>3500</v>
      </c>
      <c r="B81" s="165" t="str">
        <f t="shared" si="2"/>
        <v>ع</v>
      </c>
      <c r="C81" s="164" t="str">
        <f t="shared" si="2"/>
        <v>ع2</v>
      </c>
      <c r="D81" s="164" t="str">
        <f t="shared" si="2"/>
        <v>ع2-2</v>
      </c>
      <c r="E81" s="164" t="str">
        <f t="shared" si="2"/>
        <v>ع2-2-1</v>
      </c>
      <c r="F81" s="171" t="s">
        <v>2819</v>
      </c>
      <c r="G81" s="381" t="s">
        <v>2818</v>
      </c>
      <c r="H81" s="381"/>
      <c r="I81" s="381"/>
      <c r="J81" s="381"/>
      <c r="K81" s="381"/>
      <c r="L81" s="381"/>
      <c r="M81" s="381"/>
      <c r="N81" s="381"/>
      <c r="O81" s="381"/>
      <c r="P81" s="381"/>
      <c r="Q81" s="381"/>
      <c r="R81" s="381"/>
      <c r="S81" s="381"/>
      <c r="T81" s="381"/>
      <c r="U81" s="381"/>
      <c r="V81" s="381"/>
      <c r="W81" s="381"/>
      <c r="X81" s="381"/>
      <c r="Y81" s="381"/>
      <c r="Z81" s="381"/>
      <c r="AA81" s="381"/>
      <c r="AB81" s="250">
        <v>2</v>
      </c>
      <c r="AC81" s="250"/>
      <c r="AD81" s="250"/>
      <c r="AE81" s="250"/>
      <c r="AF81" s="294" t="s">
        <v>2789</v>
      </c>
      <c r="AG81" s="279"/>
      <c r="AH81" s="292" t="s">
        <v>2125</v>
      </c>
      <c r="AI81" s="292" t="s">
        <v>2124</v>
      </c>
      <c r="AJ81" s="279"/>
      <c r="AK81" s="279"/>
    </row>
    <row r="82" spans="1:37" s="178" customFormat="1" ht="24.95" customHeight="1" outlineLevel="4">
      <c r="A82" s="178" t="s">
        <v>3500</v>
      </c>
      <c r="B82" s="165" t="str">
        <f t="shared" si="2"/>
        <v>ع</v>
      </c>
      <c r="C82" s="164" t="str">
        <f t="shared" si="2"/>
        <v>ع2</v>
      </c>
      <c r="D82" s="164" t="str">
        <f t="shared" si="2"/>
        <v>ع2-2</v>
      </c>
      <c r="E82" s="164" t="str">
        <f t="shared" si="2"/>
        <v>ع2-2-1</v>
      </c>
      <c r="F82" s="171" t="s">
        <v>2817</v>
      </c>
      <c r="G82" s="381" t="s">
        <v>2816</v>
      </c>
      <c r="H82" s="381"/>
      <c r="I82" s="381"/>
      <c r="J82" s="381"/>
      <c r="K82" s="381"/>
      <c r="L82" s="381"/>
      <c r="M82" s="381"/>
      <c r="N82" s="381"/>
      <c r="O82" s="381"/>
      <c r="P82" s="381"/>
      <c r="Q82" s="381"/>
      <c r="R82" s="381"/>
      <c r="S82" s="381"/>
      <c r="T82" s="381"/>
      <c r="U82" s="381"/>
      <c r="V82" s="381"/>
      <c r="W82" s="381"/>
      <c r="X82" s="381"/>
      <c r="Y82" s="381"/>
      <c r="Z82" s="381"/>
      <c r="AA82" s="381"/>
      <c r="AB82" s="250">
        <v>1</v>
      </c>
      <c r="AC82" s="250"/>
      <c r="AD82" s="250"/>
      <c r="AE82" s="250"/>
      <c r="AF82" s="294" t="s">
        <v>2789</v>
      </c>
      <c r="AG82" s="279" t="s">
        <v>2152</v>
      </c>
      <c r="AH82" s="292" t="s">
        <v>2125</v>
      </c>
      <c r="AI82" s="292" t="s">
        <v>2124</v>
      </c>
      <c r="AJ82" s="279"/>
      <c r="AK82" s="279"/>
    </row>
    <row r="83" spans="1:37" s="178" customFormat="1" ht="24.95" customHeight="1" outlineLevel="4">
      <c r="A83" s="178" t="s">
        <v>3500</v>
      </c>
      <c r="B83" s="165" t="str">
        <f t="shared" si="2"/>
        <v>ع</v>
      </c>
      <c r="C83" s="164" t="str">
        <f t="shared" si="2"/>
        <v>ع2</v>
      </c>
      <c r="D83" s="164" t="str">
        <f t="shared" si="2"/>
        <v>ع2-2</v>
      </c>
      <c r="E83" s="164" t="str">
        <f t="shared" si="2"/>
        <v>ع2-2-1</v>
      </c>
      <c r="F83" s="171" t="s">
        <v>2815</v>
      </c>
      <c r="G83" s="381" t="s">
        <v>2814</v>
      </c>
      <c r="H83" s="381"/>
      <c r="I83" s="381"/>
      <c r="J83" s="381"/>
      <c r="K83" s="381"/>
      <c r="L83" s="381"/>
      <c r="M83" s="381"/>
      <c r="N83" s="381"/>
      <c r="O83" s="381"/>
      <c r="P83" s="381"/>
      <c r="Q83" s="381"/>
      <c r="R83" s="381"/>
      <c r="S83" s="381"/>
      <c r="T83" s="381"/>
      <c r="U83" s="381"/>
      <c r="V83" s="381"/>
      <c r="W83" s="381"/>
      <c r="X83" s="381"/>
      <c r="Y83" s="381"/>
      <c r="Z83" s="381"/>
      <c r="AA83" s="381"/>
      <c r="AB83" s="250">
        <v>2</v>
      </c>
      <c r="AC83" s="250"/>
      <c r="AD83" s="250"/>
      <c r="AE83" s="250"/>
      <c r="AF83" s="294" t="s">
        <v>2789</v>
      </c>
      <c r="AG83" s="279" t="s">
        <v>2152</v>
      </c>
      <c r="AH83" s="292" t="s">
        <v>2125</v>
      </c>
      <c r="AI83" s="292" t="s">
        <v>2124</v>
      </c>
      <c r="AJ83" s="279"/>
      <c r="AK83" s="279"/>
    </row>
    <row r="84" spans="1:37" s="178" customFormat="1" ht="24.95" customHeight="1" outlineLevel="4">
      <c r="A84" s="178" t="s">
        <v>3500</v>
      </c>
      <c r="B84" s="165" t="str">
        <f t="shared" si="2"/>
        <v>ع</v>
      </c>
      <c r="C84" s="164" t="str">
        <f t="shared" si="2"/>
        <v>ع2</v>
      </c>
      <c r="D84" s="164" t="str">
        <f t="shared" si="2"/>
        <v>ع2-2</v>
      </c>
      <c r="E84" s="164" t="str">
        <f t="shared" si="2"/>
        <v>ع2-2-1</v>
      </c>
      <c r="F84" s="171" t="s">
        <v>2813</v>
      </c>
      <c r="G84" s="381" t="s">
        <v>2812</v>
      </c>
      <c r="H84" s="381"/>
      <c r="I84" s="381"/>
      <c r="J84" s="381"/>
      <c r="K84" s="381"/>
      <c r="L84" s="381"/>
      <c r="M84" s="381"/>
      <c r="N84" s="381"/>
      <c r="O84" s="381"/>
      <c r="P84" s="381"/>
      <c r="Q84" s="381"/>
      <c r="R84" s="381"/>
      <c r="S84" s="381"/>
      <c r="T84" s="381"/>
      <c r="U84" s="381"/>
      <c r="V84" s="381"/>
      <c r="W84" s="381"/>
      <c r="X84" s="381"/>
      <c r="Y84" s="381"/>
      <c r="Z84" s="381"/>
      <c r="AA84" s="381"/>
      <c r="AB84" s="250">
        <v>3</v>
      </c>
      <c r="AC84" s="250"/>
      <c r="AD84" s="250"/>
      <c r="AE84" s="250"/>
      <c r="AF84" s="294" t="s">
        <v>2789</v>
      </c>
      <c r="AG84" s="279"/>
      <c r="AH84" s="292" t="s">
        <v>2125</v>
      </c>
      <c r="AI84" s="292" t="s">
        <v>2124</v>
      </c>
      <c r="AJ84" s="279"/>
      <c r="AK84" s="279"/>
    </row>
    <row r="85" spans="1:37" s="178" customFormat="1" ht="24.95" customHeight="1" outlineLevel="4">
      <c r="A85" s="178" t="s">
        <v>3500</v>
      </c>
      <c r="B85" s="165" t="str">
        <f t="shared" si="2"/>
        <v>ع</v>
      </c>
      <c r="C85" s="164" t="str">
        <f t="shared" si="2"/>
        <v>ع2</v>
      </c>
      <c r="D85" s="164" t="str">
        <f t="shared" si="2"/>
        <v>ع2-2</v>
      </c>
      <c r="E85" s="164" t="str">
        <f t="shared" si="2"/>
        <v>ع2-2-1</v>
      </c>
      <c r="F85" s="171" t="s">
        <v>2811</v>
      </c>
      <c r="G85" s="381" t="s">
        <v>2810</v>
      </c>
      <c r="H85" s="381"/>
      <c r="I85" s="381"/>
      <c r="J85" s="381"/>
      <c r="K85" s="381"/>
      <c r="L85" s="381"/>
      <c r="M85" s="381"/>
      <c r="N85" s="381"/>
      <c r="O85" s="381"/>
      <c r="P85" s="381"/>
      <c r="Q85" s="381"/>
      <c r="R85" s="381"/>
      <c r="S85" s="381"/>
      <c r="T85" s="381"/>
      <c r="U85" s="381"/>
      <c r="V85" s="381"/>
      <c r="W85" s="381"/>
      <c r="X85" s="381"/>
      <c r="Y85" s="381"/>
      <c r="Z85" s="381"/>
      <c r="AA85" s="381"/>
      <c r="AB85" s="250">
        <v>1</v>
      </c>
      <c r="AC85" s="250"/>
      <c r="AD85" s="250"/>
      <c r="AE85" s="250"/>
      <c r="AF85" s="294" t="s">
        <v>2789</v>
      </c>
      <c r="AG85" s="279"/>
      <c r="AH85" s="292" t="s">
        <v>2125</v>
      </c>
      <c r="AI85" s="292" t="s">
        <v>2124</v>
      </c>
      <c r="AJ85" s="279"/>
      <c r="AK85" s="279"/>
    </row>
    <row r="86" spans="1:37" s="178" customFormat="1" ht="24.95" customHeight="1" outlineLevel="4">
      <c r="A86" s="178" t="s">
        <v>3500</v>
      </c>
      <c r="B86" s="165" t="str">
        <f t="shared" si="2"/>
        <v>ع</v>
      </c>
      <c r="C86" s="164" t="str">
        <f t="shared" si="2"/>
        <v>ع2</v>
      </c>
      <c r="D86" s="164" t="str">
        <f t="shared" si="2"/>
        <v>ع2-2</v>
      </c>
      <c r="E86" s="164" t="str">
        <f t="shared" si="2"/>
        <v>ع2-2-1</v>
      </c>
      <c r="F86" s="171" t="s">
        <v>2809</v>
      </c>
      <c r="G86" s="381" t="s">
        <v>2808</v>
      </c>
      <c r="H86" s="381"/>
      <c r="I86" s="381"/>
      <c r="J86" s="381"/>
      <c r="K86" s="381"/>
      <c r="L86" s="381"/>
      <c r="M86" s="381"/>
      <c r="N86" s="381"/>
      <c r="O86" s="381"/>
      <c r="P86" s="381"/>
      <c r="Q86" s="381"/>
      <c r="R86" s="381"/>
      <c r="S86" s="381"/>
      <c r="T86" s="381"/>
      <c r="U86" s="381"/>
      <c r="V86" s="381"/>
      <c r="W86" s="381"/>
      <c r="X86" s="381"/>
      <c r="Y86" s="381"/>
      <c r="Z86" s="381"/>
      <c r="AA86" s="381"/>
      <c r="AB86" s="250">
        <v>3</v>
      </c>
      <c r="AC86" s="250"/>
      <c r="AD86" s="250"/>
      <c r="AE86" s="250"/>
      <c r="AF86" s="294" t="s">
        <v>2789</v>
      </c>
      <c r="AG86" s="279" t="s">
        <v>2152</v>
      </c>
      <c r="AH86" s="292" t="s">
        <v>2125</v>
      </c>
      <c r="AI86" s="292" t="s">
        <v>2124</v>
      </c>
      <c r="AJ86" s="279"/>
      <c r="AK86" s="279"/>
    </row>
    <row r="87" spans="1:37" s="178" customFormat="1" ht="24.95" customHeight="1" outlineLevel="4">
      <c r="A87" s="178" t="s">
        <v>3500</v>
      </c>
      <c r="B87" s="165" t="str">
        <f t="shared" si="2"/>
        <v>ع</v>
      </c>
      <c r="C87" s="164" t="str">
        <f t="shared" si="2"/>
        <v>ع2</v>
      </c>
      <c r="D87" s="164" t="str">
        <f t="shared" si="2"/>
        <v>ع2-2</v>
      </c>
      <c r="E87" s="164" t="str">
        <f t="shared" si="2"/>
        <v>ع2-2-1</v>
      </c>
      <c r="F87" s="171" t="s">
        <v>2807</v>
      </c>
      <c r="G87" s="381" t="s">
        <v>2806</v>
      </c>
      <c r="H87" s="381"/>
      <c r="I87" s="381"/>
      <c r="J87" s="381"/>
      <c r="K87" s="381"/>
      <c r="L87" s="381"/>
      <c r="M87" s="381"/>
      <c r="N87" s="381"/>
      <c r="O87" s="381"/>
      <c r="P87" s="381"/>
      <c r="Q87" s="381"/>
      <c r="R87" s="381"/>
      <c r="S87" s="381"/>
      <c r="T87" s="381"/>
      <c r="U87" s="381"/>
      <c r="V87" s="381"/>
      <c r="W87" s="381"/>
      <c r="X87" s="381"/>
      <c r="Y87" s="381"/>
      <c r="Z87" s="381"/>
      <c r="AA87" s="381"/>
      <c r="AB87" s="250">
        <v>3</v>
      </c>
      <c r="AC87" s="250"/>
      <c r="AD87" s="250"/>
      <c r="AE87" s="250"/>
      <c r="AF87" s="294" t="s">
        <v>2789</v>
      </c>
      <c r="AG87" s="279"/>
      <c r="AH87" s="292" t="s">
        <v>2125</v>
      </c>
      <c r="AI87" s="292" t="s">
        <v>2124</v>
      </c>
      <c r="AJ87" s="279"/>
      <c r="AK87" s="279"/>
    </row>
    <row r="88" spans="1:37" s="178" customFormat="1" ht="24.95" customHeight="1" outlineLevel="4">
      <c r="A88" s="178" t="s">
        <v>3500</v>
      </c>
      <c r="B88" s="165" t="str">
        <f t="shared" si="2"/>
        <v>ع</v>
      </c>
      <c r="C88" s="164" t="str">
        <f t="shared" si="2"/>
        <v>ع2</v>
      </c>
      <c r="D88" s="164" t="str">
        <f t="shared" si="2"/>
        <v>ع2-2</v>
      </c>
      <c r="E88" s="164" t="str">
        <f t="shared" si="2"/>
        <v>ع2-2-1</v>
      </c>
      <c r="F88" s="171" t="s">
        <v>2805</v>
      </c>
      <c r="G88" s="381" t="s">
        <v>2804</v>
      </c>
      <c r="H88" s="381"/>
      <c r="I88" s="381"/>
      <c r="J88" s="381"/>
      <c r="K88" s="381"/>
      <c r="L88" s="381"/>
      <c r="M88" s="381"/>
      <c r="N88" s="381"/>
      <c r="O88" s="381"/>
      <c r="P88" s="381"/>
      <c r="Q88" s="381"/>
      <c r="R88" s="381"/>
      <c r="S88" s="381"/>
      <c r="T88" s="381"/>
      <c r="U88" s="381"/>
      <c r="V88" s="381"/>
      <c r="W88" s="381"/>
      <c r="X88" s="381"/>
      <c r="Y88" s="381"/>
      <c r="Z88" s="381"/>
      <c r="AA88" s="381"/>
      <c r="AB88" s="250">
        <v>33</v>
      </c>
      <c r="AC88" s="250"/>
      <c r="AD88" s="250"/>
      <c r="AE88" s="250"/>
      <c r="AF88" s="294" t="s">
        <v>2789</v>
      </c>
      <c r="AG88" s="279"/>
      <c r="AH88" s="292" t="s">
        <v>2125</v>
      </c>
      <c r="AI88" s="292" t="s">
        <v>2124</v>
      </c>
      <c r="AJ88" s="279"/>
      <c r="AK88" s="279"/>
    </row>
    <row r="89" spans="1:37" s="178" customFormat="1" ht="24.95" customHeight="1" outlineLevel="4">
      <c r="A89" s="178" t="s">
        <v>3500</v>
      </c>
      <c r="B89" s="165" t="str">
        <f t="shared" si="2"/>
        <v>ع</v>
      </c>
      <c r="C89" s="164" t="str">
        <f t="shared" si="2"/>
        <v>ع2</v>
      </c>
      <c r="D89" s="164" t="str">
        <f t="shared" si="2"/>
        <v>ع2-2</v>
      </c>
      <c r="E89" s="164" t="str">
        <f t="shared" si="2"/>
        <v>ع2-2-1</v>
      </c>
      <c r="F89" s="171" t="s">
        <v>2803</v>
      </c>
      <c r="G89" s="381" t="s">
        <v>2802</v>
      </c>
      <c r="H89" s="381"/>
      <c r="I89" s="381"/>
      <c r="J89" s="381"/>
      <c r="K89" s="381"/>
      <c r="L89" s="381"/>
      <c r="M89" s="381"/>
      <c r="N89" s="381"/>
      <c r="O89" s="381"/>
      <c r="P89" s="381"/>
      <c r="Q89" s="381"/>
      <c r="R89" s="381"/>
      <c r="S89" s="381"/>
      <c r="T89" s="381"/>
      <c r="U89" s="381"/>
      <c r="V89" s="381"/>
      <c r="W89" s="381"/>
      <c r="X89" s="381"/>
      <c r="Y89" s="381"/>
      <c r="Z89" s="381"/>
      <c r="AA89" s="381"/>
      <c r="AB89" s="250">
        <v>3</v>
      </c>
      <c r="AC89" s="250"/>
      <c r="AD89" s="250"/>
      <c r="AE89" s="250"/>
      <c r="AF89" s="294" t="s">
        <v>2789</v>
      </c>
      <c r="AG89" s="279" t="s">
        <v>2152</v>
      </c>
      <c r="AH89" s="292" t="s">
        <v>2125</v>
      </c>
      <c r="AI89" s="292" t="s">
        <v>2124</v>
      </c>
      <c r="AJ89" s="279"/>
      <c r="AK89" s="279"/>
    </row>
    <row r="90" spans="1:37" s="178" customFormat="1" ht="24.95" customHeight="1" outlineLevel="4">
      <c r="A90" s="178" t="s">
        <v>3500</v>
      </c>
      <c r="B90" s="165" t="str">
        <f t="shared" si="2"/>
        <v>ع</v>
      </c>
      <c r="C90" s="164" t="str">
        <f t="shared" si="2"/>
        <v>ع2</v>
      </c>
      <c r="D90" s="164" t="str">
        <f t="shared" si="2"/>
        <v>ع2-2</v>
      </c>
      <c r="E90" s="164" t="str">
        <f t="shared" si="2"/>
        <v>ع2-2-1</v>
      </c>
      <c r="F90" s="171" t="s">
        <v>2801</v>
      </c>
      <c r="G90" s="381" t="s">
        <v>2800</v>
      </c>
      <c r="H90" s="381"/>
      <c r="I90" s="381"/>
      <c r="J90" s="381"/>
      <c r="K90" s="381"/>
      <c r="L90" s="381"/>
      <c r="M90" s="381"/>
      <c r="N90" s="381"/>
      <c r="O90" s="381"/>
      <c r="P90" s="381"/>
      <c r="Q90" s="381"/>
      <c r="R90" s="381"/>
      <c r="S90" s="381"/>
      <c r="T90" s="381"/>
      <c r="U90" s="381"/>
      <c r="V90" s="381"/>
      <c r="W90" s="381"/>
      <c r="X90" s="381"/>
      <c r="Y90" s="381"/>
      <c r="Z90" s="381"/>
      <c r="AA90" s="381"/>
      <c r="AB90" s="250">
        <v>3</v>
      </c>
      <c r="AC90" s="250"/>
      <c r="AD90" s="250"/>
      <c r="AE90" s="250"/>
      <c r="AF90" s="294" t="s">
        <v>2789</v>
      </c>
      <c r="AG90" s="279" t="s">
        <v>2152</v>
      </c>
      <c r="AH90" s="292" t="s">
        <v>2125</v>
      </c>
      <c r="AI90" s="292" t="s">
        <v>2124</v>
      </c>
      <c r="AJ90" s="279"/>
      <c r="AK90" s="279"/>
    </row>
    <row r="91" spans="1:37" s="178" customFormat="1" ht="24.95" customHeight="1" outlineLevel="4">
      <c r="A91" s="178" t="s">
        <v>3500</v>
      </c>
      <c r="B91" s="165" t="str">
        <f t="shared" si="2"/>
        <v>ع</v>
      </c>
      <c r="C91" s="164" t="str">
        <f t="shared" si="2"/>
        <v>ع2</v>
      </c>
      <c r="D91" s="164" t="str">
        <f t="shared" si="2"/>
        <v>ع2-2</v>
      </c>
      <c r="E91" s="164" t="str">
        <f t="shared" si="2"/>
        <v>ع2-2-1</v>
      </c>
      <c r="F91" s="171" t="s">
        <v>2799</v>
      </c>
      <c r="G91" s="381" t="s">
        <v>2798</v>
      </c>
      <c r="H91" s="381"/>
      <c r="I91" s="381"/>
      <c r="J91" s="381"/>
      <c r="K91" s="381"/>
      <c r="L91" s="381"/>
      <c r="M91" s="381"/>
      <c r="N91" s="381"/>
      <c r="O91" s="381"/>
      <c r="P91" s="381"/>
      <c r="Q91" s="381"/>
      <c r="R91" s="381"/>
      <c r="S91" s="381"/>
      <c r="T91" s="381"/>
      <c r="U91" s="381"/>
      <c r="V91" s="381"/>
      <c r="W91" s="381"/>
      <c r="X91" s="381"/>
      <c r="Y91" s="381"/>
      <c r="Z91" s="381"/>
      <c r="AA91" s="381"/>
      <c r="AB91" s="250">
        <v>3</v>
      </c>
      <c r="AC91" s="250"/>
      <c r="AD91" s="250"/>
      <c r="AE91" s="250"/>
      <c r="AF91" s="294" t="s">
        <v>2789</v>
      </c>
      <c r="AG91" s="279" t="s">
        <v>2152</v>
      </c>
      <c r="AH91" s="292" t="s">
        <v>2125</v>
      </c>
      <c r="AI91" s="292" t="s">
        <v>2124</v>
      </c>
      <c r="AJ91" s="279"/>
      <c r="AK91" s="279"/>
    </row>
    <row r="92" spans="1:37" s="178" customFormat="1" ht="24.95" customHeight="1" outlineLevel="4">
      <c r="A92" s="178" t="s">
        <v>3500</v>
      </c>
      <c r="B92" s="165" t="str">
        <f t="shared" si="2"/>
        <v>ع</v>
      </c>
      <c r="C92" s="164" t="str">
        <f t="shared" si="2"/>
        <v>ع2</v>
      </c>
      <c r="D92" s="164" t="str">
        <f t="shared" si="2"/>
        <v>ع2-2</v>
      </c>
      <c r="E92" s="164" t="str">
        <f t="shared" si="2"/>
        <v>ع2-2-1</v>
      </c>
      <c r="F92" s="171" t="s">
        <v>2797</v>
      </c>
      <c r="G92" s="381" t="s">
        <v>2796</v>
      </c>
      <c r="H92" s="381"/>
      <c r="I92" s="381"/>
      <c r="J92" s="381"/>
      <c r="K92" s="381"/>
      <c r="L92" s="381"/>
      <c r="M92" s="381"/>
      <c r="N92" s="381"/>
      <c r="O92" s="381"/>
      <c r="P92" s="381"/>
      <c r="Q92" s="381"/>
      <c r="R92" s="381"/>
      <c r="S92" s="381"/>
      <c r="T92" s="381"/>
      <c r="U92" s="381"/>
      <c r="V92" s="381"/>
      <c r="W92" s="381"/>
      <c r="X92" s="381"/>
      <c r="Y92" s="381"/>
      <c r="Z92" s="381"/>
      <c r="AA92" s="381"/>
      <c r="AB92" s="250">
        <v>3</v>
      </c>
      <c r="AC92" s="250"/>
      <c r="AD92" s="250"/>
      <c r="AE92" s="250"/>
      <c r="AF92" s="294" t="s">
        <v>2789</v>
      </c>
      <c r="AG92" s="279" t="s">
        <v>2152</v>
      </c>
      <c r="AH92" s="292" t="s">
        <v>2125</v>
      </c>
      <c r="AI92" s="292" t="s">
        <v>2124</v>
      </c>
      <c r="AJ92" s="279"/>
      <c r="AK92" s="279"/>
    </row>
    <row r="93" spans="1:37" s="178" customFormat="1" ht="24.95" customHeight="1" outlineLevel="4">
      <c r="A93" s="178" t="s">
        <v>3500</v>
      </c>
      <c r="B93" s="165" t="str">
        <f t="shared" si="2"/>
        <v>ع</v>
      </c>
      <c r="C93" s="164" t="str">
        <f t="shared" si="2"/>
        <v>ع2</v>
      </c>
      <c r="D93" s="164" t="str">
        <f t="shared" si="2"/>
        <v>ع2-2</v>
      </c>
      <c r="E93" s="164" t="str">
        <f t="shared" si="2"/>
        <v>ع2-2-1</v>
      </c>
      <c r="F93" s="171" t="s">
        <v>2795</v>
      </c>
      <c r="G93" s="381" t="s">
        <v>2794</v>
      </c>
      <c r="H93" s="381"/>
      <c r="I93" s="381"/>
      <c r="J93" s="381"/>
      <c r="K93" s="381"/>
      <c r="L93" s="381"/>
      <c r="M93" s="381"/>
      <c r="N93" s="381"/>
      <c r="O93" s="381"/>
      <c r="P93" s="381"/>
      <c r="Q93" s="381"/>
      <c r="R93" s="381"/>
      <c r="S93" s="381"/>
      <c r="T93" s="381"/>
      <c r="U93" s="381"/>
      <c r="V93" s="381"/>
      <c r="W93" s="381"/>
      <c r="X93" s="381"/>
      <c r="Y93" s="381"/>
      <c r="Z93" s="381"/>
      <c r="AA93" s="381"/>
      <c r="AB93" s="250">
        <v>3</v>
      </c>
      <c r="AC93" s="250"/>
      <c r="AD93" s="250"/>
      <c r="AE93" s="250"/>
      <c r="AF93" s="294" t="s">
        <v>2789</v>
      </c>
      <c r="AG93" s="279" t="s">
        <v>2152</v>
      </c>
      <c r="AH93" s="292" t="s">
        <v>2125</v>
      </c>
      <c r="AI93" s="292" t="s">
        <v>2124</v>
      </c>
      <c r="AJ93" s="279"/>
      <c r="AK93" s="279"/>
    </row>
    <row r="94" spans="1:37" s="178" customFormat="1" ht="24.95" customHeight="1" outlineLevel="4">
      <c r="A94" s="178" t="s">
        <v>3500</v>
      </c>
      <c r="B94" s="165" t="str">
        <f t="shared" si="2"/>
        <v>ع</v>
      </c>
      <c r="C94" s="164" t="str">
        <f t="shared" si="2"/>
        <v>ع2</v>
      </c>
      <c r="D94" s="164" t="str">
        <f t="shared" si="2"/>
        <v>ع2-2</v>
      </c>
      <c r="E94" s="164" t="str">
        <f t="shared" si="2"/>
        <v>ع2-2-1</v>
      </c>
      <c r="F94" s="171" t="s">
        <v>2793</v>
      </c>
      <c r="G94" s="381" t="s">
        <v>2792</v>
      </c>
      <c r="H94" s="381"/>
      <c r="I94" s="381"/>
      <c r="J94" s="381"/>
      <c r="K94" s="381"/>
      <c r="L94" s="381"/>
      <c r="M94" s="381"/>
      <c r="N94" s="381"/>
      <c r="O94" s="381"/>
      <c r="P94" s="381"/>
      <c r="Q94" s="381"/>
      <c r="R94" s="381"/>
      <c r="S94" s="381"/>
      <c r="T94" s="381"/>
      <c r="U94" s="381"/>
      <c r="V94" s="381"/>
      <c r="W94" s="381"/>
      <c r="X94" s="381"/>
      <c r="Y94" s="381"/>
      <c r="Z94" s="381"/>
      <c r="AA94" s="381"/>
      <c r="AB94" s="250">
        <v>3</v>
      </c>
      <c r="AC94" s="250"/>
      <c r="AD94" s="250"/>
      <c r="AE94" s="250"/>
      <c r="AF94" s="294" t="s">
        <v>2789</v>
      </c>
      <c r="AG94" s="279"/>
      <c r="AH94" s="292" t="s">
        <v>2125</v>
      </c>
      <c r="AI94" s="292" t="s">
        <v>2124</v>
      </c>
      <c r="AJ94" s="279"/>
      <c r="AK94" s="279"/>
    </row>
    <row r="95" spans="1:37" s="178" customFormat="1" ht="24.95" customHeight="1" outlineLevel="4">
      <c r="A95" s="178" t="s">
        <v>3500</v>
      </c>
      <c r="B95" s="165" t="str">
        <f t="shared" si="2"/>
        <v>ع</v>
      </c>
      <c r="C95" s="164" t="str">
        <f t="shared" si="2"/>
        <v>ع2</v>
      </c>
      <c r="D95" s="164" t="str">
        <f t="shared" si="2"/>
        <v>ع2-2</v>
      </c>
      <c r="E95" s="164" t="str">
        <f t="shared" si="2"/>
        <v>ع2-2-1</v>
      </c>
      <c r="F95" s="171" t="s">
        <v>2791</v>
      </c>
      <c r="G95" s="381" t="s">
        <v>2790</v>
      </c>
      <c r="H95" s="381"/>
      <c r="I95" s="381"/>
      <c r="J95" s="381"/>
      <c r="K95" s="381"/>
      <c r="L95" s="381"/>
      <c r="M95" s="381"/>
      <c r="N95" s="381"/>
      <c r="O95" s="381"/>
      <c r="P95" s="381"/>
      <c r="Q95" s="381"/>
      <c r="R95" s="381"/>
      <c r="S95" s="381"/>
      <c r="T95" s="381"/>
      <c r="U95" s="381"/>
      <c r="V95" s="381"/>
      <c r="W95" s="381"/>
      <c r="X95" s="381"/>
      <c r="Y95" s="381"/>
      <c r="Z95" s="381"/>
      <c r="AA95" s="381"/>
      <c r="AB95" s="250">
        <v>3</v>
      </c>
      <c r="AC95" s="250"/>
      <c r="AD95" s="250"/>
      <c r="AE95" s="250"/>
      <c r="AF95" s="294" t="s">
        <v>2789</v>
      </c>
      <c r="AG95" s="279"/>
      <c r="AH95" s="292" t="s">
        <v>2125</v>
      </c>
      <c r="AI95" s="292" t="s">
        <v>2124</v>
      </c>
      <c r="AJ95" s="279"/>
      <c r="AK95" s="279"/>
    </row>
    <row r="96" spans="1:37" s="178" customFormat="1" ht="9" hidden="1" customHeight="1" outlineLevel="3">
      <c r="B96" s="165" t="str">
        <f t="shared" si="2"/>
        <v>ع</v>
      </c>
      <c r="C96" s="164" t="str">
        <f t="shared" si="2"/>
        <v>ع2</v>
      </c>
      <c r="D96" s="164" t="str">
        <f t="shared" si="2"/>
        <v>ع2-2</v>
      </c>
      <c r="E96" s="164" t="str">
        <f t="shared" si="2"/>
        <v>ع2-2-1</v>
      </c>
      <c r="F96" s="171"/>
      <c r="G96" s="293"/>
      <c r="H96" s="293"/>
      <c r="I96" s="293"/>
      <c r="J96" s="293"/>
      <c r="K96" s="293"/>
      <c r="L96" s="293"/>
      <c r="M96" s="293"/>
      <c r="N96" s="293"/>
      <c r="O96" s="293"/>
      <c r="P96" s="293"/>
      <c r="Q96" s="293"/>
      <c r="R96" s="293"/>
      <c r="S96" s="293"/>
      <c r="T96" s="293"/>
      <c r="U96" s="293"/>
      <c r="V96" s="293"/>
      <c r="W96" s="293"/>
      <c r="X96" s="293"/>
      <c r="Y96" s="293"/>
      <c r="Z96" s="293"/>
      <c r="AA96" s="293"/>
      <c r="AB96" s="250"/>
      <c r="AC96" s="250"/>
      <c r="AD96" s="250"/>
      <c r="AE96" s="250"/>
      <c r="AF96" s="294" t="s">
        <v>2789</v>
      </c>
      <c r="AG96" s="279"/>
      <c r="AH96" s="292" t="s">
        <v>2125</v>
      </c>
      <c r="AI96" s="292" t="s">
        <v>2124</v>
      </c>
      <c r="AJ96" s="279"/>
      <c r="AK96" s="279"/>
    </row>
    <row r="97" spans="1:37" s="178" customFormat="1" ht="9" hidden="1" customHeight="1" outlineLevel="2">
      <c r="B97" s="165" t="str">
        <f t="shared" si="2"/>
        <v>ع</v>
      </c>
      <c r="C97" s="164" t="str">
        <f t="shared" si="2"/>
        <v>ع2</v>
      </c>
      <c r="D97" s="164" t="str">
        <f t="shared" si="2"/>
        <v>ع2-2</v>
      </c>
      <c r="E97" s="164" t="str">
        <f t="shared" si="2"/>
        <v>ع2-2-1</v>
      </c>
      <c r="F97" s="171"/>
      <c r="G97" s="293"/>
      <c r="H97" s="293"/>
      <c r="I97" s="293"/>
      <c r="J97" s="293"/>
      <c r="K97" s="293"/>
      <c r="L97" s="293"/>
      <c r="M97" s="293"/>
      <c r="N97" s="293"/>
      <c r="O97" s="293"/>
      <c r="P97" s="293"/>
      <c r="Q97" s="293"/>
      <c r="R97" s="293"/>
      <c r="S97" s="293"/>
      <c r="T97" s="293"/>
      <c r="U97" s="293"/>
      <c r="V97" s="293"/>
      <c r="W97" s="293"/>
      <c r="X97" s="293"/>
      <c r="Y97" s="293"/>
      <c r="Z97" s="293"/>
      <c r="AA97" s="293"/>
      <c r="AB97" s="250"/>
      <c r="AC97" s="250"/>
      <c r="AD97" s="250"/>
      <c r="AE97" s="250"/>
      <c r="AF97" s="294" t="s">
        <v>2789</v>
      </c>
      <c r="AG97" s="279"/>
      <c r="AH97" s="292" t="s">
        <v>2125</v>
      </c>
      <c r="AI97" s="292" t="s">
        <v>2124</v>
      </c>
      <c r="AJ97" s="279"/>
      <c r="AK97" s="279"/>
    </row>
    <row r="98" spans="1:37" s="178" customFormat="1" ht="15" hidden="1" customHeight="1" outlineLevel="2" thickBot="1">
      <c r="A98" s="264" t="s">
        <v>188</v>
      </c>
      <c r="B98" s="165" t="str">
        <f t="shared" si="2"/>
        <v>ع</v>
      </c>
      <c r="C98" s="164" t="str">
        <f t="shared" si="2"/>
        <v>ع2</v>
      </c>
      <c r="D98" s="189" t="s">
        <v>2788</v>
      </c>
      <c r="E98" s="189" t="s">
        <v>2788</v>
      </c>
      <c r="F98" s="189" t="s">
        <v>2788</v>
      </c>
      <c r="G98" s="383" t="s">
        <v>2787</v>
      </c>
      <c r="H98" s="383"/>
      <c r="I98" s="383"/>
      <c r="J98" s="383"/>
      <c r="K98" s="383"/>
      <c r="L98" s="383"/>
      <c r="M98" s="383"/>
      <c r="N98" s="383"/>
      <c r="O98" s="383"/>
      <c r="P98" s="383"/>
      <c r="Q98" s="383"/>
      <c r="R98" s="383"/>
      <c r="S98" s="383"/>
      <c r="T98" s="383"/>
      <c r="U98" s="383"/>
      <c r="V98" s="383"/>
      <c r="W98" s="383"/>
      <c r="X98" s="383"/>
      <c r="Y98" s="383"/>
      <c r="Z98" s="383"/>
      <c r="AA98" s="383"/>
      <c r="AB98" s="188"/>
      <c r="AC98" s="188"/>
      <c r="AD98" s="188"/>
      <c r="AE98" s="188"/>
      <c r="AF98" s="288" t="s">
        <v>2786</v>
      </c>
      <c r="AG98" s="289"/>
      <c r="AH98" s="290" t="s">
        <v>2125</v>
      </c>
      <c r="AI98" s="290" t="s">
        <v>2124</v>
      </c>
      <c r="AJ98" s="291">
        <v>1</v>
      </c>
      <c r="AK98" s="289"/>
    </row>
    <row r="99" spans="1:37" s="178" customFormat="1" ht="12.6" hidden="1" customHeight="1" outlineLevel="3" thickTop="1" thickBot="1">
      <c r="A99" s="178" t="s">
        <v>189</v>
      </c>
      <c r="B99" s="165" t="str">
        <f t="shared" si="2"/>
        <v>ع</v>
      </c>
      <c r="C99" s="164" t="str">
        <f t="shared" si="2"/>
        <v>ع2</v>
      </c>
      <c r="D99" s="184" t="str">
        <f t="shared" si="2"/>
        <v>ع2-3</v>
      </c>
      <c r="E99" s="183" t="s">
        <v>2785</v>
      </c>
      <c r="F99" s="183" t="s">
        <v>2785</v>
      </c>
      <c r="G99" s="384" t="s">
        <v>2784</v>
      </c>
      <c r="H99" s="384"/>
      <c r="I99" s="384"/>
      <c r="J99" s="384"/>
      <c r="K99" s="384"/>
      <c r="L99" s="384"/>
      <c r="M99" s="384"/>
      <c r="N99" s="384"/>
      <c r="O99" s="384"/>
      <c r="P99" s="384"/>
      <c r="Q99" s="384"/>
      <c r="R99" s="384"/>
      <c r="S99" s="384"/>
      <c r="T99" s="384"/>
      <c r="U99" s="384"/>
      <c r="V99" s="384"/>
      <c r="W99" s="384"/>
      <c r="X99" s="384"/>
      <c r="Y99" s="384"/>
      <c r="Z99" s="384"/>
      <c r="AA99" s="384"/>
      <c r="AB99" s="182" t="s">
        <v>2110</v>
      </c>
      <c r="AC99" s="181"/>
      <c r="AD99" s="181"/>
      <c r="AE99" s="181"/>
      <c r="AF99" s="294" t="s">
        <v>2783</v>
      </c>
      <c r="AG99" s="279"/>
      <c r="AH99" s="292" t="s">
        <v>2125</v>
      </c>
      <c r="AI99" s="292" t="s">
        <v>2124</v>
      </c>
      <c r="AJ99" s="279"/>
      <c r="AK99" s="279"/>
    </row>
    <row r="100" spans="1:37" s="178" customFormat="1" ht="15" customHeight="1" outlineLevel="4">
      <c r="A100" s="178" t="s">
        <v>3500</v>
      </c>
      <c r="B100" s="165" t="str">
        <f t="shared" si="2"/>
        <v>ع</v>
      </c>
      <c r="C100" s="164" t="str">
        <f t="shared" si="2"/>
        <v>ع2</v>
      </c>
      <c r="D100" s="164" t="str">
        <f t="shared" si="2"/>
        <v>ع2-3</v>
      </c>
      <c r="E100" s="164" t="str">
        <f t="shared" si="2"/>
        <v>ع2-3-1</v>
      </c>
      <c r="F100" s="171" t="s">
        <v>2782</v>
      </c>
      <c r="G100" s="381" t="s">
        <v>2781</v>
      </c>
      <c r="H100" s="381"/>
      <c r="I100" s="381"/>
      <c r="J100" s="381"/>
      <c r="K100" s="381"/>
      <c r="L100" s="381"/>
      <c r="M100" s="381"/>
      <c r="N100" s="381"/>
      <c r="O100" s="381"/>
      <c r="P100" s="381"/>
      <c r="Q100" s="381"/>
      <c r="R100" s="381"/>
      <c r="S100" s="381"/>
      <c r="T100" s="381"/>
      <c r="U100" s="381"/>
      <c r="V100" s="381"/>
      <c r="W100" s="381"/>
      <c r="X100" s="381"/>
      <c r="Y100" s="381"/>
      <c r="Z100" s="381"/>
      <c r="AA100" s="381"/>
      <c r="AB100" s="250">
        <v>3</v>
      </c>
      <c r="AC100" s="250"/>
      <c r="AD100" s="250"/>
      <c r="AE100" s="250"/>
      <c r="AF100" s="294" t="s">
        <v>2535</v>
      </c>
      <c r="AG100" s="279" t="s">
        <v>2152</v>
      </c>
      <c r="AH100" s="292" t="s">
        <v>2125</v>
      </c>
      <c r="AI100" s="292" t="s">
        <v>2124</v>
      </c>
      <c r="AJ100" s="279"/>
      <c r="AK100" s="279"/>
    </row>
    <row r="101" spans="1:37" s="178" customFormat="1" ht="15" customHeight="1" outlineLevel="4">
      <c r="A101" s="178" t="s">
        <v>3500</v>
      </c>
      <c r="B101" s="165" t="str">
        <f t="shared" si="2"/>
        <v>ع</v>
      </c>
      <c r="C101" s="164" t="str">
        <f t="shared" si="2"/>
        <v>ع2</v>
      </c>
      <c r="D101" s="164" t="str">
        <f t="shared" si="2"/>
        <v>ع2-3</v>
      </c>
      <c r="E101" s="164" t="str">
        <f t="shared" si="2"/>
        <v>ع2-3-1</v>
      </c>
      <c r="F101" s="171" t="s">
        <v>2780</v>
      </c>
      <c r="G101" s="381" t="s">
        <v>2779</v>
      </c>
      <c r="H101" s="381"/>
      <c r="I101" s="381"/>
      <c r="J101" s="381"/>
      <c r="K101" s="381"/>
      <c r="L101" s="381"/>
      <c r="M101" s="381"/>
      <c r="N101" s="381"/>
      <c r="O101" s="381"/>
      <c r="P101" s="381"/>
      <c r="Q101" s="381"/>
      <c r="R101" s="381"/>
      <c r="S101" s="381"/>
      <c r="T101" s="381"/>
      <c r="U101" s="381"/>
      <c r="V101" s="381"/>
      <c r="W101" s="381"/>
      <c r="X101" s="381"/>
      <c r="Y101" s="381"/>
      <c r="Z101" s="381"/>
      <c r="AA101" s="381"/>
      <c r="AB101" s="250">
        <v>1</v>
      </c>
      <c r="AC101" s="250"/>
      <c r="AD101" s="250"/>
      <c r="AE101" s="250"/>
      <c r="AF101" s="294" t="s">
        <v>2535</v>
      </c>
      <c r="AG101" s="279" t="s">
        <v>2152</v>
      </c>
      <c r="AH101" s="292" t="s">
        <v>2125</v>
      </c>
      <c r="AI101" s="292" t="s">
        <v>2124</v>
      </c>
      <c r="AJ101" s="279"/>
      <c r="AK101" s="279"/>
    </row>
    <row r="102" spans="1:37" s="178" customFormat="1" ht="15" customHeight="1" outlineLevel="4">
      <c r="A102" s="178" t="s">
        <v>3500</v>
      </c>
      <c r="B102" s="165" t="str">
        <f t="shared" si="2"/>
        <v>ع</v>
      </c>
      <c r="C102" s="164" t="str">
        <f t="shared" si="2"/>
        <v>ع2</v>
      </c>
      <c r="D102" s="164" t="str">
        <f t="shared" si="2"/>
        <v>ع2-3</v>
      </c>
      <c r="E102" s="164" t="str">
        <f t="shared" si="2"/>
        <v>ع2-3-1</v>
      </c>
      <c r="F102" s="171" t="s">
        <v>2778</v>
      </c>
      <c r="G102" s="381" t="s">
        <v>2777</v>
      </c>
      <c r="H102" s="381"/>
      <c r="I102" s="381"/>
      <c r="J102" s="381"/>
      <c r="K102" s="381"/>
      <c r="L102" s="381"/>
      <c r="M102" s="381"/>
      <c r="N102" s="381"/>
      <c r="O102" s="381"/>
      <c r="P102" s="381"/>
      <c r="Q102" s="381"/>
      <c r="R102" s="381"/>
      <c r="S102" s="381"/>
      <c r="T102" s="381"/>
      <c r="U102" s="381"/>
      <c r="V102" s="381"/>
      <c r="W102" s="381"/>
      <c r="X102" s="381"/>
      <c r="Y102" s="381"/>
      <c r="Z102" s="381"/>
      <c r="AA102" s="381"/>
      <c r="AB102" s="250">
        <v>1</v>
      </c>
      <c r="AC102" s="250"/>
      <c r="AD102" s="250"/>
      <c r="AE102" s="250"/>
      <c r="AF102" s="294" t="s">
        <v>2535</v>
      </c>
      <c r="AG102" s="279" t="s">
        <v>2152</v>
      </c>
      <c r="AH102" s="292" t="s">
        <v>2125</v>
      </c>
      <c r="AI102" s="292" t="s">
        <v>2124</v>
      </c>
      <c r="AJ102" s="279"/>
      <c r="AK102" s="279"/>
    </row>
    <row r="103" spans="1:37" s="178" customFormat="1" ht="15" customHeight="1" outlineLevel="4">
      <c r="A103" s="178" t="s">
        <v>3500</v>
      </c>
      <c r="B103" s="165" t="str">
        <f t="shared" si="2"/>
        <v>ع</v>
      </c>
      <c r="C103" s="164" t="str">
        <f t="shared" si="2"/>
        <v>ع2</v>
      </c>
      <c r="D103" s="164" t="str">
        <f t="shared" si="2"/>
        <v>ع2-3</v>
      </c>
      <c r="E103" s="164" t="str">
        <f t="shared" si="2"/>
        <v>ع2-3-1</v>
      </c>
      <c r="F103" s="171" t="s">
        <v>2776</v>
      </c>
      <c r="G103" s="381" t="s">
        <v>2775</v>
      </c>
      <c r="H103" s="381"/>
      <c r="I103" s="381"/>
      <c r="J103" s="381"/>
      <c r="K103" s="381"/>
      <c r="L103" s="381"/>
      <c r="M103" s="381"/>
      <c r="N103" s="381"/>
      <c r="O103" s="381"/>
      <c r="P103" s="381"/>
      <c r="Q103" s="381"/>
      <c r="R103" s="381"/>
      <c r="S103" s="381"/>
      <c r="T103" s="381"/>
      <c r="U103" s="381"/>
      <c r="V103" s="381"/>
      <c r="W103" s="381"/>
      <c r="X103" s="381"/>
      <c r="Y103" s="381"/>
      <c r="Z103" s="381"/>
      <c r="AA103" s="381"/>
      <c r="AB103" s="250">
        <v>1</v>
      </c>
      <c r="AC103" s="250"/>
      <c r="AD103" s="250"/>
      <c r="AE103" s="250"/>
      <c r="AF103" s="294" t="s">
        <v>2535</v>
      </c>
      <c r="AG103" s="279" t="s">
        <v>2152</v>
      </c>
      <c r="AH103" s="292" t="s">
        <v>2125</v>
      </c>
      <c r="AI103" s="292" t="s">
        <v>2124</v>
      </c>
      <c r="AJ103" s="279"/>
      <c r="AK103" s="279"/>
    </row>
    <row r="104" spans="1:37" s="178" customFormat="1" ht="15" customHeight="1" outlineLevel="4">
      <c r="A104" s="178" t="s">
        <v>3500</v>
      </c>
      <c r="B104" s="165" t="str">
        <f t="shared" si="2"/>
        <v>ع</v>
      </c>
      <c r="C104" s="164" t="str">
        <f t="shared" si="2"/>
        <v>ع2</v>
      </c>
      <c r="D104" s="164" t="str">
        <f t="shared" si="2"/>
        <v>ع2-3</v>
      </c>
      <c r="E104" s="164" t="str">
        <f t="shared" si="2"/>
        <v>ع2-3-1</v>
      </c>
      <c r="F104" s="171" t="s">
        <v>2774</v>
      </c>
      <c r="G104" s="381" t="s">
        <v>2773</v>
      </c>
      <c r="H104" s="381"/>
      <c r="I104" s="381"/>
      <c r="J104" s="381"/>
      <c r="K104" s="381"/>
      <c r="L104" s="381"/>
      <c r="M104" s="381"/>
      <c r="N104" s="381"/>
      <c r="O104" s="381"/>
      <c r="P104" s="381"/>
      <c r="Q104" s="381"/>
      <c r="R104" s="381"/>
      <c r="S104" s="381"/>
      <c r="T104" s="381"/>
      <c r="U104" s="381"/>
      <c r="V104" s="381"/>
      <c r="W104" s="381"/>
      <c r="X104" s="381"/>
      <c r="Y104" s="381"/>
      <c r="Z104" s="381"/>
      <c r="AA104" s="381"/>
      <c r="AB104" s="250">
        <v>1</v>
      </c>
      <c r="AC104" s="250"/>
      <c r="AD104" s="250"/>
      <c r="AE104" s="250"/>
      <c r="AF104" s="294" t="s">
        <v>2535</v>
      </c>
      <c r="AG104" s="279" t="s">
        <v>2152</v>
      </c>
      <c r="AH104" s="292" t="s">
        <v>2125</v>
      </c>
      <c r="AI104" s="292" t="s">
        <v>2124</v>
      </c>
      <c r="AJ104" s="279"/>
      <c r="AK104" s="279"/>
    </row>
    <row r="105" spans="1:37" s="178" customFormat="1" ht="15" customHeight="1" outlineLevel="4">
      <c r="A105" s="178" t="s">
        <v>3500</v>
      </c>
      <c r="B105" s="165" t="str">
        <f t="shared" ref="B105:E136" si="3">B104</f>
        <v>ع</v>
      </c>
      <c r="C105" s="164" t="str">
        <f t="shared" si="3"/>
        <v>ع2</v>
      </c>
      <c r="D105" s="164" t="str">
        <f t="shared" si="3"/>
        <v>ع2-3</v>
      </c>
      <c r="E105" s="164" t="str">
        <f t="shared" si="3"/>
        <v>ع2-3-1</v>
      </c>
      <c r="F105" s="171" t="s">
        <v>2772</v>
      </c>
      <c r="G105" s="381" t="s">
        <v>2771</v>
      </c>
      <c r="H105" s="381"/>
      <c r="I105" s="381"/>
      <c r="J105" s="381"/>
      <c r="K105" s="381"/>
      <c r="L105" s="381"/>
      <c r="M105" s="381"/>
      <c r="N105" s="381"/>
      <c r="O105" s="381"/>
      <c r="P105" s="381"/>
      <c r="Q105" s="381"/>
      <c r="R105" s="381"/>
      <c r="S105" s="381"/>
      <c r="T105" s="381"/>
      <c r="U105" s="381"/>
      <c r="V105" s="381"/>
      <c r="W105" s="381"/>
      <c r="X105" s="381"/>
      <c r="Y105" s="381"/>
      <c r="Z105" s="381"/>
      <c r="AA105" s="381"/>
      <c r="AB105" s="250">
        <v>1</v>
      </c>
      <c r="AC105" s="250"/>
      <c r="AD105" s="250"/>
      <c r="AE105" s="250"/>
      <c r="AF105" s="294" t="s">
        <v>2535</v>
      </c>
      <c r="AG105" s="279" t="s">
        <v>2152</v>
      </c>
      <c r="AH105" s="292" t="s">
        <v>2125</v>
      </c>
      <c r="AI105" s="292" t="s">
        <v>2124</v>
      </c>
      <c r="AJ105" s="279"/>
      <c r="AK105" s="279"/>
    </row>
    <row r="106" spans="1:37" s="178" customFormat="1" ht="9" hidden="1" customHeight="1" outlineLevel="3" thickBot="1">
      <c r="B106" s="165" t="str">
        <f t="shared" si="3"/>
        <v>ع</v>
      </c>
      <c r="C106" s="164" t="str">
        <f t="shared" si="3"/>
        <v>ع2</v>
      </c>
      <c r="D106" s="164" t="str">
        <f t="shared" si="3"/>
        <v>ع2-3</v>
      </c>
      <c r="E106" s="164" t="str">
        <f t="shared" si="3"/>
        <v>ع2-3-1</v>
      </c>
      <c r="F106" s="171"/>
      <c r="G106" s="293"/>
      <c r="H106" s="293"/>
      <c r="I106" s="293"/>
      <c r="J106" s="293"/>
      <c r="K106" s="293"/>
      <c r="L106" s="293"/>
      <c r="M106" s="293"/>
      <c r="N106" s="293"/>
      <c r="O106" s="293"/>
      <c r="P106" s="293"/>
      <c r="Q106" s="293"/>
      <c r="R106" s="293"/>
      <c r="S106" s="293"/>
      <c r="T106" s="293"/>
      <c r="U106" s="293"/>
      <c r="V106" s="293"/>
      <c r="W106" s="293"/>
      <c r="X106" s="293"/>
      <c r="Y106" s="293"/>
      <c r="Z106" s="293"/>
      <c r="AA106" s="293"/>
      <c r="AB106" s="250"/>
      <c r="AC106" s="250"/>
      <c r="AD106" s="250"/>
      <c r="AE106" s="250"/>
      <c r="AF106" s="294" t="s">
        <v>2535</v>
      </c>
      <c r="AG106" s="279"/>
      <c r="AH106" s="292" t="s">
        <v>2125</v>
      </c>
      <c r="AI106" s="292" t="s">
        <v>2124</v>
      </c>
      <c r="AJ106" s="279"/>
      <c r="AK106" s="279"/>
    </row>
    <row r="107" spans="1:37" s="178" customFormat="1" ht="12.6" hidden="1" customHeight="1" outlineLevel="3" thickTop="1" thickBot="1">
      <c r="A107" s="178" t="s">
        <v>189</v>
      </c>
      <c r="B107" s="165" t="str">
        <f t="shared" si="3"/>
        <v>ع</v>
      </c>
      <c r="C107" s="164" t="str">
        <f t="shared" si="3"/>
        <v>ع2</v>
      </c>
      <c r="D107" s="184" t="str">
        <f t="shared" si="3"/>
        <v>ع2-3</v>
      </c>
      <c r="E107" s="183" t="s">
        <v>2770</v>
      </c>
      <c r="F107" s="183" t="s">
        <v>2770</v>
      </c>
      <c r="G107" s="384" t="s">
        <v>2769</v>
      </c>
      <c r="H107" s="384"/>
      <c r="I107" s="384"/>
      <c r="J107" s="384"/>
      <c r="K107" s="384"/>
      <c r="L107" s="384"/>
      <c r="M107" s="384"/>
      <c r="N107" s="384"/>
      <c r="O107" s="384"/>
      <c r="P107" s="384"/>
      <c r="Q107" s="384"/>
      <c r="R107" s="384"/>
      <c r="S107" s="384"/>
      <c r="T107" s="384"/>
      <c r="U107" s="384"/>
      <c r="V107" s="384"/>
      <c r="W107" s="384"/>
      <c r="X107" s="384"/>
      <c r="Y107" s="384"/>
      <c r="Z107" s="384"/>
      <c r="AA107" s="384"/>
      <c r="AB107" s="182" t="s">
        <v>2110</v>
      </c>
      <c r="AC107" s="181"/>
      <c r="AD107" s="181"/>
      <c r="AE107" s="181"/>
      <c r="AF107" s="294" t="s">
        <v>2768</v>
      </c>
      <c r="AG107" s="279"/>
      <c r="AH107" s="292" t="s">
        <v>2125</v>
      </c>
      <c r="AI107" s="292" t="s">
        <v>2124</v>
      </c>
      <c r="AJ107" s="279"/>
      <c r="AK107" s="279"/>
    </row>
    <row r="108" spans="1:37" s="178" customFormat="1" ht="15" customHeight="1" outlineLevel="4">
      <c r="A108" s="178" t="s">
        <v>3500</v>
      </c>
      <c r="B108" s="165" t="str">
        <f t="shared" si="3"/>
        <v>ع</v>
      </c>
      <c r="C108" s="164" t="str">
        <f t="shared" si="3"/>
        <v>ع2</v>
      </c>
      <c r="D108" s="164" t="str">
        <f t="shared" si="3"/>
        <v>ع2-3</v>
      </c>
      <c r="E108" s="164" t="str">
        <f>E107</f>
        <v>ع2-3-2</v>
      </c>
      <c r="F108" s="171" t="s">
        <v>2767</v>
      </c>
      <c r="G108" s="381" t="s">
        <v>2758</v>
      </c>
      <c r="H108" s="381"/>
      <c r="I108" s="381"/>
      <c r="J108" s="381"/>
      <c r="K108" s="381"/>
      <c r="L108" s="381"/>
      <c r="M108" s="381"/>
      <c r="N108" s="381"/>
      <c r="O108" s="381"/>
      <c r="P108" s="381"/>
      <c r="Q108" s="381"/>
      <c r="R108" s="381"/>
      <c r="S108" s="381"/>
      <c r="T108" s="381"/>
      <c r="U108" s="381"/>
      <c r="V108" s="381"/>
      <c r="W108" s="381"/>
      <c r="X108" s="381"/>
      <c r="Y108" s="381"/>
      <c r="Z108" s="381"/>
      <c r="AA108" s="381"/>
      <c r="AB108" s="250">
        <v>3</v>
      </c>
      <c r="AC108" s="250"/>
      <c r="AD108" s="250"/>
      <c r="AE108" s="250"/>
      <c r="AF108" s="294" t="s">
        <v>2535</v>
      </c>
      <c r="AG108" s="279"/>
      <c r="AH108" s="292" t="s">
        <v>2125</v>
      </c>
      <c r="AI108" s="292" t="s">
        <v>2124</v>
      </c>
      <c r="AJ108" s="279"/>
      <c r="AK108" s="279"/>
    </row>
    <row r="109" spans="1:37" s="178" customFormat="1" ht="9" hidden="1" customHeight="1" outlineLevel="3" thickBot="1">
      <c r="B109" s="165" t="str">
        <f t="shared" si="3"/>
        <v>ع</v>
      </c>
      <c r="C109" s="164" t="str">
        <f t="shared" si="3"/>
        <v>ع2</v>
      </c>
      <c r="D109" s="164" t="str">
        <f t="shared" si="3"/>
        <v>ع2-3</v>
      </c>
      <c r="E109" s="164" t="str">
        <f>E108</f>
        <v>ع2-3-2</v>
      </c>
      <c r="F109" s="171"/>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50"/>
      <c r="AC109" s="250"/>
      <c r="AD109" s="250"/>
      <c r="AE109" s="250"/>
      <c r="AF109" s="294" t="s">
        <v>2535</v>
      </c>
      <c r="AG109" s="279"/>
      <c r="AH109" s="292" t="s">
        <v>2125</v>
      </c>
      <c r="AI109" s="292" t="s">
        <v>2124</v>
      </c>
      <c r="AJ109" s="279"/>
      <c r="AK109" s="279"/>
    </row>
    <row r="110" spans="1:37" s="178" customFormat="1" ht="12.6" hidden="1" customHeight="1" outlineLevel="3" thickTop="1" thickBot="1">
      <c r="A110" s="178" t="s">
        <v>189</v>
      </c>
      <c r="B110" s="165" t="str">
        <f t="shared" si="3"/>
        <v>ع</v>
      </c>
      <c r="C110" s="164" t="str">
        <f t="shared" si="3"/>
        <v>ع2</v>
      </c>
      <c r="D110" s="184" t="str">
        <f t="shared" si="3"/>
        <v>ع2-3</v>
      </c>
      <c r="E110" s="183" t="s">
        <v>2766</v>
      </c>
      <c r="F110" s="183" t="s">
        <v>2766</v>
      </c>
      <c r="G110" s="384" t="s">
        <v>2765</v>
      </c>
      <c r="H110" s="384"/>
      <c r="I110" s="384"/>
      <c r="J110" s="384"/>
      <c r="K110" s="384"/>
      <c r="L110" s="384"/>
      <c r="M110" s="384"/>
      <c r="N110" s="384"/>
      <c r="O110" s="384"/>
      <c r="P110" s="384"/>
      <c r="Q110" s="384"/>
      <c r="R110" s="384"/>
      <c r="S110" s="384"/>
      <c r="T110" s="384"/>
      <c r="U110" s="384"/>
      <c r="V110" s="384"/>
      <c r="W110" s="384"/>
      <c r="X110" s="384"/>
      <c r="Y110" s="384"/>
      <c r="Z110" s="384"/>
      <c r="AA110" s="384"/>
      <c r="AB110" s="182" t="s">
        <v>2110</v>
      </c>
      <c r="AC110" s="181"/>
      <c r="AD110" s="181"/>
      <c r="AE110" s="181"/>
      <c r="AF110" s="294" t="s">
        <v>2764</v>
      </c>
      <c r="AG110" s="279"/>
      <c r="AH110" s="292" t="s">
        <v>2125</v>
      </c>
      <c r="AI110" s="292" t="s">
        <v>2124</v>
      </c>
      <c r="AJ110" s="279"/>
      <c r="AK110" s="279"/>
    </row>
    <row r="111" spans="1:37" s="178" customFormat="1" ht="15" customHeight="1" outlineLevel="4">
      <c r="A111" s="178" t="s">
        <v>3500</v>
      </c>
      <c r="B111" s="165" t="str">
        <f t="shared" si="3"/>
        <v>ع</v>
      </c>
      <c r="C111" s="164" t="str">
        <f t="shared" si="3"/>
        <v>ع2</v>
      </c>
      <c r="D111" s="164" t="str">
        <f t="shared" si="3"/>
        <v>ع2-3</v>
      </c>
      <c r="E111" s="164" t="str">
        <f>E110</f>
        <v>ع2-3-3</v>
      </c>
      <c r="F111" s="171" t="s">
        <v>2763</v>
      </c>
      <c r="G111" s="381" t="s">
        <v>2758</v>
      </c>
      <c r="H111" s="381"/>
      <c r="I111" s="381"/>
      <c r="J111" s="381"/>
      <c r="K111" s="381"/>
      <c r="L111" s="381"/>
      <c r="M111" s="381"/>
      <c r="N111" s="381"/>
      <c r="O111" s="381"/>
      <c r="P111" s="381"/>
      <c r="Q111" s="381"/>
      <c r="R111" s="381"/>
      <c r="S111" s="381"/>
      <c r="T111" s="381"/>
      <c r="U111" s="381"/>
      <c r="V111" s="381"/>
      <c r="W111" s="381"/>
      <c r="X111" s="381"/>
      <c r="Y111" s="381"/>
      <c r="Z111" s="381"/>
      <c r="AA111" s="381"/>
      <c r="AB111" s="250">
        <v>3</v>
      </c>
      <c r="AC111" s="250"/>
      <c r="AD111" s="250"/>
      <c r="AE111" s="250"/>
      <c r="AF111" s="294" t="s">
        <v>2535</v>
      </c>
      <c r="AG111" s="279"/>
      <c r="AH111" s="292" t="s">
        <v>2125</v>
      </c>
      <c r="AI111" s="292" t="s">
        <v>2124</v>
      </c>
      <c r="AJ111" s="279"/>
      <c r="AK111" s="279"/>
    </row>
    <row r="112" spans="1:37" s="178" customFormat="1" ht="9" hidden="1" customHeight="1" outlineLevel="3" thickBot="1">
      <c r="B112" s="165" t="str">
        <f t="shared" si="3"/>
        <v>ع</v>
      </c>
      <c r="C112" s="164" t="str">
        <f t="shared" si="3"/>
        <v>ع2</v>
      </c>
      <c r="D112" s="164" t="str">
        <f t="shared" si="3"/>
        <v>ع2-3</v>
      </c>
      <c r="E112" s="164" t="str">
        <f>E111</f>
        <v>ع2-3-3</v>
      </c>
      <c r="F112" s="171"/>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50"/>
      <c r="AC112" s="250"/>
      <c r="AD112" s="250"/>
      <c r="AE112" s="250"/>
      <c r="AF112" s="294" t="s">
        <v>2535</v>
      </c>
      <c r="AG112" s="279"/>
      <c r="AH112" s="292" t="s">
        <v>2125</v>
      </c>
      <c r="AI112" s="292" t="s">
        <v>2124</v>
      </c>
      <c r="AJ112" s="279"/>
      <c r="AK112" s="279"/>
    </row>
    <row r="113" spans="1:37" s="178" customFormat="1" ht="12.6" hidden="1" customHeight="1" outlineLevel="3" thickTop="1" thickBot="1">
      <c r="A113" s="178" t="s">
        <v>189</v>
      </c>
      <c r="B113" s="165" t="str">
        <f t="shared" si="3"/>
        <v>ع</v>
      </c>
      <c r="C113" s="164" t="str">
        <f t="shared" si="3"/>
        <v>ع2</v>
      </c>
      <c r="D113" s="184" t="str">
        <f t="shared" si="3"/>
        <v>ع2-3</v>
      </c>
      <c r="E113" s="183" t="s">
        <v>2762</v>
      </c>
      <c r="F113" s="183" t="s">
        <v>2762</v>
      </c>
      <c r="G113" s="384" t="s">
        <v>2761</v>
      </c>
      <c r="H113" s="384"/>
      <c r="I113" s="384"/>
      <c r="J113" s="384"/>
      <c r="K113" s="384"/>
      <c r="L113" s="384"/>
      <c r="M113" s="384"/>
      <c r="N113" s="384"/>
      <c r="O113" s="384"/>
      <c r="P113" s="384"/>
      <c r="Q113" s="384"/>
      <c r="R113" s="384"/>
      <c r="S113" s="384"/>
      <c r="T113" s="384"/>
      <c r="U113" s="384"/>
      <c r="V113" s="384"/>
      <c r="W113" s="384"/>
      <c r="X113" s="384"/>
      <c r="Y113" s="384"/>
      <c r="Z113" s="384"/>
      <c r="AA113" s="384"/>
      <c r="AB113" s="182" t="s">
        <v>2110</v>
      </c>
      <c r="AC113" s="181"/>
      <c r="AD113" s="181"/>
      <c r="AE113" s="181"/>
      <c r="AF113" s="294" t="s">
        <v>2760</v>
      </c>
      <c r="AG113" s="279"/>
      <c r="AH113" s="292" t="s">
        <v>2125</v>
      </c>
      <c r="AI113" s="292" t="s">
        <v>2124</v>
      </c>
      <c r="AJ113" s="279"/>
      <c r="AK113" s="279"/>
    </row>
    <row r="114" spans="1:37" s="178" customFormat="1" ht="15" customHeight="1" outlineLevel="4">
      <c r="A114" s="178" t="s">
        <v>3500</v>
      </c>
      <c r="B114" s="165" t="str">
        <f t="shared" si="3"/>
        <v>ع</v>
      </c>
      <c r="C114" s="164" t="str">
        <f t="shared" si="3"/>
        <v>ع2</v>
      </c>
      <c r="D114" s="164" t="str">
        <f t="shared" si="3"/>
        <v>ع2-3</v>
      </c>
      <c r="E114" s="164" t="str">
        <f>E113</f>
        <v>ع2-3-4</v>
      </c>
      <c r="F114" s="171" t="s">
        <v>2759</v>
      </c>
      <c r="G114" s="381" t="s">
        <v>2758</v>
      </c>
      <c r="H114" s="381"/>
      <c r="I114" s="381"/>
      <c r="J114" s="381"/>
      <c r="K114" s="381"/>
      <c r="L114" s="381"/>
      <c r="M114" s="381"/>
      <c r="N114" s="381"/>
      <c r="O114" s="381"/>
      <c r="P114" s="381"/>
      <c r="Q114" s="381"/>
      <c r="R114" s="381"/>
      <c r="S114" s="381"/>
      <c r="T114" s="381"/>
      <c r="U114" s="381"/>
      <c r="V114" s="381"/>
      <c r="W114" s="381"/>
      <c r="X114" s="381"/>
      <c r="Y114" s="381"/>
      <c r="Z114" s="381"/>
      <c r="AA114" s="381"/>
      <c r="AB114" s="250">
        <v>3</v>
      </c>
      <c r="AC114" s="250"/>
      <c r="AD114" s="250"/>
      <c r="AE114" s="250"/>
      <c r="AF114" s="294" t="s">
        <v>2535</v>
      </c>
      <c r="AG114" s="279"/>
      <c r="AH114" s="292" t="s">
        <v>2125</v>
      </c>
      <c r="AI114" s="292" t="s">
        <v>2124</v>
      </c>
      <c r="AJ114" s="279"/>
      <c r="AK114" s="279"/>
    </row>
    <row r="115" spans="1:37" s="178" customFormat="1" ht="9" hidden="1" customHeight="1" outlineLevel="3">
      <c r="B115" s="165" t="str">
        <f t="shared" si="3"/>
        <v>ع</v>
      </c>
      <c r="C115" s="164" t="str">
        <f t="shared" si="3"/>
        <v>ع2</v>
      </c>
      <c r="D115" s="164" t="str">
        <f t="shared" si="3"/>
        <v>ع2-3</v>
      </c>
      <c r="E115" s="164" t="str">
        <f>E114</f>
        <v>ع2-3-4</v>
      </c>
      <c r="F115" s="171"/>
      <c r="G115" s="293"/>
      <c r="H115" s="293"/>
      <c r="I115" s="293"/>
      <c r="J115" s="293"/>
      <c r="K115" s="293"/>
      <c r="L115" s="293"/>
      <c r="M115" s="293"/>
      <c r="N115" s="293"/>
      <c r="O115" s="293"/>
      <c r="P115" s="293"/>
      <c r="Q115" s="293"/>
      <c r="R115" s="293"/>
      <c r="S115" s="293"/>
      <c r="T115" s="293"/>
      <c r="U115" s="293"/>
      <c r="V115" s="293"/>
      <c r="W115" s="293"/>
      <c r="X115" s="293"/>
      <c r="Y115" s="293"/>
      <c r="Z115" s="293"/>
      <c r="AA115" s="293"/>
      <c r="AB115" s="250"/>
      <c r="AC115" s="250"/>
      <c r="AD115" s="250"/>
      <c r="AE115" s="250"/>
      <c r="AF115" s="294" t="s">
        <v>2535</v>
      </c>
      <c r="AG115" s="279"/>
      <c r="AH115" s="292" t="s">
        <v>2125</v>
      </c>
      <c r="AI115" s="292" t="s">
        <v>2124</v>
      </c>
      <c r="AJ115" s="279"/>
      <c r="AK115" s="279"/>
    </row>
    <row r="116" spans="1:37" s="178" customFormat="1" ht="9" hidden="1" customHeight="1" outlineLevel="2">
      <c r="B116" s="165" t="str">
        <f t="shared" si="3"/>
        <v>ع</v>
      </c>
      <c r="C116" s="164" t="str">
        <f t="shared" si="3"/>
        <v>ع2</v>
      </c>
      <c r="D116" s="164" t="str">
        <f t="shared" si="3"/>
        <v>ع2-3</v>
      </c>
      <c r="E116" s="164" t="str">
        <f>E115</f>
        <v>ع2-3-4</v>
      </c>
      <c r="F116" s="171"/>
      <c r="G116" s="293"/>
      <c r="H116" s="293"/>
      <c r="I116" s="293"/>
      <c r="J116" s="293"/>
      <c r="K116" s="293"/>
      <c r="L116" s="293"/>
      <c r="M116" s="293"/>
      <c r="N116" s="293"/>
      <c r="O116" s="293"/>
      <c r="P116" s="293"/>
      <c r="Q116" s="293"/>
      <c r="R116" s="293"/>
      <c r="S116" s="293"/>
      <c r="T116" s="293"/>
      <c r="U116" s="293"/>
      <c r="V116" s="293"/>
      <c r="W116" s="293"/>
      <c r="X116" s="293"/>
      <c r="Y116" s="293"/>
      <c r="Z116" s="293"/>
      <c r="AA116" s="293"/>
      <c r="AB116" s="250"/>
      <c r="AC116" s="250"/>
      <c r="AD116" s="250"/>
      <c r="AE116" s="250"/>
      <c r="AF116" s="294" t="s">
        <v>2535</v>
      </c>
      <c r="AG116" s="279"/>
      <c r="AH116" s="292" t="s">
        <v>2125</v>
      </c>
      <c r="AI116" s="292" t="s">
        <v>2124</v>
      </c>
      <c r="AJ116" s="279"/>
      <c r="AK116" s="279"/>
    </row>
    <row r="117" spans="1:37" s="178" customFormat="1" ht="15" hidden="1" customHeight="1" outlineLevel="2" thickBot="1">
      <c r="A117" s="264" t="s">
        <v>188</v>
      </c>
      <c r="B117" s="165" t="str">
        <f t="shared" si="3"/>
        <v>ع</v>
      </c>
      <c r="C117" s="164" t="str">
        <f t="shared" si="3"/>
        <v>ع2</v>
      </c>
      <c r="D117" s="189" t="s">
        <v>2757</v>
      </c>
      <c r="E117" s="189" t="s">
        <v>2757</v>
      </c>
      <c r="F117" s="189" t="s">
        <v>2757</v>
      </c>
      <c r="G117" s="383" t="s">
        <v>2756</v>
      </c>
      <c r="H117" s="383"/>
      <c r="I117" s="383"/>
      <c r="J117" s="383"/>
      <c r="K117" s="383"/>
      <c r="L117" s="383"/>
      <c r="M117" s="383"/>
      <c r="N117" s="383"/>
      <c r="O117" s="383"/>
      <c r="P117" s="383"/>
      <c r="Q117" s="383"/>
      <c r="R117" s="383"/>
      <c r="S117" s="383"/>
      <c r="T117" s="383"/>
      <c r="U117" s="383"/>
      <c r="V117" s="383"/>
      <c r="W117" s="383"/>
      <c r="X117" s="383"/>
      <c r="Y117" s="383"/>
      <c r="Z117" s="383"/>
      <c r="AA117" s="383"/>
      <c r="AB117" s="188"/>
      <c r="AC117" s="188"/>
      <c r="AD117" s="188"/>
      <c r="AE117" s="188"/>
      <c r="AF117" s="288" t="s">
        <v>2755</v>
      </c>
      <c r="AG117" s="289"/>
      <c r="AH117" s="290" t="s">
        <v>2125</v>
      </c>
      <c r="AI117" s="290" t="s">
        <v>2124</v>
      </c>
      <c r="AJ117" s="291">
        <v>1</v>
      </c>
      <c r="AK117" s="289"/>
    </row>
    <row r="118" spans="1:37" s="178" customFormat="1" ht="99.75" hidden="1" customHeight="1" outlineLevel="3" thickTop="1" thickBot="1">
      <c r="A118" s="178" t="s">
        <v>189</v>
      </c>
      <c r="B118" s="165" t="str">
        <f t="shared" si="3"/>
        <v>ع</v>
      </c>
      <c r="C118" s="164" t="str">
        <f t="shared" si="3"/>
        <v>ع2</v>
      </c>
      <c r="D118" s="184" t="str">
        <f t="shared" si="3"/>
        <v>ع2-4</v>
      </c>
      <c r="E118" s="183" t="s">
        <v>2754</v>
      </c>
      <c r="F118" s="183" t="s">
        <v>2754</v>
      </c>
      <c r="G118" s="384" t="s">
        <v>2753</v>
      </c>
      <c r="H118" s="384"/>
      <c r="I118" s="384"/>
      <c r="J118" s="384"/>
      <c r="K118" s="384"/>
      <c r="L118" s="384"/>
      <c r="M118" s="384"/>
      <c r="N118" s="384"/>
      <c r="O118" s="384"/>
      <c r="P118" s="384"/>
      <c r="Q118" s="384"/>
      <c r="R118" s="384"/>
      <c r="S118" s="384"/>
      <c r="T118" s="384"/>
      <c r="U118" s="384"/>
      <c r="V118" s="384"/>
      <c r="W118" s="384"/>
      <c r="X118" s="384"/>
      <c r="Y118" s="384"/>
      <c r="Z118" s="384"/>
      <c r="AA118" s="384"/>
      <c r="AB118" s="182" t="s">
        <v>2110</v>
      </c>
      <c r="AC118" s="181"/>
      <c r="AD118" s="181"/>
      <c r="AE118" s="181"/>
      <c r="AF118" s="294" t="s">
        <v>2752</v>
      </c>
      <c r="AG118" s="279" t="s">
        <v>2152</v>
      </c>
      <c r="AH118" s="292" t="s">
        <v>2125</v>
      </c>
      <c r="AI118" s="292" t="s">
        <v>2124</v>
      </c>
      <c r="AJ118" s="279"/>
      <c r="AK118" s="279"/>
    </row>
    <row r="119" spans="1:37" s="178" customFormat="1" ht="30" customHeight="1" outlineLevel="4">
      <c r="A119" s="178" t="s">
        <v>3500</v>
      </c>
      <c r="B119" s="165" t="str">
        <f t="shared" si="3"/>
        <v>ع</v>
      </c>
      <c r="C119" s="164" t="str">
        <f t="shared" si="3"/>
        <v>ع2</v>
      </c>
      <c r="D119" s="164" t="str">
        <f t="shared" si="3"/>
        <v>ع2-4</v>
      </c>
      <c r="E119" s="164" t="str">
        <f t="shared" si="3"/>
        <v>ع2-4-1</v>
      </c>
      <c r="F119" s="171" t="s">
        <v>2751</v>
      </c>
      <c r="G119" s="381" t="s">
        <v>2750</v>
      </c>
      <c r="H119" s="381"/>
      <c r="I119" s="381"/>
      <c r="J119" s="381"/>
      <c r="K119" s="381"/>
      <c r="L119" s="381"/>
      <c r="M119" s="381"/>
      <c r="N119" s="381"/>
      <c r="O119" s="381"/>
      <c r="P119" s="381"/>
      <c r="Q119" s="381"/>
      <c r="R119" s="381"/>
      <c r="S119" s="381"/>
      <c r="T119" s="381"/>
      <c r="U119" s="381"/>
      <c r="V119" s="381"/>
      <c r="W119" s="381"/>
      <c r="X119" s="381"/>
      <c r="Y119" s="381"/>
      <c r="Z119" s="381"/>
      <c r="AA119" s="381"/>
      <c r="AB119" s="250">
        <v>3</v>
      </c>
      <c r="AC119" s="250"/>
      <c r="AD119" s="250"/>
      <c r="AE119" s="250"/>
      <c r="AF119" s="294" t="s">
        <v>2535</v>
      </c>
      <c r="AG119" s="279" t="s">
        <v>2121</v>
      </c>
      <c r="AH119" s="292" t="s">
        <v>2125</v>
      </c>
      <c r="AI119" s="292" t="s">
        <v>2124</v>
      </c>
      <c r="AJ119" s="279"/>
      <c r="AK119" s="279"/>
    </row>
    <row r="120" spans="1:37" s="178" customFormat="1" ht="30" customHeight="1" outlineLevel="4">
      <c r="A120" s="178" t="s">
        <v>3500</v>
      </c>
      <c r="B120" s="165" t="str">
        <f t="shared" si="3"/>
        <v>ع</v>
      </c>
      <c r="C120" s="164" t="str">
        <f t="shared" si="3"/>
        <v>ع2</v>
      </c>
      <c r="D120" s="164" t="str">
        <f t="shared" si="3"/>
        <v>ع2-4</v>
      </c>
      <c r="E120" s="164" t="str">
        <f t="shared" si="3"/>
        <v>ع2-4-1</v>
      </c>
      <c r="F120" s="171" t="s">
        <v>2749</v>
      </c>
      <c r="G120" s="381" t="s">
        <v>2748</v>
      </c>
      <c r="H120" s="381"/>
      <c r="I120" s="381"/>
      <c r="J120" s="381"/>
      <c r="K120" s="381"/>
      <c r="L120" s="381"/>
      <c r="M120" s="381"/>
      <c r="N120" s="381"/>
      <c r="O120" s="381"/>
      <c r="P120" s="381"/>
      <c r="Q120" s="381"/>
      <c r="R120" s="381"/>
      <c r="S120" s="381"/>
      <c r="T120" s="381"/>
      <c r="U120" s="381"/>
      <c r="V120" s="381"/>
      <c r="W120" s="381"/>
      <c r="X120" s="381"/>
      <c r="Y120" s="381"/>
      <c r="Z120" s="381"/>
      <c r="AA120" s="381"/>
      <c r="AB120" s="250">
        <v>3</v>
      </c>
      <c r="AC120" s="250"/>
      <c r="AD120" s="250"/>
      <c r="AE120" s="250"/>
      <c r="AF120" s="294" t="s">
        <v>2535</v>
      </c>
      <c r="AG120" s="279" t="s">
        <v>2484</v>
      </c>
      <c r="AH120" s="292" t="s">
        <v>2125</v>
      </c>
      <c r="AI120" s="292" t="s">
        <v>2124</v>
      </c>
      <c r="AJ120" s="279"/>
      <c r="AK120" s="279"/>
    </row>
    <row r="121" spans="1:37" s="178" customFormat="1" ht="30" customHeight="1" outlineLevel="4">
      <c r="A121" s="178" t="s">
        <v>3500</v>
      </c>
      <c r="B121" s="165" t="str">
        <f t="shared" si="3"/>
        <v>ع</v>
      </c>
      <c r="C121" s="164" t="str">
        <f t="shared" si="3"/>
        <v>ع2</v>
      </c>
      <c r="D121" s="164" t="str">
        <f t="shared" si="3"/>
        <v>ع2-4</v>
      </c>
      <c r="E121" s="164" t="str">
        <f t="shared" si="3"/>
        <v>ع2-4-1</v>
      </c>
      <c r="F121" s="171" t="s">
        <v>2747</v>
      </c>
      <c r="G121" s="381" t="s">
        <v>2746</v>
      </c>
      <c r="H121" s="381"/>
      <c r="I121" s="381"/>
      <c r="J121" s="381"/>
      <c r="K121" s="381"/>
      <c r="L121" s="381"/>
      <c r="M121" s="381"/>
      <c r="N121" s="381"/>
      <c r="O121" s="381"/>
      <c r="P121" s="381"/>
      <c r="Q121" s="381"/>
      <c r="R121" s="381"/>
      <c r="S121" s="381"/>
      <c r="T121" s="381"/>
      <c r="U121" s="381"/>
      <c r="V121" s="381"/>
      <c r="W121" s="381"/>
      <c r="X121" s="381"/>
      <c r="Y121" s="381"/>
      <c r="Z121" s="381"/>
      <c r="AA121" s="381"/>
      <c r="AB121" s="250">
        <v>3</v>
      </c>
      <c r="AC121" s="250"/>
      <c r="AD121" s="250"/>
      <c r="AE121" s="250"/>
      <c r="AF121" s="294" t="s">
        <v>2535</v>
      </c>
      <c r="AG121" s="279" t="s">
        <v>2484</v>
      </c>
      <c r="AH121" s="292" t="s">
        <v>2125</v>
      </c>
      <c r="AI121" s="292" t="s">
        <v>2124</v>
      </c>
      <c r="AJ121" s="279"/>
      <c r="AK121" s="279"/>
    </row>
    <row r="122" spans="1:37" s="178" customFormat="1" ht="30" customHeight="1" outlineLevel="4">
      <c r="A122" s="178" t="s">
        <v>3500</v>
      </c>
      <c r="B122" s="165" t="str">
        <f t="shared" si="3"/>
        <v>ع</v>
      </c>
      <c r="C122" s="164" t="str">
        <f t="shared" si="3"/>
        <v>ع2</v>
      </c>
      <c r="D122" s="164" t="str">
        <f t="shared" si="3"/>
        <v>ع2-4</v>
      </c>
      <c r="E122" s="164" t="str">
        <f t="shared" si="3"/>
        <v>ع2-4-1</v>
      </c>
      <c r="F122" s="171" t="s">
        <v>2745</v>
      </c>
      <c r="G122" s="381" t="s">
        <v>2744</v>
      </c>
      <c r="H122" s="381"/>
      <c r="I122" s="381"/>
      <c r="J122" s="381"/>
      <c r="K122" s="381"/>
      <c r="L122" s="381"/>
      <c r="M122" s="381"/>
      <c r="N122" s="381"/>
      <c r="O122" s="381"/>
      <c r="P122" s="381"/>
      <c r="Q122" s="381"/>
      <c r="R122" s="381"/>
      <c r="S122" s="381"/>
      <c r="T122" s="381"/>
      <c r="U122" s="381"/>
      <c r="V122" s="381"/>
      <c r="W122" s="381"/>
      <c r="X122" s="381"/>
      <c r="Y122" s="381"/>
      <c r="Z122" s="381"/>
      <c r="AA122" s="381"/>
      <c r="AB122" s="250">
        <v>3</v>
      </c>
      <c r="AC122" s="250"/>
      <c r="AD122" s="250"/>
      <c r="AE122" s="250"/>
      <c r="AF122" s="294" t="s">
        <v>2535</v>
      </c>
      <c r="AG122" s="279" t="s">
        <v>2484</v>
      </c>
      <c r="AH122" s="292" t="s">
        <v>2125</v>
      </c>
      <c r="AI122" s="292" t="s">
        <v>2124</v>
      </c>
      <c r="AJ122" s="279"/>
      <c r="AK122" s="279"/>
    </row>
    <row r="123" spans="1:37" s="178" customFormat="1" ht="30" customHeight="1" outlineLevel="4">
      <c r="A123" s="178" t="s">
        <v>3500</v>
      </c>
      <c r="B123" s="165" t="str">
        <f t="shared" si="3"/>
        <v>ع</v>
      </c>
      <c r="C123" s="164" t="str">
        <f t="shared" si="3"/>
        <v>ع2</v>
      </c>
      <c r="D123" s="164" t="str">
        <f t="shared" si="3"/>
        <v>ع2-4</v>
      </c>
      <c r="E123" s="164" t="str">
        <f t="shared" si="3"/>
        <v>ع2-4-1</v>
      </c>
      <c r="F123" s="171" t="s">
        <v>2743</v>
      </c>
      <c r="G123" s="381" t="s">
        <v>2742</v>
      </c>
      <c r="H123" s="381"/>
      <c r="I123" s="381"/>
      <c r="J123" s="381"/>
      <c r="K123" s="381"/>
      <c r="L123" s="381"/>
      <c r="M123" s="381"/>
      <c r="N123" s="381"/>
      <c r="O123" s="381"/>
      <c r="P123" s="381"/>
      <c r="Q123" s="381"/>
      <c r="R123" s="381"/>
      <c r="S123" s="381"/>
      <c r="T123" s="381"/>
      <c r="U123" s="381"/>
      <c r="V123" s="381"/>
      <c r="W123" s="381"/>
      <c r="X123" s="381"/>
      <c r="Y123" s="381"/>
      <c r="Z123" s="381"/>
      <c r="AA123" s="381"/>
      <c r="AB123" s="250">
        <v>3</v>
      </c>
      <c r="AC123" s="250"/>
      <c r="AD123" s="250"/>
      <c r="AE123" s="250"/>
      <c r="AF123" s="294" t="s">
        <v>2535</v>
      </c>
      <c r="AG123" s="279" t="s">
        <v>2121</v>
      </c>
      <c r="AH123" s="292" t="s">
        <v>2125</v>
      </c>
      <c r="AI123" s="292" t="s">
        <v>2124</v>
      </c>
      <c r="AJ123" s="279"/>
      <c r="AK123" s="279"/>
    </row>
    <row r="124" spans="1:37" s="178" customFormat="1" ht="9" hidden="1" customHeight="1" outlineLevel="3">
      <c r="B124" s="165" t="str">
        <f t="shared" si="3"/>
        <v>ع</v>
      </c>
      <c r="C124" s="164" t="str">
        <f t="shared" si="3"/>
        <v>ع2</v>
      </c>
      <c r="D124" s="164" t="str">
        <f t="shared" si="3"/>
        <v>ع2-4</v>
      </c>
      <c r="E124" s="164" t="str">
        <f t="shared" si="3"/>
        <v>ع2-4-1</v>
      </c>
      <c r="F124" s="171"/>
      <c r="G124" s="293"/>
      <c r="H124" s="293"/>
      <c r="I124" s="293"/>
      <c r="J124" s="293"/>
      <c r="K124" s="293"/>
      <c r="L124" s="293"/>
      <c r="M124" s="293"/>
      <c r="N124" s="293"/>
      <c r="O124" s="293"/>
      <c r="P124" s="293"/>
      <c r="Q124" s="293"/>
      <c r="R124" s="293"/>
      <c r="S124" s="293"/>
      <c r="T124" s="293"/>
      <c r="U124" s="293"/>
      <c r="V124" s="293"/>
      <c r="W124" s="293"/>
      <c r="X124" s="293"/>
      <c r="Y124" s="293"/>
      <c r="Z124" s="293"/>
      <c r="AA124" s="293"/>
      <c r="AB124" s="250"/>
      <c r="AC124" s="250"/>
      <c r="AD124" s="250"/>
      <c r="AE124" s="250"/>
      <c r="AF124" s="294" t="s">
        <v>2535</v>
      </c>
      <c r="AG124" s="279"/>
      <c r="AH124" s="292" t="s">
        <v>2125</v>
      </c>
      <c r="AI124" s="292" t="s">
        <v>2124</v>
      </c>
      <c r="AJ124" s="279"/>
      <c r="AK124" s="279"/>
    </row>
    <row r="125" spans="1:37" s="178" customFormat="1" ht="9" hidden="1" customHeight="1" outlineLevel="2">
      <c r="B125" s="165" t="str">
        <f t="shared" si="3"/>
        <v>ع</v>
      </c>
      <c r="C125" s="164" t="str">
        <f t="shared" si="3"/>
        <v>ع2</v>
      </c>
      <c r="D125" s="164" t="str">
        <f t="shared" si="3"/>
        <v>ع2-4</v>
      </c>
      <c r="E125" s="164" t="str">
        <f t="shared" si="3"/>
        <v>ع2-4-1</v>
      </c>
      <c r="F125" s="171"/>
      <c r="G125" s="293"/>
      <c r="H125" s="293"/>
      <c r="I125" s="293"/>
      <c r="J125" s="293"/>
      <c r="K125" s="293"/>
      <c r="L125" s="293"/>
      <c r="M125" s="293"/>
      <c r="N125" s="293"/>
      <c r="O125" s="293"/>
      <c r="P125" s="293"/>
      <c r="Q125" s="293"/>
      <c r="R125" s="293"/>
      <c r="S125" s="293"/>
      <c r="T125" s="293"/>
      <c r="U125" s="293"/>
      <c r="V125" s="293"/>
      <c r="W125" s="293"/>
      <c r="X125" s="293"/>
      <c r="Y125" s="293"/>
      <c r="Z125" s="293"/>
      <c r="AA125" s="293"/>
      <c r="AB125" s="250"/>
      <c r="AC125" s="250"/>
      <c r="AD125" s="250"/>
      <c r="AE125" s="250"/>
      <c r="AF125" s="294" t="s">
        <v>2535</v>
      </c>
      <c r="AG125" s="279"/>
      <c r="AH125" s="292" t="s">
        <v>2125</v>
      </c>
      <c r="AI125" s="292" t="s">
        <v>2124</v>
      </c>
      <c r="AJ125" s="279"/>
      <c r="AK125" s="279"/>
    </row>
    <row r="126" spans="1:37" s="178" customFormat="1" ht="15" hidden="1" customHeight="1" outlineLevel="2" thickBot="1">
      <c r="A126" s="264" t="s">
        <v>188</v>
      </c>
      <c r="B126" s="165" t="str">
        <f t="shared" si="3"/>
        <v>ع</v>
      </c>
      <c r="C126" s="164" t="str">
        <f t="shared" si="3"/>
        <v>ع2</v>
      </c>
      <c r="D126" s="189" t="s">
        <v>2741</v>
      </c>
      <c r="E126" s="189" t="s">
        <v>2741</v>
      </c>
      <c r="F126" s="189" t="s">
        <v>2741</v>
      </c>
      <c r="G126" s="383" t="s">
        <v>2740</v>
      </c>
      <c r="H126" s="383"/>
      <c r="I126" s="383"/>
      <c r="J126" s="383"/>
      <c r="K126" s="383"/>
      <c r="L126" s="383"/>
      <c r="M126" s="383"/>
      <c r="N126" s="383"/>
      <c r="O126" s="383"/>
      <c r="P126" s="383"/>
      <c r="Q126" s="383"/>
      <c r="R126" s="383"/>
      <c r="S126" s="383"/>
      <c r="T126" s="383"/>
      <c r="U126" s="383"/>
      <c r="V126" s="383"/>
      <c r="W126" s="383"/>
      <c r="X126" s="383"/>
      <c r="Y126" s="383"/>
      <c r="Z126" s="383"/>
      <c r="AA126" s="383"/>
      <c r="AB126" s="188"/>
      <c r="AC126" s="188"/>
      <c r="AD126" s="188"/>
      <c r="AE126" s="188"/>
      <c r="AF126" s="288" t="s">
        <v>2739</v>
      </c>
      <c r="AG126" s="289" t="s">
        <v>2484</v>
      </c>
      <c r="AH126" s="290" t="s">
        <v>2125</v>
      </c>
      <c r="AI126" s="290" t="s">
        <v>2124</v>
      </c>
      <c r="AJ126" s="291">
        <v>1</v>
      </c>
      <c r="AK126" s="289"/>
    </row>
    <row r="127" spans="1:37" s="178" customFormat="1" ht="12.6" hidden="1" customHeight="1" outlineLevel="3" thickTop="1" thickBot="1">
      <c r="A127" s="178" t="s">
        <v>189</v>
      </c>
      <c r="B127" s="165" t="str">
        <f t="shared" si="3"/>
        <v>ع</v>
      </c>
      <c r="C127" s="164" t="str">
        <f t="shared" si="3"/>
        <v>ع2</v>
      </c>
      <c r="D127" s="184" t="str">
        <f t="shared" si="3"/>
        <v>ع2-5</v>
      </c>
      <c r="E127" s="183" t="s">
        <v>2738</v>
      </c>
      <c r="F127" s="183" t="s">
        <v>2738</v>
      </c>
      <c r="G127" s="384" t="s">
        <v>2737</v>
      </c>
      <c r="H127" s="384"/>
      <c r="I127" s="384"/>
      <c r="J127" s="384"/>
      <c r="K127" s="384"/>
      <c r="L127" s="384"/>
      <c r="M127" s="384"/>
      <c r="N127" s="384"/>
      <c r="O127" s="384"/>
      <c r="P127" s="384"/>
      <c r="Q127" s="384"/>
      <c r="R127" s="384"/>
      <c r="S127" s="384"/>
      <c r="T127" s="384"/>
      <c r="U127" s="384"/>
      <c r="V127" s="384"/>
      <c r="W127" s="384"/>
      <c r="X127" s="384"/>
      <c r="Y127" s="384"/>
      <c r="Z127" s="384"/>
      <c r="AA127" s="384"/>
      <c r="AB127" s="182" t="s">
        <v>2110</v>
      </c>
      <c r="AC127" s="181"/>
      <c r="AD127" s="181"/>
      <c r="AE127" s="181"/>
      <c r="AF127" s="294" t="s">
        <v>2535</v>
      </c>
      <c r="AG127" s="279" t="s">
        <v>2121</v>
      </c>
      <c r="AH127" s="292" t="s">
        <v>2125</v>
      </c>
      <c r="AI127" s="292" t="s">
        <v>2124</v>
      </c>
      <c r="AJ127" s="279"/>
      <c r="AK127" s="279"/>
    </row>
    <row r="128" spans="1:37" s="178" customFormat="1" ht="15" customHeight="1" outlineLevel="4">
      <c r="A128" s="178" t="s">
        <v>3500</v>
      </c>
      <c r="B128" s="165" t="str">
        <f t="shared" si="3"/>
        <v>ع</v>
      </c>
      <c r="C128" s="164" t="str">
        <f t="shared" si="3"/>
        <v>ع2</v>
      </c>
      <c r="D128" s="164" t="str">
        <f t="shared" si="3"/>
        <v>ع2-5</v>
      </c>
      <c r="E128" s="164" t="str">
        <f>E127</f>
        <v>ع2-5-1</v>
      </c>
      <c r="F128" s="171" t="s">
        <v>2736</v>
      </c>
      <c r="G128" s="381" t="s">
        <v>2735</v>
      </c>
      <c r="H128" s="381"/>
      <c r="I128" s="381"/>
      <c r="J128" s="381"/>
      <c r="K128" s="381"/>
      <c r="L128" s="381"/>
      <c r="M128" s="381"/>
      <c r="N128" s="381"/>
      <c r="O128" s="381"/>
      <c r="P128" s="381"/>
      <c r="Q128" s="381"/>
      <c r="R128" s="381"/>
      <c r="S128" s="381"/>
      <c r="T128" s="381"/>
      <c r="U128" s="381"/>
      <c r="V128" s="381"/>
      <c r="W128" s="381"/>
      <c r="X128" s="381"/>
      <c r="Y128" s="381"/>
      <c r="Z128" s="381"/>
      <c r="AA128" s="381"/>
      <c r="AB128" s="250">
        <v>3</v>
      </c>
      <c r="AC128" s="250"/>
      <c r="AD128" s="250"/>
      <c r="AE128" s="250"/>
      <c r="AF128" s="294" t="s">
        <v>2535</v>
      </c>
      <c r="AG128" s="279" t="s">
        <v>2484</v>
      </c>
      <c r="AH128" s="292" t="s">
        <v>2125</v>
      </c>
      <c r="AI128" s="292" t="s">
        <v>2124</v>
      </c>
      <c r="AJ128" s="279"/>
      <c r="AK128" s="279"/>
    </row>
    <row r="129" spans="1:37" s="178" customFormat="1" ht="15" customHeight="1" outlineLevel="4">
      <c r="A129" s="178" t="s">
        <v>3500</v>
      </c>
      <c r="B129" s="165" t="str">
        <f t="shared" si="3"/>
        <v>ع</v>
      </c>
      <c r="C129" s="164" t="str">
        <f t="shared" si="3"/>
        <v>ع2</v>
      </c>
      <c r="D129" s="164" t="str">
        <f t="shared" si="3"/>
        <v>ع2-5</v>
      </c>
      <c r="E129" s="164" t="str">
        <f>E128</f>
        <v>ع2-5-1</v>
      </c>
      <c r="F129" s="171" t="s">
        <v>2734</v>
      </c>
      <c r="G129" s="381" t="s">
        <v>2733</v>
      </c>
      <c r="H129" s="381"/>
      <c r="I129" s="381"/>
      <c r="J129" s="381"/>
      <c r="K129" s="381"/>
      <c r="L129" s="381"/>
      <c r="M129" s="381"/>
      <c r="N129" s="381"/>
      <c r="O129" s="381"/>
      <c r="P129" s="381"/>
      <c r="Q129" s="381"/>
      <c r="R129" s="381"/>
      <c r="S129" s="381"/>
      <c r="T129" s="381"/>
      <c r="U129" s="381"/>
      <c r="V129" s="381"/>
      <c r="W129" s="381"/>
      <c r="X129" s="381"/>
      <c r="Y129" s="381"/>
      <c r="Z129" s="381"/>
      <c r="AA129" s="381"/>
      <c r="AB129" s="250">
        <v>3</v>
      </c>
      <c r="AC129" s="250"/>
      <c r="AD129" s="250"/>
      <c r="AE129" s="250"/>
      <c r="AF129" s="294" t="s">
        <v>2535</v>
      </c>
      <c r="AG129" s="279" t="s">
        <v>2484</v>
      </c>
      <c r="AH129" s="292" t="s">
        <v>2125</v>
      </c>
      <c r="AI129" s="292" t="s">
        <v>2124</v>
      </c>
      <c r="AJ129" s="279"/>
      <c r="AK129" s="279"/>
    </row>
    <row r="130" spans="1:37" s="178" customFormat="1" ht="15" customHeight="1" outlineLevel="4">
      <c r="A130" s="178" t="s">
        <v>3500</v>
      </c>
      <c r="B130" s="165" t="str">
        <f t="shared" si="3"/>
        <v>ع</v>
      </c>
      <c r="C130" s="164" t="str">
        <f t="shared" si="3"/>
        <v>ع2</v>
      </c>
      <c r="D130" s="164" t="str">
        <f t="shared" si="3"/>
        <v>ع2-5</v>
      </c>
      <c r="E130" s="164" t="str">
        <f>E129</f>
        <v>ع2-5-1</v>
      </c>
      <c r="F130" s="171" t="s">
        <v>2732</v>
      </c>
      <c r="G130" s="381" t="s">
        <v>2731</v>
      </c>
      <c r="H130" s="381"/>
      <c r="I130" s="381"/>
      <c r="J130" s="381"/>
      <c r="K130" s="381"/>
      <c r="L130" s="381"/>
      <c r="M130" s="381"/>
      <c r="N130" s="381"/>
      <c r="O130" s="381"/>
      <c r="P130" s="381"/>
      <c r="Q130" s="381"/>
      <c r="R130" s="381"/>
      <c r="S130" s="381"/>
      <c r="T130" s="381"/>
      <c r="U130" s="381"/>
      <c r="V130" s="381"/>
      <c r="W130" s="381"/>
      <c r="X130" s="381"/>
      <c r="Y130" s="381"/>
      <c r="Z130" s="381"/>
      <c r="AA130" s="381"/>
      <c r="AB130" s="250">
        <v>3</v>
      </c>
      <c r="AC130" s="250"/>
      <c r="AD130" s="250"/>
      <c r="AE130" s="250"/>
      <c r="AF130" s="294" t="s">
        <v>2535</v>
      </c>
      <c r="AG130" s="279"/>
      <c r="AH130" s="292" t="s">
        <v>2125</v>
      </c>
      <c r="AI130" s="292" t="s">
        <v>2124</v>
      </c>
      <c r="AJ130" s="279"/>
      <c r="AK130" s="279"/>
    </row>
    <row r="131" spans="1:37" s="178" customFormat="1" ht="15" customHeight="1" outlineLevel="4">
      <c r="A131" s="178" t="s">
        <v>3500</v>
      </c>
      <c r="B131" s="165" t="str">
        <f t="shared" si="3"/>
        <v>ع</v>
      </c>
      <c r="C131" s="164" t="str">
        <f t="shared" si="3"/>
        <v>ع2</v>
      </c>
      <c r="D131" s="164" t="str">
        <f t="shared" si="3"/>
        <v>ع2-5</v>
      </c>
      <c r="E131" s="164" t="str">
        <f>E130</f>
        <v>ع2-5-1</v>
      </c>
      <c r="F131" s="171" t="s">
        <v>2730</v>
      </c>
      <c r="G131" s="381" t="s">
        <v>2729</v>
      </c>
      <c r="H131" s="381"/>
      <c r="I131" s="381"/>
      <c r="J131" s="381"/>
      <c r="K131" s="381"/>
      <c r="L131" s="381"/>
      <c r="M131" s="381"/>
      <c r="N131" s="381"/>
      <c r="O131" s="381"/>
      <c r="P131" s="381"/>
      <c r="Q131" s="381"/>
      <c r="R131" s="381"/>
      <c r="S131" s="381"/>
      <c r="T131" s="381"/>
      <c r="U131" s="381"/>
      <c r="V131" s="381"/>
      <c r="W131" s="381"/>
      <c r="X131" s="381"/>
      <c r="Y131" s="381"/>
      <c r="Z131" s="381"/>
      <c r="AA131" s="381"/>
      <c r="AB131" s="250">
        <v>3</v>
      </c>
      <c r="AC131" s="250"/>
      <c r="AD131" s="250"/>
      <c r="AE131" s="250"/>
      <c r="AF131" s="294" t="s">
        <v>2535</v>
      </c>
      <c r="AG131" s="279"/>
      <c r="AH131" s="292" t="s">
        <v>2125</v>
      </c>
      <c r="AI131" s="292" t="s">
        <v>2124</v>
      </c>
      <c r="AJ131" s="279"/>
      <c r="AK131" s="279"/>
    </row>
    <row r="132" spans="1:37" s="178" customFormat="1" ht="9" hidden="1" customHeight="1" outlineLevel="3" thickBot="1">
      <c r="B132" s="165" t="str">
        <f t="shared" si="3"/>
        <v>ع</v>
      </c>
      <c r="C132" s="164" t="str">
        <f t="shared" si="3"/>
        <v>ع2</v>
      </c>
      <c r="D132" s="164" t="str">
        <f t="shared" si="3"/>
        <v>ع2-5</v>
      </c>
      <c r="E132" s="164" t="str">
        <f>E131</f>
        <v>ع2-5-1</v>
      </c>
      <c r="F132" s="171"/>
      <c r="G132" s="293"/>
      <c r="H132" s="293"/>
      <c r="I132" s="293"/>
      <c r="J132" s="293"/>
      <c r="K132" s="293"/>
      <c r="L132" s="293"/>
      <c r="M132" s="293"/>
      <c r="N132" s="293"/>
      <c r="O132" s="293"/>
      <c r="P132" s="293"/>
      <c r="Q132" s="293"/>
      <c r="R132" s="293"/>
      <c r="S132" s="293"/>
      <c r="T132" s="293"/>
      <c r="U132" s="293"/>
      <c r="V132" s="293"/>
      <c r="W132" s="293"/>
      <c r="X132" s="293"/>
      <c r="Y132" s="293"/>
      <c r="Z132" s="293"/>
      <c r="AA132" s="293"/>
      <c r="AB132" s="250"/>
      <c r="AC132" s="250"/>
      <c r="AD132" s="250"/>
      <c r="AE132" s="250"/>
      <c r="AF132" s="294" t="s">
        <v>2535</v>
      </c>
      <c r="AG132" s="279"/>
      <c r="AH132" s="292" t="s">
        <v>2125</v>
      </c>
      <c r="AI132" s="292" t="s">
        <v>2124</v>
      </c>
      <c r="AJ132" s="279"/>
      <c r="AK132" s="279"/>
    </row>
    <row r="133" spans="1:37" s="178" customFormat="1" ht="12.6" hidden="1" customHeight="1" outlineLevel="3" thickTop="1" thickBot="1">
      <c r="A133" s="178" t="s">
        <v>189</v>
      </c>
      <c r="B133" s="165" t="str">
        <f t="shared" si="3"/>
        <v>ع</v>
      </c>
      <c r="C133" s="164" t="str">
        <f t="shared" si="3"/>
        <v>ع2</v>
      </c>
      <c r="D133" s="184" t="str">
        <f t="shared" si="3"/>
        <v>ع2-5</v>
      </c>
      <c r="E133" s="183" t="s">
        <v>2728</v>
      </c>
      <c r="F133" s="183" t="s">
        <v>2728</v>
      </c>
      <c r="G133" s="384" t="s">
        <v>2727</v>
      </c>
      <c r="H133" s="384"/>
      <c r="I133" s="384"/>
      <c r="J133" s="384"/>
      <c r="K133" s="384"/>
      <c r="L133" s="384"/>
      <c r="M133" s="384"/>
      <c r="N133" s="384"/>
      <c r="O133" s="384"/>
      <c r="P133" s="384"/>
      <c r="Q133" s="384"/>
      <c r="R133" s="384"/>
      <c r="S133" s="384"/>
      <c r="T133" s="384"/>
      <c r="U133" s="384"/>
      <c r="V133" s="384"/>
      <c r="W133" s="384"/>
      <c r="X133" s="384"/>
      <c r="Y133" s="384"/>
      <c r="Z133" s="384"/>
      <c r="AA133" s="384"/>
      <c r="AB133" s="182" t="s">
        <v>2110</v>
      </c>
      <c r="AC133" s="181"/>
      <c r="AD133" s="181"/>
      <c r="AE133" s="181"/>
      <c r="AF133" s="294" t="s">
        <v>2535</v>
      </c>
      <c r="AG133" s="279" t="s">
        <v>2121</v>
      </c>
      <c r="AH133" s="292" t="s">
        <v>2125</v>
      </c>
      <c r="AI133" s="292" t="s">
        <v>2124</v>
      </c>
      <c r="AJ133" s="279"/>
      <c r="AK133" s="279"/>
    </row>
    <row r="134" spans="1:37" s="178" customFormat="1" ht="15" customHeight="1" outlineLevel="4">
      <c r="A134" s="178" t="s">
        <v>3500</v>
      </c>
      <c r="B134" s="165" t="str">
        <f t="shared" si="3"/>
        <v>ع</v>
      </c>
      <c r="C134" s="164" t="str">
        <f t="shared" si="3"/>
        <v>ع2</v>
      </c>
      <c r="D134" s="164" t="str">
        <f t="shared" si="3"/>
        <v>ع2-5</v>
      </c>
      <c r="E134" s="164" t="str">
        <f>E133</f>
        <v>ع2-5-2</v>
      </c>
      <c r="F134" s="171" t="s">
        <v>2726</v>
      </c>
      <c r="G134" s="381" t="s">
        <v>2725</v>
      </c>
      <c r="H134" s="381"/>
      <c r="I134" s="381"/>
      <c r="J134" s="381"/>
      <c r="K134" s="381"/>
      <c r="L134" s="381"/>
      <c r="M134" s="381"/>
      <c r="N134" s="381"/>
      <c r="O134" s="381"/>
      <c r="P134" s="381"/>
      <c r="Q134" s="381"/>
      <c r="R134" s="381"/>
      <c r="S134" s="381"/>
      <c r="T134" s="381"/>
      <c r="U134" s="381"/>
      <c r="V134" s="381"/>
      <c r="W134" s="381"/>
      <c r="X134" s="381"/>
      <c r="Y134" s="381"/>
      <c r="Z134" s="381"/>
      <c r="AA134" s="381"/>
      <c r="AB134" s="250">
        <v>3</v>
      </c>
      <c r="AC134" s="250"/>
      <c r="AD134" s="250"/>
      <c r="AE134" s="250"/>
      <c r="AF134" s="294" t="s">
        <v>2535</v>
      </c>
      <c r="AG134" s="279"/>
      <c r="AH134" s="292" t="s">
        <v>2125</v>
      </c>
      <c r="AI134" s="292" t="s">
        <v>2124</v>
      </c>
      <c r="AJ134" s="279"/>
      <c r="AK134" s="279"/>
    </row>
    <row r="135" spans="1:37" s="178" customFormat="1" ht="15" customHeight="1" outlineLevel="4">
      <c r="A135" s="178" t="s">
        <v>3500</v>
      </c>
      <c r="B135" s="165" t="str">
        <f t="shared" si="3"/>
        <v>ع</v>
      </c>
      <c r="C135" s="164" t="str">
        <f t="shared" si="3"/>
        <v>ع2</v>
      </c>
      <c r="D135" s="164" t="str">
        <f t="shared" si="3"/>
        <v>ع2-5</v>
      </c>
      <c r="E135" s="164" t="str">
        <f>E134</f>
        <v>ع2-5-2</v>
      </c>
      <c r="F135" s="171" t="s">
        <v>2724</v>
      </c>
      <c r="G135" s="381" t="s">
        <v>2723</v>
      </c>
      <c r="H135" s="381"/>
      <c r="I135" s="381"/>
      <c r="J135" s="381"/>
      <c r="K135" s="381"/>
      <c r="L135" s="381"/>
      <c r="M135" s="381"/>
      <c r="N135" s="381"/>
      <c r="O135" s="381"/>
      <c r="P135" s="381"/>
      <c r="Q135" s="381"/>
      <c r="R135" s="381"/>
      <c r="S135" s="381"/>
      <c r="T135" s="381"/>
      <c r="U135" s="381"/>
      <c r="V135" s="381"/>
      <c r="W135" s="381"/>
      <c r="X135" s="381"/>
      <c r="Y135" s="381"/>
      <c r="Z135" s="381"/>
      <c r="AA135" s="381"/>
      <c r="AB135" s="250">
        <v>3</v>
      </c>
      <c r="AC135" s="250"/>
      <c r="AD135" s="250"/>
      <c r="AE135" s="250"/>
      <c r="AF135" s="294" t="s">
        <v>2535</v>
      </c>
      <c r="AG135" s="279"/>
      <c r="AH135" s="292" t="s">
        <v>2125</v>
      </c>
      <c r="AI135" s="292" t="s">
        <v>2124</v>
      </c>
      <c r="AJ135" s="279"/>
      <c r="AK135" s="279"/>
    </row>
    <row r="136" spans="1:37" s="178" customFormat="1" ht="15" customHeight="1" outlineLevel="4">
      <c r="A136" s="178" t="s">
        <v>3500</v>
      </c>
      <c r="B136" s="165" t="str">
        <f t="shared" si="3"/>
        <v>ع</v>
      </c>
      <c r="C136" s="164" t="str">
        <f t="shared" si="3"/>
        <v>ع2</v>
      </c>
      <c r="D136" s="164" t="str">
        <f t="shared" si="3"/>
        <v>ع2-5</v>
      </c>
      <c r="E136" s="164" t="str">
        <f>E135</f>
        <v>ع2-5-2</v>
      </c>
      <c r="F136" s="171" t="s">
        <v>2722</v>
      </c>
      <c r="G136" s="381" t="s">
        <v>2721</v>
      </c>
      <c r="H136" s="381"/>
      <c r="I136" s="381"/>
      <c r="J136" s="381"/>
      <c r="K136" s="381"/>
      <c r="L136" s="381"/>
      <c r="M136" s="381"/>
      <c r="N136" s="381"/>
      <c r="O136" s="381"/>
      <c r="P136" s="381"/>
      <c r="Q136" s="381"/>
      <c r="R136" s="381"/>
      <c r="S136" s="381"/>
      <c r="T136" s="381"/>
      <c r="U136" s="381"/>
      <c r="V136" s="381"/>
      <c r="W136" s="381"/>
      <c r="X136" s="381"/>
      <c r="Y136" s="381"/>
      <c r="Z136" s="381"/>
      <c r="AA136" s="381"/>
      <c r="AB136" s="250">
        <v>3</v>
      </c>
      <c r="AC136" s="250"/>
      <c r="AD136" s="250"/>
      <c r="AE136" s="250"/>
      <c r="AF136" s="294" t="s">
        <v>2535</v>
      </c>
      <c r="AG136" s="279"/>
      <c r="AH136" s="292" t="s">
        <v>2125</v>
      </c>
      <c r="AI136" s="292" t="s">
        <v>2124</v>
      </c>
      <c r="AJ136" s="279"/>
      <c r="AK136" s="279"/>
    </row>
    <row r="137" spans="1:37" s="178" customFormat="1" ht="9" hidden="1" customHeight="1" outlineLevel="3" thickBot="1">
      <c r="B137" s="165" t="str">
        <f t="shared" ref="B137:E152" si="4">B136</f>
        <v>ع</v>
      </c>
      <c r="C137" s="164" t="str">
        <f t="shared" si="4"/>
        <v>ع2</v>
      </c>
      <c r="D137" s="164" t="str">
        <f t="shared" si="4"/>
        <v>ع2-5</v>
      </c>
      <c r="E137" s="164" t="str">
        <f>E136</f>
        <v>ع2-5-2</v>
      </c>
      <c r="F137" s="171"/>
      <c r="G137" s="293"/>
      <c r="H137" s="293"/>
      <c r="I137" s="293"/>
      <c r="J137" s="293"/>
      <c r="K137" s="293"/>
      <c r="L137" s="293"/>
      <c r="M137" s="293"/>
      <c r="N137" s="293"/>
      <c r="O137" s="293"/>
      <c r="P137" s="293"/>
      <c r="Q137" s="293"/>
      <c r="R137" s="293"/>
      <c r="S137" s="293"/>
      <c r="T137" s="293"/>
      <c r="U137" s="293"/>
      <c r="V137" s="293"/>
      <c r="W137" s="293"/>
      <c r="X137" s="293"/>
      <c r="Y137" s="293"/>
      <c r="Z137" s="293"/>
      <c r="AA137" s="293"/>
      <c r="AB137" s="250"/>
      <c r="AC137" s="250"/>
      <c r="AD137" s="250"/>
      <c r="AE137" s="250"/>
      <c r="AF137" s="294" t="s">
        <v>2535</v>
      </c>
      <c r="AG137" s="279"/>
      <c r="AH137" s="292" t="s">
        <v>2125</v>
      </c>
      <c r="AI137" s="292" t="s">
        <v>2124</v>
      </c>
      <c r="AJ137" s="279"/>
      <c r="AK137" s="279"/>
    </row>
    <row r="138" spans="1:37" s="178" customFormat="1" ht="12.6" hidden="1" customHeight="1" outlineLevel="3" thickTop="1" thickBot="1">
      <c r="A138" s="178" t="s">
        <v>189</v>
      </c>
      <c r="B138" s="165" t="str">
        <f t="shared" si="4"/>
        <v>ع</v>
      </c>
      <c r="C138" s="164" t="str">
        <f t="shared" si="4"/>
        <v>ع2</v>
      </c>
      <c r="D138" s="184" t="str">
        <f t="shared" si="4"/>
        <v>ع2-5</v>
      </c>
      <c r="E138" s="183" t="s">
        <v>2720</v>
      </c>
      <c r="F138" s="183" t="s">
        <v>2720</v>
      </c>
      <c r="G138" s="384" t="s">
        <v>2719</v>
      </c>
      <c r="H138" s="384"/>
      <c r="I138" s="384"/>
      <c r="J138" s="384"/>
      <c r="K138" s="384"/>
      <c r="L138" s="384"/>
      <c r="M138" s="384"/>
      <c r="N138" s="384"/>
      <c r="O138" s="384"/>
      <c r="P138" s="384"/>
      <c r="Q138" s="384"/>
      <c r="R138" s="384"/>
      <c r="S138" s="384"/>
      <c r="T138" s="384"/>
      <c r="U138" s="384"/>
      <c r="V138" s="384"/>
      <c r="W138" s="384"/>
      <c r="X138" s="384"/>
      <c r="Y138" s="384"/>
      <c r="Z138" s="384"/>
      <c r="AA138" s="384"/>
      <c r="AB138" s="182" t="s">
        <v>2110</v>
      </c>
      <c r="AC138" s="181"/>
      <c r="AD138" s="181"/>
      <c r="AE138" s="181"/>
      <c r="AF138" s="294" t="s">
        <v>2535</v>
      </c>
      <c r="AG138" s="279" t="s">
        <v>2121</v>
      </c>
      <c r="AH138" s="292" t="s">
        <v>2125</v>
      </c>
      <c r="AI138" s="292" t="s">
        <v>2124</v>
      </c>
      <c r="AJ138" s="279"/>
      <c r="AK138" s="279"/>
    </row>
    <row r="139" spans="1:37" s="178" customFormat="1" ht="15" customHeight="1" outlineLevel="4">
      <c r="A139" s="178" t="s">
        <v>3500</v>
      </c>
      <c r="B139" s="165" t="str">
        <f t="shared" si="4"/>
        <v>ع</v>
      </c>
      <c r="C139" s="164" t="str">
        <f t="shared" si="4"/>
        <v>ع2</v>
      </c>
      <c r="D139" s="164" t="str">
        <f t="shared" si="4"/>
        <v>ع2-5</v>
      </c>
      <c r="E139" s="164" t="str">
        <f>E138</f>
        <v>ع2-5-3</v>
      </c>
      <c r="F139" s="171" t="s">
        <v>2718</v>
      </c>
      <c r="G139" s="381" t="s">
        <v>2717</v>
      </c>
      <c r="H139" s="381"/>
      <c r="I139" s="381"/>
      <c r="J139" s="381"/>
      <c r="K139" s="381"/>
      <c r="L139" s="381"/>
      <c r="M139" s="381"/>
      <c r="N139" s="381"/>
      <c r="O139" s="381"/>
      <c r="P139" s="381"/>
      <c r="Q139" s="381"/>
      <c r="R139" s="381"/>
      <c r="S139" s="381"/>
      <c r="T139" s="381"/>
      <c r="U139" s="381"/>
      <c r="V139" s="381"/>
      <c r="W139" s="381"/>
      <c r="X139" s="381"/>
      <c r="Y139" s="381"/>
      <c r="Z139" s="381"/>
      <c r="AA139" s="381"/>
      <c r="AB139" s="250">
        <v>3</v>
      </c>
      <c r="AC139" s="250"/>
      <c r="AD139" s="250"/>
      <c r="AE139" s="250"/>
      <c r="AF139" s="294" t="s">
        <v>2535</v>
      </c>
      <c r="AG139" s="279" t="s">
        <v>2484</v>
      </c>
      <c r="AH139" s="292" t="s">
        <v>2125</v>
      </c>
      <c r="AI139" s="292" t="s">
        <v>2124</v>
      </c>
      <c r="AJ139" s="279"/>
      <c r="AK139" s="279"/>
    </row>
    <row r="140" spans="1:37" s="178" customFormat="1" ht="15" customHeight="1" outlineLevel="4">
      <c r="A140" s="178" t="s">
        <v>3500</v>
      </c>
      <c r="B140" s="165" t="str">
        <f t="shared" si="4"/>
        <v>ع</v>
      </c>
      <c r="C140" s="164" t="str">
        <f t="shared" si="4"/>
        <v>ع2</v>
      </c>
      <c r="D140" s="164" t="str">
        <f t="shared" si="4"/>
        <v>ع2-5</v>
      </c>
      <c r="E140" s="164" t="str">
        <f>E139</f>
        <v>ع2-5-3</v>
      </c>
      <c r="F140" s="171" t="s">
        <v>2716</v>
      </c>
      <c r="G140" s="381" t="s">
        <v>2715</v>
      </c>
      <c r="H140" s="381"/>
      <c r="I140" s="381"/>
      <c r="J140" s="381"/>
      <c r="K140" s="381"/>
      <c r="L140" s="381"/>
      <c r="M140" s="381"/>
      <c r="N140" s="381"/>
      <c r="O140" s="381"/>
      <c r="P140" s="381"/>
      <c r="Q140" s="381"/>
      <c r="R140" s="381"/>
      <c r="S140" s="381"/>
      <c r="T140" s="381"/>
      <c r="U140" s="381"/>
      <c r="V140" s="381"/>
      <c r="W140" s="381"/>
      <c r="X140" s="381"/>
      <c r="Y140" s="381"/>
      <c r="Z140" s="381"/>
      <c r="AA140" s="381"/>
      <c r="AB140" s="250">
        <v>3</v>
      </c>
      <c r="AC140" s="250"/>
      <c r="AD140" s="250"/>
      <c r="AE140" s="250"/>
      <c r="AF140" s="294" t="s">
        <v>2535</v>
      </c>
      <c r="AG140" s="279" t="s">
        <v>2484</v>
      </c>
      <c r="AH140" s="292" t="s">
        <v>2125</v>
      </c>
      <c r="AI140" s="292" t="s">
        <v>2124</v>
      </c>
      <c r="AJ140" s="279"/>
      <c r="AK140" s="279"/>
    </row>
    <row r="141" spans="1:37" s="178" customFormat="1" ht="15" customHeight="1" outlineLevel="4">
      <c r="A141" s="178" t="s">
        <v>3500</v>
      </c>
      <c r="B141" s="165" t="str">
        <f t="shared" si="4"/>
        <v>ع</v>
      </c>
      <c r="C141" s="164" t="str">
        <f t="shared" si="4"/>
        <v>ع2</v>
      </c>
      <c r="D141" s="164" t="str">
        <f t="shared" si="4"/>
        <v>ع2-5</v>
      </c>
      <c r="E141" s="164" t="str">
        <f>E140</f>
        <v>ع2-5-3</v>
      </c>
      <c r="F141" s="171" t="s">
        <v>2714</v>
      </c>
      <c r="G141" s="381" t="s">
        <v>2713</v>
      </c>
      <c r="H141" s="381"/>
      <c r="I141" s="381"/>
      <c r="J141" s="381"/>
      <c r="K141" s="381"/>
      <c r="L141" s="381"/>
      <c r="M141" s="381"/>
      <c r="N141" s="381"/>
      <c r="O141" s="381"/>
      <c r="P141" s="381"/>
      <c r="Q141" s="381"/>
      <c r="R141" s="381"/>
      <c r="S141" s="381"/>
      <c r="T141" s="381"/>
      <c r="U141" s="381"/>
      <c r="V141" s="381"/>
      <c r="W141" s="381"/>
      <c r="X141" s="381"/>
      <c r="Y141" s="381"/>
      <c r="Z141" s="381"/>
      <c r="AA141" s="381"/>
      <c r="AB141" s="250">
        <v>3</v>
      </c>
      <c r="AC141" s="250"/>
      <c r="AD141" s="250"/>
      <c r="AE141" s="250"/>
      <c r="AF141" s="294" t="s">
        <v>2535</v>
      </c>
      <c r="AG141" s="279" t="s">
        <v>2484</v>
      </c>
      <c r="AH141" s="292" t="s">
        <v>2125</v>
      </c>
      <c r="AI141" s="292" t="s">
        <v>2124</v>
      </c>
      <c r="AJ141" s="279"/>
      <c r="AK141" s="279"/>
    </row>
    <row r="142" spans="1:37" s="178" customFormat="1" ht="9" hidden="1" customHeight="1" outlineLevel="3" thickBot="1">
      <c r="B142" s="165" t="str">
        <f t="shared" si="4"/>
        <v>ع</v>
      </c>
      <c r="C142" s="164" t="str">
        <f t="shared" si="4"/>
        <v>ع2</v>
      </c>
      <c r="D142" s="164" t="str">
        <f t="shared" si="4"/>
        <v>ع2-5</v>
      </c>
      <c r="E142" s="164" t="str">
        <f>E141</f>
        <v>ع2-5-3</v>
      </c>
      <c r="F142" s="171"/>
      <c r="G142" s="293"/>
      <c r="H142" s="293"/>
      <c r="I142" s="293"/>
      <c r="J142" s="293"/>
      <c r="K142" s="293"/>
      <c r="L142" s="293"/>
      <c r="M142" s="293"/>
      <c r="N142" s="293"/>
      <c r="O142" s="293"/>
      <c r="P142" s="293"/>
      <c r="Q142" s="293"/>
      <c r="R142" s="293"/>
      <c r="S142" s="293"/>
      <c r="T142" s="293"/>
      <c r="U142" s="293"/>
      <c r="V142" s="293"/>
      <c r="W142" s="293"/>
      <c r="X142" s="293"/>
      <c r="Y142" s="293"/>
      <c r="Z142" s="293"/>
      <c r="AA142" s="293"/>
      <c r="AB142" s="250"/>
      <c r="AC142" s="250"/>
      <c r="AD142" s="250"/>
      <c r="AE142" s="250"/>
      <c r="AF142" s="294" t="s">
        <v>2535</v>
      </c>
      <c r="AG142" s="279"/>
      <c r="AH142" s="292" t="s">
        <v>2125</v>
      </c>
      <c r="AI142" s="292" t="s">
        <v>2124</v>
      </c>
      <c r="AJ142" s="279"/>
      <c r="AK142" s="279"/>
    </row>
    <row r="143" spans="1:37" s="178" customFormat="1" ht="12.6" hidden="1" customHeight="1" outlineLevel="3" thickTop="1" thickBot="1">
      <c r="A143" s="178" t="s">
        <v>189</v>
      </c>
      <c r="B143" s="165" t="str">
        <f t="shared" si="4"/>
        <v>ع</v>
      </c>
      <c r="C143" s="164" t="str">
        <f t="shared" si="4"/>
        <v>ع2</v>
      </c>
      <c r="D143" s="184" t="str">
        <f t="shared" si="4"/>
        <v>ع2-5</v>
      </c>
      <c r="E143" s="183" t="s">
        <v>2712</v>
      </c>
      <c r="F143" s="183" t="s">
        <v>2712</v>
      </c>
      <c r="G143" s="384" t="s">
        <v>2711</v>
      </c>
      <c r="H143" s="384"/>
      <c r="I143" s="384"/>
      <c r="J143" s="384"/>
      <c r="K143" s="384"/>
      <c r="L143" s="384"/>
      <c r="M143" s="384"/>
      <c r="N143" s="384"/>
      <c r="O143" s="384"/>
      <c r="P143" s="384"/>
      <c r="Q143" s="384"/>
      <c r="R143" s="384"/>
      <c r="S143" s="384"/>
      <c r="T143" s="384"/>
      <c r="U143" s="384"/>
      <c r="V143" s="384"/>
      <c r="W143" s="384"/>
      <c r="X143" s="384"/>
      <c r="Y143" s="384"/>
      <c r="Z143" s="384"/>
      <c r="AA143" s="384"/>
      <c r="AB143" s="182" t="s">
        <v>2110</v>
      </c>
      <c r="AC143" s="181"/>
      <c r="AD143" s="181"/>
      <c r="AE143" s="181"/>
      <c r="AF143" s="294" t="s">
        <v>2535</v>
      </c>
      <c r="AG143" s="279"/>
      <c r="AH143" s="292" t="s">
        <v>2125</v>
      </c>
      <c r="AI143" s="292" t="s">
        <v>2124</v>
      </c>
      <c r="AJ143" s="279"/>
      <c r="AK143" s="279"/>
    </row>
    <row r="144" spans="1:37" s="178" customFormat="1" ht="15" customHeight="1" outlineLevel="4">
      <c r="A144" s="178" t="s">
        <v>3500</v>
      </c>
      <c r="B144" s="165" t="str">
        <f t="shared" si="4"/>
        <v>ع</v>
      </c>
      <c r="C144" s="164" t="str">
        <f t="shared" si="4"/>
        <v>ع2</v>
      </c>
      <c r="D144" s="164" t="str">
        <f t="shared" si="4"/>
        <v>ع2-5</v>
      </c>
      <c r="E144" s="164" t="str">
        <f t="shared" si="4"/>
        <v>ع2-5-4</v>
      </c>
      <c r="F144" s="171" t="s">
        <v>2710</v>
      </c>
      <c r="G144" s="381" t="s">
        <v>2709</v>
      </c>
      <c r="H144" s="381"/>
      <c r="I144" s="381"/>
      <c r="J144" s="381"/>
      <c r="K144" s="381"/>
      <c r="L144" s="381"/>
      <c r="M144" s="381"/>
      <c r="N144" s="381"/>
      <c r="O144" s="381"/>
      <c r="P144" s="381"/>
      <c r="Q144" s="381"/>
      <c r="R144" s="381"/>
      <c r="S144" s="381"/>
      <c r="T144" s="381"/>
      <c r="U144" s="381"/>
      <c r="V144" s="381"/>
      <c r="W144" s="381"/>
      <c r="X144" s="381"/>
      <c r="Y144" s="381"/>
      <c r="Z144" s="381"/>
      <c r="AA144" s="381"/>
      <c r="AB144" s="250">
        <v>3</v>
      </c>
      <c r="AC144" s="250"/>
      <c r="AD144" s="250"/>
      <c r="AE144" s="250"/>
      <c r="AF144" s="294" t="s">
        <v>2535</v>
      </c>
      <c r="AG144" s="279"/>
      <c r="AH144" s="292" t="s">
        <v>2125</v>
      </c>
      <c r="AI144" s="292" t="s">
        <v>2124</v>
      </c>
      <c r="AJ144" s="279"/>
      <c r="AK144" s="279"/>
    </row>
    <row r="145" spans="1:37" s="178" customFormat="1" ht="15" customHeight="1" outlineLevel="4">
      <c r="A145" s="178" t="s">
        <v>3500</v>
      </c>
      <c r="B145" s="165" t="str">
        <f t="shared" si="4"/>
        <v>ع</v>
      </c>
      <c r="C145" s="164" t="str">
        <f t="shared" si="4"/>
        <v>ع2</v>
      </c>
      <c r="D145" s="164" t="str">
        <f t="shared" si="4"/>
        <v>ع2-5</v>
      </c>
      <c r="E145" s="164" t="str">
        <f t="shared" si="4"/>
        <v>ع2-5-4</v>
      </c>
      <c r="F145" s="171" t="s">
        <v>2708</v>
      </c>
      <c r="G145" s="381" t="s">
        <v>2707</v>
      </c>
      <c r="H145" s="381"/>
      <c r="I145" s="381"/>
      <c r="J145" s="381"/>
      <c r="K145" s="381"/>
      <c r="L145" s="381"/>
      <c r="M145" s="381"/>
      <c r="N145" s="381"/>
      <c r="O145" s="381"/>
      <c r="P145" s="381"/>
      <c r="Q145" s="381"/>
      <c r="R145" s="381"/>
      <c r="S145" s="381"/>
      <c r="T145" s="381"/>
      <c r="U145" s="381"/>
      <c r="V145" s="381"/>
      <c r="W145" s="381"/>
      <c r="X145" s="381"/>
      <c r="Y145" s="381"/>
      <c r="Z145" s="381"/>
      <c r="AA145" s="381"/>
      <c r="AB145" s="250">
        <v>3</v>
      </c>
      <c r="AC145" s="250"/>
      <c r="AD145" s="250"/>
      <c r="AE145" s="250"/>
      <c r="AF145" s="294" t="s">
        <v>2535</v>
      </c>
      <c r="AG145" s="279"/>
      <c r="AH145" s="292" t="s">
        <v>2125</v>
      </c>
      <c r="AI145" s="292" t="s">
        <v>2124</v>
      </c>
      <c r="AJ145" s="279"/>
      <c r="AK145" s="279"/>
    </row>
    <row r="146" spans="1:37" s="178" customFormat="1" ht="15" customHeight="1" outlineLevel="4">
      <c r="A146" s="178" t="s">
        <v>3500</v>
      </c>
      <c r="B146" s="165" t="str">
        <f t="shared" si="4"/>
        <v>ع</v>
      </c>
      <c r="C146" s="164" t="str">
        <f t="shared" si="4"/>
        <v>ع2</v>
      </c>
      <c r="D146" s="164" t="str">
        <f t="shared" si="4"/>
        <v>ع2-5</v>
      </c>
      <c r="E146" s="164" t="str">
        <f t="shared" si="4"/>
        <v>ع2-5-4</v>
      </c>
      <c r="F146" s="171" t="s">
        <v>2706</v>
      </c>
      <c r="G146" s="381" t="s">
        <v>2705</v>
      </c>
      <c r="H146" s="381"/>
      <c r="I146" s="381"/>
      <c r="J146" s="381"/>
      <c r="K146" s="381"/>
      <c r="L146" s="381"/>
      <c r="M146" s="381"/>
      <c r="N146" s="381"/>
      <c r="O146" s="381"/>
      <c r="P146" s="381"/>
      <c r="Q146" s="381"/>
      <c r="R146" s="381"/>
      <c r="S146" s="381"/>
      <c r="T146" s="381"/>
      <c r="U146" s="381"/>
      <c r="V146" s="381"/>
      <c r="W146" s="381"/>
      <c r="X146" s="381"/>
      <c r="Y146" s="381"/>
      <c r="Z146" s="381"/>
      <c r="AA146" s="381"/>
      <c r="AB146" s="250">
        <v>3</v>
      </c>
      <c r="AC146" s="250"/>
      <c r="AD146" s="250"/>
      <c r="AE146" s="250"/>
      <c r="AF146" s="294" t="s">
        <v>2535</v>
      </c>
      <c r="AG146" s="279"/>
      <c r="AH146" s="292" t="s">
        <v>2125</v>
      </c>
      <c r="AI146" s="292" t="s">
        <v>2124</v>
      </c>
      <c r="AJ146" s="279"/>
      <c r="AK146" s="279"/>
    </row>
    <row r="147" spans="1:37" s="178" customFormat="1" ht="15" customHeight="1" outlineLevel="4">
      <c r="A147" s="178" t="s">
        <v>3500</v>
      </c>
      <c r="B147" s="165" t="str">
        <f t="shared" si="4"/>
        <v>ع</v>
      </c>
      <c r="C147" s="164" t="str">
        <f t="shared" si="4"/>
        <v>ع2</v>
      </c>
      <c r="D147" s="164" t="str">
        <f t="shared" si="4"/>
        <v>ع2-5</v>
      </c>
      <c r="E147" s="164" t="str">
        <f t="shared" si="4"/>
        <v>ع2-5-4</v>
      </c>
      <c r="F147" s="171" t="s">
        <v>2704</v>
      </c>
      <c r="G147" s="381" t="s">
        <v>2703</v>
      </c>
      <c r="H147" s="381"/>
      <c r="I147" s="381"/>
      <c r="J147" s="381"/>
      <c r="K147" s="381"/>
      <c r="L147" s="381"/>
      <c r="M147" s="381"/>
      <c r="N147" s="381"/>
      <c r="O147" s="381"/>
      <c r="P147" s="381"/>
      <c r="Q147" s="381"/>
      <c r="R147" s="381"/>
      <c r="S147" s="381"/>
      <c r="T147" s="381"/>
      <c r="U147" s="381"/>
      <c r="V147" s="381"/>
      <c r="W147" s="381"/>
      <c r="X147" s="381"/>
      <c r="Y147" s="381"/>
      <c r="Z147" s="381"/>
      <c r="AA147" s="381"/>
      <c r="AB147" s="250">
        <v>3</v>
      </c>
      <c r="AC147" s="250"/>
      <c r="AD147" s="250"/>
      <c r="AE147" s="250"/>
      <c r="AF147" s="294" t="s">
        <v>2535</v>
      </c>
      <c r="AG147" s="279"/>
      <c r="AH147" s="292" t="s">
        <v>2125</v>
      </c>
      <c r="AI147" s="292" t="s">
        <v>2124</v>
      </c>
      <c r="AJ147" s="279"/>
      <c r="AK147" s="279"/>
    </row>
    <row r="148" spans="1:37" s="178" customFormat="1" ht="15" customHeight="1" outlineLevel="4">
      <c r="A148" s="178" t="s">
        <v>3500</v>
      </c>
      <c r="B148" s="165" t="str">
        <f t="shared" si="4"/>
        <v>ع</v>
      </c>
      <c r="C148" s="164" t="str">
        <f t="shared" si="4"/>
        <v>ع2</v>
      </c>
      <c r="D148" s="164" t="str">
        <f t="shared" si="4"/>
        <v>ع2-5</v>
      </c>
      <c r="E148" s="164" t="str">
        <f t="shared" si="4"/>
        <v>ع2-5-4</v>
      </c>
      <c r="F148" s="171" t="s">
        <v>2702</v>
      </c>
      <c r="G148" s="381" t="s">
        <v>2701</v>
      </c>
      <c r="H148" s="381"/>
      <c r="I148" s="381"/>
      <c r="J148" s="381"/>
      <c r="K148" s="381"/>
      <c r="L148" s="381"/>
      <c r="M148" s="381"/>
      <c r="N148" s="381"/>
      <c r="O148" s="381"/>
      <c r="P148" s="381"/>
      <c r="Q148" s="381"/>
      <c r="R148" s="381"/>
      <c r="S148" s="381"/>
      <c r="T148" s="381"/>
      <c r="U148" s="381"/>
      <c r="V148" s="381"/>
      <c r="W148" s="381"/>
      <c r="X148" s="381"/>
      <c r="Y148" s="381"/>
      <c r="Z148" s="381"/>
      <c r="AA148" s="381"/>
      <c r="AB148" s="250">
        <v>3</v>
      </c>
      <c r="AC148" s="250"/>
      <c r="AD148" s="250"/>
      <c r="AE148" s="250"/>
      <c r="AF148" s="294" t="s">
        <v>2535</v>
      </c>
      <c r="AG148" s="279"/>
      <c r="AH148" s="292" t="s">
        <v>2125</v>
      </c>
      <c r="AI148" s="292" t="s">
        <v>2124</v>
      </c>
      <c r="AJ148" s="279"/>
      <c r="AK148" s="279"/>
    </row>
    <row r="149" spans="1:37" s="178" customFormat="1" ht="9" hidden="1" customHeight="1" outlineLevel="3">
      <c r="B149" s="165" t="str">
        <f t="shared" si="4"/>
        <v>ع</v>
      </c>
      <c r="C149" s="164" t="str">
        <f t="shared" si="4"/>
        <v>ع2</v>
      </c>
      <c r="D149" s="164" t="str">
        <f t="shared" si="4"/>
        <v>ع2-5</v>
      </c>
      <c r="E149" s="164" t="str">
        <f t="shared" si="4"/>
        <v>ع2-5-4</v>
      </c>
      <c r="F149" s="171"/>
      <c r="G149" s="293"/>
      <c r="H149" s="293"/>
      <c r="I149" s="293"/>
      <c r="J149" s="293"/>
      <c r="K149" s="293"/>
      <c r="L149" s="293"/>
      <c r="M149" s="293"/>
      <c r="N149" s="293"/>
      <c r="O149" s="293"/>
      <c r="P149" s="293"/>
      <c r="Q149" s="293"/>
      <c r="R149" s="293"/>
      <c r="S149" s="293"/>
      <c r="T149" s="293"/>
      <c r="U149" s="293"/>
      <c r="V149" s="293"/>
      <c r="W149" s="293"/>
      <c r="X149" s="293"/>
      <c r="Y149" s="293"/>
      <c r="Z149" s="293"/>
      <c r="AA149" s="293"/>
      <c r="AB149" s="250"/>
      <c r="AC149" s="250"/>
      <c r="AD149" s="250"/>
      <c r="AE149" s="250"/>
      <c r="AF149" s="294" t="s">
        <v>2535</v>
      </c>
      <c r="AG149" s="279"/>
      <c r="AH149" s="292" t="s">
        <v>2125</v>
      </c>
      <c r="AI149" s="292" t="s">
        <v>2124</v>
      </c>
      <c r="AJ149" s="279"/>
      <c r="AK149" s="279"/>
    </row>
    <row r="150" spans="1:37" s="178" customFormat="1" ht="9" hidden="1" customHeight="1" outlineLevel="2">
      <c r="B150" s="165" t="str">
        <f t="shared" si="4"/>
        <v>ع</v>
      </c>
      <c r="C150" s="164" t="str">
        <f t="shared" si="4"/>
        <v>ع2</v>
      </c>
      <c r="D150" s="164" t="str">
        <f t="shared" si="4"/>
        <v>ع2-5</v>
      </c>
      <c r="E150" s="164" t="str">
        <f t="shared" si="4"/>
        <v>ع2-5-4</v>
      </c>
      <c r="F150" s="171"/>
      <c r="G150" s="293"/>
      <c r="H150" s="293"/>
      <c r="I150" s="293"/>
      <c r="J150" s="293"/>
      <c r="K150" s="293"/>
      <c r="L150" s="293"/>
      <c r="M150" s="293"/>
      <c r="N150" s="293"/>
      <c r="O150" s="293"/>
      <c r="P150" s="293"/>
      <c r="Q150" s="293"/>
      <c r="R150" s="293"/>
      <c r="S150" s="293"/>
      <c r="T150" s="293"/>
      <c r="U150" s="293"/>
      <c r="V150" s="293"/>
      <c r="W150" s="293"/>
      <c r="X150" s="293"/>
      <c r="Y150" s="293"/>
      <c r="Z150" s="293"/>
      <c r="AA150" s="293"/>
      <c r="AB150" s="250"/>
      <c r="AC150" s="250"/>
      <c r="AD150" s="250"/>
      <c r="AE150" s="250"/>
      <c r="AF150" s="294" t="s">
        <v>2535</v>
      </c>
      <c r="AG150" s="279"/>
      <c r="AH150" s="292" t="s">
        <v>2125</v>
      </c>
      <c r="AI150" s="292" t="s">
        <v>2124</v>
      </c>
      <c r="AJ150" s="279"/>
      <c r="AK150" s="279"/>
    </row>
    <row r="151" spans="1:37" s="178" customFormat="1" ht="9" hidden="1" customHeight="1" outlineLevel="1">
      <c r="B151" s="165" t="str">
        <f t="shared" si="4"/>
        <v>ع</v>
      </c>
      <c r="C151" s="164" t="str">
        <f t="shared" si="4"/>
        <v>ع2</v>
      </c>
      <c r="D151" s="164" t="str">
        <f t="shared" si="4"/>
        <v>ع2-5</v>
      </c>
      <c r="E151" s="164" t="str">
        <f t="shared" si="4"/>
        <v>ع2-5-4</v>
      </c>
      <c r="F151" s="171"/>
      <c r="G151" s="293"/>
      <c r="H151" s="293"/>
      <c r="I151" s="293"/>
      <c r="J151" s="293"/>
      <c r="K151" s="293"/>
      <c r="L151" s="293"/>
      <c r="M151" s="293"/>
      <c r="N151" s="293"/>
      <c r="O151" s="293"/>
      <c r="P151" s="293"/>
      <c r="Q151" s="293"/>
      <c r="R151" s="293"/>
      <c r="S151" s="293"/>
      <c r="T151" s="293"/>
      <c r="U151" s="293"/>
      <c r="V151" s="293"/>
      <c r="W151" s="293"/>
      <c r="X151" s="293"/>
      <c r="Y151" s="293"/>
      <c r="Z151" s="293"/>
      <c r="AA151" s="293"/>
      <c r="AB151" s="250"/>
      <c r="AC151" s="250"/>
      <c r="AD151" s="250"/>
      <c r="AE151" s="250"/>
      <c r="AF151" s="294" t="s">
        <v>2535</v>
      </c>
      <c r="AG151" s="279"/>
      <c r="AH151" s="292" t="s">
        <v>2125</v>
      </c>
      <c r="AI151" s="292" t="s">
        <v>2124</v>
      </c>
      <c r="AJ151" s="279"/>
      <c r="AK151" s="279"/>
    </row>
    <row r="152" spans="1:37" s="178" customFormat="1" ht="9" hidden="1" customHeight="1">
      <c r="B152" s="165" t="str">
        <f t="shared" si="4"/>
        <v>ع</v>
      </c>
      <c r="C152" s="164" t="str">
        <f t="shared" si="4"/>
        <v>ع2</v>
      </c>
      <c r="D152" s="164" t="str">
        <f t="shared" si="4"/>
        <v>ع2-5</v>
      </c>
      <c r="E152" s="164" t="str">
        <f t="shared" si="4"/>
        <v>ع2-5-4</v>
      </c>
      <c r="F152" s="171"/>
      <c r="G152" s="293"/>
      <c r="H152" s="293"/>
      <c r="I152" s="293"/>
      <c r="J152" s="293"/>
      <c r="K152" s="293"/>
      <c r="L152" s="293"/>
      <c r="M152" s="293"/>
      <c r="N152" s="293"/>
      <c r="O152" s="293"/>
      <c r="P152" s="293"/>
      <c r="Q152" s="293"/>
      <c r="R152" s="293"/>
      <c r="S152" s="293"/>
      <c r="T152" s="293"/>
      <c r="U152" s="293"/>
      <c r="V152" s="293"/>
      <c r="W152" s="293"/>
      <c r="X152" s="293"/>
      <c r="Y152" s="293"/>
      <c r="Z152" s="293"/>
      <c r="AA152" s="293"/>
      <c r="AB152" s="250"/>
      <c r="AC152" s="250"/>
      <c r="AD152" s="250"/>
      <c r="AE152" s="250"/>
      <c r="AF152" s="294" t="s">
        <v>2535</v>
      </c>
      <c r="AG152" s="279"/>
      <c r="AH152" s="292" t="s">
        <v>2125</v>
      </c>
      <c r="AI152" s="292" t="s">
        <v>2124</v>
      </c>
      <c r="AJ152" s="279"/>
      <c r="AK152" s="279"/>
    </row>
    <row r="153" spans="1:37" s="178" customFormat="1" ht="20.100000000000001" hidden="1" customHeight="1">
      <c r="A153" s="178" t="s">
        <v>186</v>
      </c>
      <c r="B153" s="259" t="s">
        <v>2043</v>
      </c>
      <c r="C153" s="259" t="s">
        <v>2043</v>
      </c>
      <c r="D153" s="259" t="s">
        <v>2043</v>
      </c>
      <c r="E153" s="259" t="s">
        <v>2043</v>
      </c>
      <c r="F153" s="259" t="s">
        <v>2043</v>
      </c>
      <c r="G153" s="368" t="s">
        <v>2700</v>
      </c>
      <c r="H153" s="369"/>
      <c r="I153" s="369"/>
      <c r="J153" s="369"/>
      <c r="K153" s="369"/>
      <c r="L153" s="369"/>
      <c r="M153" s="369"/>
      <c r="N153" s="369"/>
      <c r="O153" s="369"/>
      <c r="P153" s="369"/>
      <c r="Q153" s="369"/>
      <c r="R153" s="369"/>
      <c r="S153" s="369"/>
      <c r="T153" s="369"/>
      <c r="U153" s="369"/>
      <c r="V153" s="369"/>
      <c r="W153" s="369"/>
      <c r="X153" s="369"/>
      <c r="Y153" s="369"/>
      <c r="Z153" s="369"/>
      <c r="AA153" s="369"/>
      <c r="AB153" s="259"/>
      <c r="AC153" s="259"/>
      <c r="AD153" s="259"/>
      <c r="AE153" s="259"/>
      <c r="AF153" s="260">
        <v>2</v>
      </c>
      <c r="AG153" s="259"/>
      <c r="AH153" s="259"/>
      <c r="AI153" s="259"/>
      <c r="AJ153" s="259">
        <v>1</v>
      </c>
      <c r="AK153" s="259"/>
    </row>
    <row r="154" spans="1:37" s="178" customFormat="1" ht="17.45" hidden="1" customHeight="1" outlineLevel="1">
      <c r="A154" s="178" t="s">
        <v>187</v>
      </c>
      <c r="B154" s="165" t="str">
        <f t="shared" ref="B154:E217" si="5">B153</f>
        <v>ن</v>
      </c>
      <c r="C154" s="165" t="s">
        <v>2699</v>
      </c>
      <c r="D154" s="165" t="s">
        <v>2699</v>
      </c>
      <c r="E154" s="165" t="s">
        <v>2699</v>
      </c>
      <c r="F154" s="165" t="s">
        <v>2699</v>
      </c>
      <c r="G154" s="382" t="s">
        <v>2698</v>
      </c>
      <c r="H154" s="382"/>
      <c r="I154" s="382"/>
      <c r="J154" s="382"/>
      <c r="K154" s="382"/>
      <c r="L154" s="382"/>
      <c r="M154" s="382"/>
      <c r="N154" s="382"/>
      <c r="O154" s="382"/>
      <c r="P154" s="382"/>
      <c r="Q154" s="382"/>
      <c r="R154" s="382"/>
      <c r="S154" s="382"/>
      <c r="T154" s="382"/>
      <c r="U154" s="382"/>
      <c r="V154" s="382"/>
      <c r="W154" s="382"/>
      <c r="X154" s="382"/>
      <c r="Y154" s="382"/>
      <c r="Z154" s="382"/>
      <c r="AA154" s="382"/>
      <c r="AB154" s="194"/>
      <c r="AC154" s="194"/>
      <c r="AD154" s="194"/>
      <c r="AE154" s="194"/>
      <c r="AF154" s="193">
        <v>2.1</v>
      </c>
      <c r="AG154" s="286" t="s">
        <v>2152</v>
      </c>
      <c r="AH154" s="287" t="s">
        <v>2125</v>
      </c>
      <c r="AI154" s="287" t="s">
        <v>2124</v>
      </c>
      <c r="AJ154" s="291">
        <v>1</v>
      </c>
      <c r="AK154" s="286"/>
    </row>
    <row r="155" spans="1:37" s="178" customFormat="1" ht="15" hidden="1" customHeight="1" outlineLevel="2" thickBot="1">
      <c r="A155" s="264" t="s">
        <v>188</v>
      </c>
      <c r="B155" s="165" t="str">
        <f t="shared" si="5"/>
        <v>ن</v>
      </c>
      <c r="C155" s="164" t="str">
        <f t="shared" si="5"/>
        <v>ن1</v>
      </c>
      <c r="D155" s="189" t="s">
        <v>2697</v>
      </c>
      <c r="E155" s="189" t="s">
        <v>2697</v>
      </c>
      <c r="F155" s="189" t="s">
        <v>2697</v>
      </c>
      <c r="G155" s="383" t="s">
        <v>2696</v>
      </c>
      <c r="H155" s="383"/>
      <c r="I155" s="383"/>
      <c r="J155" s="383"/>
      <c r="K155" s="383"/>
      <c r="L155" s="383"/>
      <c r="M155" s="383"/>
      <c r="N155" s="383"/>
      <c r="O155" s="383"/>
      <c r="P155" s="383"/>
      <c r="Q155" s="383"/>
      <c r="R155" s="383"/>
      <c r="S155" s="383"/>
      <c r="T155" s="383"/>
      <c r="U155" s="383"/>
      <c r="V155" s="383"/>
      <c r="W155" s="383"/>
      <c r="X155" s="383"/>
      <c r="Y155" s="383"/>
      <c r="Z155" s="383"/>
      <c r="AA155" s="383"/>
      <c r="AB155" s="188"/>
      <c r="AC155" s="188"/>
      <c r="AD155" s="188"/>
      <c r="AE155" s="188"/>
      <c r="AF155" s="288" t="s">
        <v>585</v>
      </c>
      <c r="AG155" s="289" t="s">
        <v>2643</v>
      </c>
      <c r="AH155" s="290" t="s">
        <v>2125</v>
      </c>
      <c r="AI155" s="290" t="s">
        <v>2124</v>
      </c>
      <c r="AJ155" s="291">
        <v>1</v>
      </c>
      <c r="AK155" s="289"/>
    </row>
    <row r="156" spans="1:37" s="178" customFormat="1" ht="30" hidden="1" customHeight="1" outlineLevel="3" thickTop="1" thickBot="1">
      <c r="A156" s="178" t="s">
        <v>189</v>
      </c>
      <c r="B156" s="165" t="str">
        <f t="shared" si="5"/>
        <v>ن</v>
      </c>
      <c r="C156" s="164" t="str">
        <f t="shared" si="5"/>
        <v>ن1</v>
      </c>
      <c r="D156" s="184" t="str">
        <f t="shared" si="5"/>
        <v>ن1-1</v>
      </c>
      <c r="E156" s="183" t="s">
        <v>2695</v>
      </c>
      <c r="F156" s="183" t="s">
        <v>2695</v>
      </c>
      <c r="G156" s="384" t="s">
        <v>2694</v>
      </c>
      <c r="H156" s="384"/>
      <c r="I156" s="384"/>
      <c r="J156" s="384"/>
      <c r="K156" s="384"/>
      <c r="L156" s="384"/>
      <c r="M156" s="384"/>
      <c r="N156" s="384"/>
      <c r="O156" s="384"/>
      <c r="P156" s="384"/>
      <c r="Q156" s="384"/>
      <c r="R156" s="384"/>
      <c r="S156" s="384"/>
      <c r="T156" s="384"/>
      <c r="U156" s="384"/>
      <c r="V156" s="384"/>
      <c r="W156" s="384"/>
      <c r="X156" s="384"/>
      <c r="Y156" s="384"/>
      <c r="Z156" s="384"/>
      <c r="AA156" s="384"/>
      <c r="AB156" s="258" t="s">
        <v>2110</v>
      </c>
      <c r="AC156" s="256"/>
      <c r="AD156" s="256"/>
      <c r="AE156" s="256"/>
      <c r="AF156" s="294" t="s">
        <v>2642</v>
      </c>
      <c r="AG156" s="279" t="s">
        <v>2643</v>
      </c>
      <c r="AH156" s="280"/>
      <c r="AI156" s="280"/>
      <c r="AJ156" s="279"/>
      <c r="AK156" s="279"/>
    </row>
    <row r="157" spans="1:37" s="178" customFormat="1" ht="107.25" customHeight="1" outlineLevel="4">
      <c r="A157" s="178" t="s">
        <v>3500</v>
      </c>
      <c r="B157" s="165" t="str">
        <f t="shared" si="5"/>
        <v>ن</v>
      </c>
      <c r="C157" s="164" t="str">
        <f t="shared" si="5"/>
        <v>ن1</v>
      </c>
      <c r="D157" s="164" t="str">
        <f t="shared" si="5"/>
        <v>ن1-1</v>
      </c>
      <c r="E157" s="164" t="str">
        <f t="shared" si="5"/>
        <v>ن1-1-1</v>
      </c>
      <c r="F157" s="171" t="s">
        <v>2693</v>
      </c>
      <c r="G157" s="386" t="s">
        <v>2692</v>
      </c>
      <c r="H157" s="386"/>
      <c r="I157" s="386"/>
      <c r="J157" s="386"/>
      <c r="K157" s="386"/>
      <c r="L157" s="386"/>
      <c r="M157" s="386"/>
      <c r="N157" s="386"/>
      <c r="O157" s="386"/>
      <c r="P157" s="386"/>
      <c r="Q157" s="386"/>
      <c r="R157" s="386"/>
      <c r="S157" s="386"/>
      <c r="T157" s="386"/>
      <c r="U157" s="386"/>
      <c r="V157" s="386"/>
      <c r="W157" s="386"/>
      <c r="X157" s="386"/>
      <c r="Y157" s="386"/>
      <c r="Z157" s="386"/>
      <c r="AA157" s="386"/>
      <c r="AB157" s="250">
        <v>1</v>
      </c>
      <c r="AC157" s="250"/>
      <c r="AD157" s="250"/>
      <c r="AE157" s="250"/>
      <c r="AF157" s="294" t="s">
        <v>2642</v>
      </c>
      <c r="AG157" s="279" t="s">
        <v>2643</v>
      </c>
      <c r="AH157" s="280"/>
      <c r="AI157" s="280"/>
      <c r="AJ157" s="279"/>
      <c r="AK157" s="279"/>
    </row>
    <row r="158" spans="1:37" s="178" customFormat="1" ht="34.5" customHeight="1" outlineLevel="4">
      <c r="A158" s="178" t="s">
        <v>3500</v>
      </c>
      <c r="B158" s="165" t="str">
        <f t="shared" si="5"/>
        <v>ن</v>
      </c>
      <c r="C158" s="164" t="str">
        <f t="shared" si="5"/>
        <v>ن1</v>
      </c>
      <c r="D158" s="164" t="str">
        <f t="shared" si="5"/>
        <v>ن1-1</v>
      </c>
      <c r="E158" s="164" t="str">
        <f t="shared" si="5"/>
        <v>ن1-1-1</v>
      </c>
      <c r="F158" s="171" t="s">
        <v>2691</v>
      </c>
      <c r="G158" s="386" t="s">
        <v>2690</v>
      </c>
      <c r="H158" s="386"/>
      <c r="I158" s="386"/>
      <c r="J158" s="386"/>
      <c r="K158" s="386"/>
      <c r="L158" s="386"/>
      <c r="M158" s="386"/>
      <c r="N158" s="386"/>
      <c r="O158" s="386"/>
      <c r="P158" s="386"/>
      <c r="Q158" s="386"/>
      <c r="R158" s="386"/>
      <c r="S158" s="386"/>
      <c r="T158" s="386"/>
      <c r="U158" s="386"/>
      <c r="V158" s="386"/>
      <c r="W158" s="386"/>
      <c r="X158" s="386"/>
      <c r="Y158" s="386"/>
      <c r="Z158" s="386"/>
      <c r="AA158" s="386"/>
      <c r="AB158" s="250">
        <v>2</v>
      </c>
      <c r="AC158" s="250"/>
      <c r="AD158" s="250"/>
      <c r="AE158" s="250"/>
      <c r="AF158" s="294" t="s">
        <v>2642</v>
      </c>
      <c r="AG158" s="279" t="s">
        <v>2643</v>
      </c>
      <c r="AH158" s="280"/>
      <c r="AI158" s="280"/>
      <c r="AJ158" s="279"/>
      <c r="AK158" s="279"/>
    </row>
    <row r="159" spans="1:37" s="178" customFormat="1" ht="29.45" customHeight="1" outlineLevel="4">
      <c r="A159" s="178" t="s">
        <v>3500</v>
      </c>
      <c r="B159" s="165" t="str">
        <f t="shared" si="5"/>
        <v>ن</v>
      </c>
      <c r="C159" s="164" t="str">
        <f t="shared" si="5"/>
        <v>ن1</v>
      </c>
      <c r="D159" s="164" t="str">
        <f t="shared" si="5"/>
        <v>ن1-1</v>
      </c>
      <c r="E159" s="164" t="str">
        <f t="shared" si="5"/>
        <v>ن1-1-1</v>
      </c>
      <c r="F159" s="171" t="s">
        <v>2689</v>
      </c>
      <c r="G159" s="386" t="s">
        <v>2688</v>
      </c>
      <c r="H159" s="386"/>
      <c r="I159" s="386"/>
      <c r="J159" s="386"/>
      <c r="K159" s="386"/>
      <c r="L159" s="386"/>
      <c r="M159" s="386"/>
      <c r="N159" s="386"/>
      <c r="O159" s="386"/>
      <c r="P159" s="386"/>
      <c r="Q159" s="386"/>
      <c r="R159" s="386"/>
      <c r="S159" s="386"/>
      <c r="T159" s="386"/>
      <c r="U159" s="386"/>
      <c r="V159" s="386"/>
      <c r="W159" s="386"/>
      <c r="X159" s="386"/>
      <c r="Y159" s="386"/>
      <c r="Z159" s="386"/>
      <c r="AA159" s="386"/>
      <c r="AB159" s="250">
        <v>3</v>
      </c>
      <c r="AC159" s="250"/>
      <c r="AD159" s="250"/>
      <c r="AE159" s="250"/>
      <c r="AF159" s="294" t="s">
        <v>2642</v>
      </c>
      <c r="AG159" s="279"/>
      <c r="AH159" s="280"/>
      <c r="AI159" s="280"/>
      <c r="AJ159" s="279"/>
      <c r="AK159" s="279"/>
    </row>
    <row r="160" spans="1:37" s="178" customFormat="1" ht="35.450000000000003" customHeight="1" outlineLevel="4">
      <c r="A160" s="178" t="s">
        <v>3500</v>
      </c>
      <c r="B160" s="165" t="str">
        <f t="shared" si="5"/>
        <v>ن</v>
      </c>
      <c r="C160" s="164" t="str">
        <f t="shared" si="5"/>
        <v>ن1</v>
      </c>
      <c r="D160" s="164" t="str">
        <f t="shared" si="5"/>
        <v>ن1-1</v>
      </c>
      <c r="E160" s="164" t="str">
        <f t="shared" si="5"/>
        <v>ن1-1-1</v>
      </c>
      <c r="F160" s="171" t="s">
        <v>2687</v>
      </c>
      <c r="G160" s="386" t="s">
        <v>2686</v>
      </c>
      <c r="H160" s="386"/>
      <c r="I160" s="386"/>
      <c r="J160" s="386"/>
      <c r="K160" s="386"/>
      <c r="L160" s="386"/>
      <c r="M160" s="386"/>
      <c r="N160" s="386"/>
      <c r="O160" s="386"/>
      <c r="P160" s="386"/>
      <c r="Q160" s="386"/>
      <c r="R160" s="386"/>
      <c r="S160" s="386"/>
      <c r="T160" s="386"/>
      <c r="U160" s="386"/>
      <c r="V160" s="386"/>
      <c r="W160" s="386"/>
      <c r="X160" s="386"/>
      <c r="Y160" s="386"/>
      <c r="Z160" s="386"/>
      <c r="AA160" s="386"/>
      <c r="AB160" s="250">
        <v>1</v>
      </c>
      <c r="AC160" s="250"/>
      <c r="AD160" s="250"/>
      <c r="AE160" s="250"/>
      <c r="AF160" s="294" t="s">
        <v>2642</v>
      </c>
      <c r="AG160" s="279" t="s">
        <v>2152</v>
      </c>
      <c r="AH160" s="280"/>
      <c r="AI160" s="280"/>
      <c r="AJ160" s="279"/>
      <c r="AK160" s="279"/>
    </row>
    <row r="161" spans="1:37" s="178" customFormat="1" ht="15" customHeight="1" outlineLevel="4">
      <c r="A161" s="178" t="s">
        <v>3500</v>
      </c>
      <c r="B161" s="165" t="str">
        <f t="shared" si="5"/>
        <v>ن</v>
      </c>
      <c r="C161" s="164" t="str">
        <f t="shared" si="5"/>
        <v>ن1</v>
      </c>
      <c r="D161" s="164" t="str">
        <f t="shared" si="5"/>
        <v>ن1-1</v>
      </c>
      <c r="E161" s="164" t="str">
        <f t="shared" si="5"/>
        <v>ن1-1-1</v>
      </c>
      <c r="F161" s="171" t="s">
        <v>2685</v>
      </c>
      <c r="G161" s="386" t="s">
        <v>2684</v>
      </c>
      <c r="H161" s="386"/>
      <c r="I161" s="386"/>
      <c r="J161" s="386"/>
      <c r="K161" s="386"/>
      <c r="L161" s="386"/>
      <c r="M161" s="386"/>
      <c r="N161" s="386"/>
      <c r="O161" s="386"/>
      <c r="P161" s="386"/>
      <c r="Q161" s="386"/>
      <c r="R161" s="386"/>
      <c r="S161" s="386"/>
      <c r="T161" s="386"/>
      <c r="U161" s="386"/>
      <c r="V161" s="386"/>
      <c r="W161" s="386"/>
      <c r="X161" s="386"/>
      <c r="Y161" s="386"/>
      <c r="Z161" s="386"/>
      <c r="AA161" s="386"/>
      <c r="AB161" s="250">
        <v>1</v>
      </c>
      <c r="AC161" s="250"/>
      <c r="AD161" s="250"/>
      <c r="AE161" s="250"/>
      <c r="AF161" s="294" t="s">
        <v>2642</v>
      </c>
      <c r="AG161" s="279" t="s">
        <v>2152</v>
      </c>
      <c r="AH161" s="280"/>
      <c r="AI161" s="280"/>
      <c r="AJ161" s="279"/>
      <c r="AK161" s="279"/>
    </row>
    <row r="162" spans="1:37" s="178" customFormat="1" ht="15" customHeight="1" outlineLevel="4">
      <c r="A162" s="178" t="s">
        <v>3500</v>
      </c>
      <c r="B162" s="165" t="str">
        <f t="shared" si="5"/>
        <v>ن</v>
      </c>
      <c r="C162" s="164" t="str">
        <f t="shared" si="5"/>
        <v>ن1</v>
      </c>
      <c r="D162" s="164" t="str">
        <f t="shared" si="5"/>
        <v>ن1-1</v>
      </c>
      <c r="E162" s="164" t="str">
        <f t="shared" si="5"/>
        <v>ن1-1-1</v>
      </c>
      <c r="F162" s="171" t="s">
        <v>2683</v>
      </c>
      <c r="G162" s="386" t="s">
        <v>2682</v>
      </c>
      <c r="H162" s="386"/>
      <c r="I162" s="386"/>
      <c r="J162" s="386"/>
      <c r="K162" s="386"/>
      <c r="L162" s="386"/>
      <c r="M162" s="386"/>
      <c r="N162" s="386"/>
      <c r="O162" s="386"/>
      <c r="P162" s="386"/>
      <c r="Q162" s="386"/>
      <c r="R162" s="386"/>
      <c r="S162" s="386"/>
      <c r="T162" s="386"/>
      <c r="U162" s="386"/>
      <c r="V162" s="386"/>
      <c r="W162" s="386"/>
      <c r="X162" s="386"/>
      <c r="Y162" s="386"/>
      <c r="Z162" s="386"/>
      <c r="AA162" s="386"/>
      <c r="AB162" s="250">
        <v>1</v>
      </c>
      <c r="AC162" s="250"/>
      <c r="AD162" s="250"/>
      <c r="AE162" s="250"/>
      <c r="AF162" s="294" t="s">
        <v>2642</v>
      </c>
      <c r="AG162" s="279" t="s">
        <v>2152</v>
      </c>
      <c r="AH162" s="280"/>
      <c r="AI162" s="280"/>
      <c r="AJ162" s="279"/>
      <c r="AK162" s="279"/>
    </row>
    <row r="163" spans="1:37" s="178" customFormat="1" ht="15" customHeight="1" outlineLevel="4">
      <c r="A163" s="178" t="s">
        <v>3500</v>
      </c>
      <c r="B163" s="165" t="str">
        <f t="shared" si="5"/>
        <v>ن</v>
      </c>
      <c r="C163" s="164" t="str">
        <f t="shared" si="5"/>
        <v>ن1</v>
      </c>
      <c r="D163" s="164" t="str">
        <f t="shared" si="5"/>
        <v>ن1-1</v>
      </c>
      <c r="E163" s="164" t="str">
        <f t="shared" si="5"/>
        <v>ن1-1-1</v>
      </c>
      <c r="F163" s="171" t="s">
        <v>2681</v>
      </c>
      <c r="G163" s="386" t="s">
        <v>2680</v>
      </c>
      <c r="H163" s="386"/>
      <c r="I163" s="386"/>
      <c r="J163" s="386"/>
      <c r="K163" s="386"/>
      <c r="L163" s="386"/>
      <c r="M163" s="386"/>
      <c r="N163" s="386"/>
      <c r="O163" s="386"/>
      <c r="P163" s="386"/>
      <c r="Q163" s="386"/>
      <c r="R163" s="386"/>
      <c r="S163" s="386"/>
      <c r="T163" s="386"/>
      <c r="U163" s="386"/>
      <c r="V163" s="386"/>
      <c r="W163" s="386"/>
      <c r="X163" s="386"/>
      <c r="Y163" s="386"/>
      <c r="Z163" s="386"/>
      <c r="AA163" s="386"/>
      <c r="AB163" s="250">
        <v>1</v>
      </c>
      <c r="AC163" s="250"/>
      <c r="AD163" s="250"/>
      <c r="AE163" s="250"/>
      <c r="AF163" s="294" t="s">
        <v>2642</v>
      </c>
      <c r="AG163" s="279"/>
      <c r="AH163" s="280"/>
      <c r="AI163" s="280"/>
      <c r="AJ163" s="279"/>
      <c r="AK163" s="279"/>
    </row>
    <row r="164" spans="1:37" s="178" customFormat="1" ht="15" customHeight="1" outlineLevel="4">
      <c r="A164" s="178" t="s">
        <v>3500</v>
      </c>
      <c r="B164" s="165" t="str">
        <f t="shared" si="5"/>
        <v>ن</v>
      </c>
      <c r="C164" s="164" t="str">
        <f t="shared" si="5"/>
        <v>ن1</v>
      </c>
      <c r="D164" s="164" t="str">
        <f t="shared" si="5"/>
        <v>ن1-1</v>
      </c>
      <c r="E164" s="164" t="str">
        <f t="shared" si="5"/>
        <v>ن1-1-1</v>
      </c>
      <c r="F164" s="171" t="s">
        <v>2679</v>
      </c>
      <c r="G164" s="386" t="s">
        <v>2678</v>
      </c>
      <c r="H164" s="386"/>
      <c r="I164" s="386"/>
      <c r="J164" s="386"/>
      <c r="K164" s="386"/>
      <c r="L164" s="386"/>
      <c r="M164" s="386"/>
      <c r="N164" s="386"/>
      <c r="O164" s="386"/>
      <c r="P164" s="386"/>
      <c r="Q164" s="386"/>
      <c r="R164" s="386"/>
      <c r="S164" s="386"/>
      <c r="T164" s="386"/>
      <c r="U164" s="386"/>
      <c r="V164" s="386"/>
      <c r="W164" s="386"/>
      <c r="X164" s="386"/>
      <c r="Y164" s="386"/>
      <c r="Z164" s="386"/>
      <c r="AA164" s="386"/>
      <c r="AB164" s="250">
        <v>1</v>
      </c>
      <c r="AC164" s="250"/>
      <c r="AD164" s="250"/>
      <c r="AE164" s="250"/>
      <c r="AF164" s="294" t="s">
        <v>2642</v>
      </c>
      <c r="AG164" s="279"/>
      <c r="AH164" s="280"/>
      <c r="AI164" s="280"/>
      <c r="AJ164" s="279"/>
      <c r="AK164" s="279"/>
    </row>
    <row r="165" spans="1:37" s="178" customFormat="1" ht="15" customHeight="1" outlineLevel="4">
      <c r="A165" s="178" t="s">
        <v>3500</v>
      </c>
      <c r="B165" s="165" t="str">
        <f t="shared" si="5"/>
        <v>ن</v>
      </c>
      <c r="C165" s="164" t="str">
        <f t="shared" si="5"/>
        <v>ن1</v>
      </c>
      <c r="D165" s="164" t="str">
        <f t="shared" si="5"/>
        <v>ن1-1</v>
      </c>
      <c r="E165" s="164" t="str">
        <f t="shared" si="5"/>
        <v>ن1-1-1</v>
      </c>
      <c r="F165" s="171" t="s">
        <v>2677</v>
      </c>
      <c r="G165" s="386" t="s">
        <v>2676</v>
      </c>
      <c r="H165" s="386"/>
      <c r="I165" s="386"/>
      <c r="J165" s="386"/>
      <c r="K165" s="386"/>
      <c r="L165" s="386"/>
      <c r="M165" s="386"/>
      <c r="N165" s="386"/>
      <c r="O165" s="386"/>
      <c r="P165" s="386"/>
      <c r="Q165" s="386"/>
      <c r="R165" s="386"/>
      <c r="S165" s="386"/>
      <c r="T165" s="386"/>
      <c r="U165" s="386"/>
      <c r="V165" s="386"/>
      <c r="W165" s="386"/>
      <c r="X165" s="386"/>
      <c r="Y165" s="386"/>
      <c r="Z165" s="386"/>
      <c r="AA165" s="386"/>
      <c r="AB165" s="250">
        <v>1</v>
      </c>
      <c r="AC165" s="250"/>
      <c r="AD165" s="250"/>
      <c r="AE165" s="250"/>
      <c r="AF165" s="294" t="s">
        <v>2642</v>
      </c>
      <c r="AG165" s="279"/>
      <c r="AH165" s="280"/>
      <c r="AI165" s="280"/>
      <c r="AJ165" s="279"/>
      <c r="AK165" s="279"/>
    </row>
    <row r="166" spans="1:37" s="178" customFormat="1" ht="15" customHeight="1" outlineLevel="4">
      <c r="A166" s="178" t="s">
        <v>3500</v>
      </c>
      <c r="B166" s="165" t="str">
        <f t="shared" si="5"/>
        <v>ن</v>
      </c>
      <c r="C166" s="164" t="str">
        <f t="shared" si="5"/>
        <v>ن1</v>
      </c>
      <c r="D166" s="164" t="str">
        <f t="shared" si="5"/>
        <v>ن1-1</v>
      </c>
      <c r="E166" s="164" t="str">
        <f t="shared" si="5"/>
        <v>ن1-1-1</v>
      </c>
      <c r="F166" s="171" t="s">
        <v>2675</v>
      </c>
      <c r="G166" s="386" t="s">
        <v>2674</v>
      </c>
      <c r="H166" s="386"/>
      <c r="I166" s="386"/>
      <c r="J166" s="386"/>
      <c r="K166" s="386"/>
      <c r="L166" s="386"/>
      <c r="M166" s="386"/>
      <c r="N166" s="386"/>
      <c r="O166" s="386"/>
      <c r="P166" s="386"/>
      <c r="Q166" s="386"/>
      <c r="R166" s="386"/>
      <c r="S166" s="386"/>
      <c r="T166" s="386"/>
      <c r="U166" s="386"/>
      <c r="V166" s="386"/>
      <c r="W166" s="386"/>
      <c r="X166" s="386"/>
      <c r="Y166" s="386"/>
      <c r="Z166" s="386"/>
      <c r="AA166" s="386"/>
      <c r="AB166" s="250">
        <v>1</v>
      </c>
      <c r="AC166" s="250"/>
      <c r="AD166" s="250"/>
      <c r="AE166" s="250"/>
      <c r="AF166" s="294" t="s">
        <v>2642</v>
      </c>
      <c r="AG166" s="279" t="s">
        <v>2152</v>
      </c>
      <c r="AH166" s="280"/>
      <c r="AI166" s="280"/>
      <c r="AJ166" s="279"/>
      <c r="AK166" s="279"/>
    </row>
    <row r="167" spans="1:37" s="178" customFormat="1" ht="15" customHeight="1" outlineLevel="4">
      <c r="A167" s="178" t="s">
        <v>3500</v>
      </c>
      <c r="B167" s="165" t="str">
        <f t="shared" si="5"/>
        <v>ن</v>
      </c>
      <c r="C167" s="164" t="str">
        <f t="shared" si="5"/>
        <v>ن1</v>
      </c>
      <c r="D167" s="164" t="str">
        <f t="shared" si="5"/>
        <v>ن1-1</v>
      </c>
      <c r="E167" s="164" t="str">
        <f t="shared" si="5"/>
        <v>ن1-1-1</v>
      </c>
      <c r="F167" s="171" t="s">
        <v>2673</v>
      </c>
      <c r="G167" s="386" t="s">
        <v>2672</v>
      </c>
      <c r="H167" s="386"/>
      <c r="I167" s="386"/>
      <c r="J167" s="386"/>
      <c r="K167" s="386"/>
      <c r="L167" s="386"/>
      <c r="M167" s="386"/>
      <c r="N167" s="386"/>
      <c r="O167" s="386"/>
      <c r="P167" s="386"/>
      <c r="Q167" s="386"/>
      <c r="R167" s="386"/>
      <c r="S167" s="386"/>
      <c r="T167" s="386"/>
      <c r="U167" s="386"/>
      <c r="V167" s="386"/>
      <c r="W167" s="386"/>
      <c r="X167" s="386"/>
      <c r="Y167" s="386"/>
      <c r="Z167" s="386"/>
      <c r="AA167" s="386"/>
      <c r="AB167" s="250">
        <v>1</v>
      </c>
      <c r="AC167" s="250"/>
      <c r="AD167" s="250"/>
      <c r="AE167" s="250"/>
      <c r="AF167" s="294" t="s">
        <v>2642</v>
      </c>
      <c r="AG167" s="279" t="s">
        <v>2152</v>
      </c>
      <c r="AH167" s="280"/>
      <c r="AI167" s="280"/>
      <c r="AJ167" s="279"/>
      <c r="AK167" s="279"/>
    </row>
    <row r="168" spans="1:37" s="178" customFormat="1" ht="15" customHeight="1" outlineLevel="4">
      <c r="A168" s="178" t="s">
        <v>3500</v>
      </c>
      <c r="B168" s="165" t="str">
        <f t="shared" si="5"/>
        <v>ن</v>
      </c>
      <c r="C168" s="164" t="str">
        <f t="shared" si="5"/>
        <v>ن1</v>
      </c>
      <c r="D168" s="164" t="str">
        <f t="shared" si="5"/>
        <v>ن1-1</v>
      </c>
      <c r="E168" s="164" t="str">
        <f t="shared" si="5"/>
        <v>ن1-1-1</v>
      </c>
      <c r="F168" s="171" t="s">
        <v>2671</v>
      </c>
      <c r="G168" s="386" t="s">
        <v>2670</v>
      </c>
      <c r="H168" s="386"/>
      <c r="I168" s="386"/>
      <c r="J168" s="386"/>
      <c r="K168" s="386"/>
      <c r="L168" s="386"/>
      <c r="M168" s="386"/>
      <c r="N168" s="386"/>
      <c r="O168" s="386"/>
      <c r="P168" s="386"/>
      <c r="Q168" s="386"/>
      <c r="R168" s="386"/>
      <c r="S168" s="386"/>
      <c r="T168" s="386"/>
      <c r="U168" s="386"/>
      <c r="V168" s="386"/>
      <c r="W168" s="386"/>
      <c r="X168" s="386"/>
      <c r="Y168" s="386"/>
      <c r="Z168" s="386"/>
      <c r="AA168" s="386"/>
      <c r="AB168" s="250">
        <v>1</v>
      </c>
      <c r="AC168" s="250"/>
      <c r="AD168" s="250"/>
      <c r="AE168" s="250"/>
      <c r="AF168" s="294" t="s">
        <v>2642</v>
      </c>
      <c r="AG168" s="279" t="s">
        <v>2152</v>
      </c>
      <c r="AH168" s="280"/>
      <c r="AI168" s="280"/>
      <c r="AJ168" s="279"/>
      <c r="AK168" s="279"/>
    </row>
    <row r="169" spans="1:37" s="178" customFormat="1" ht="15" customHeight="1" outlineLevel="4">
      <c r="A169" s="178" t="s">
        <v>3500</v>
      </c>
      <c r="B169" s="165" t="str">
        <f t="shared" si="5"/>
        <v>ن</v>
      </c>
      <c r="C169" s="164" t="str">
        <f t="shared" si="5"/>
        <v>ن1</v>
      </c>
      <c r="D169" s="164" t="str">
        <f t="shared" si="5"/>
        <v>ن1-1</v>
      </c>
      <c r="E169" s="164" t="str">
        <f t="shared" si="5"/>
        <v>ن1-1-1</v>
      </c>
      <c r="F169" s="171" t="s">
        <v>2669</v>
      </c>
      <c r="G169" s="386" t="s">
        <v>2668</v>
      </c>
      <c r="H169" s="386"/>
      <c r="I169" s="386"/>
      <c r="J169" s="386"/>
      <c r="K169" s="386"/>
      <c r="L169" s="386"/>
      <c r="M169" s="386"/>
      <c r="N169" s="386"/>
      <c r="O169" s="386"/>
      <c r="P169" s="386"/>
      <c r="Q169" s="386"/>
      <c r="R169" s="386"/>
      <c r="S169" s="386"/>
      <c r="T169" s="386"/>
      <c r="U169" s="386"/>
      <c r="V169" s="386"/>
      <c r="W169" s="386"/>
      <c r="X169" s="386"/>
      <c r="Y169" s="386"/>
      <c r="Z169" s="386"/>
      <c r="AA169" s="386"/>
      <c r="AB169" s="250">
        <v>1</v>
      </c>
      <c r="AC169" s="250"/>
      <c r="AD169" s="250"/>
      <c r="AE169" s="250"/>
      <c r="AF169" s="294" t="s">
        <v>2642</v>
      </c>
      <c r="AG169" s="279" t="s">
        <v>2152</v>
      </c>
      <c r="AH169" s="280"/>
      <c r="AI169" s="280"/>
      <c r="AJ169" s="279"/>
      <c r="AK169" s="279"/>
    </row>
    <row r="170" spans="1:37" s="178" customFormat="1" ht="15" customHeight="1" outlineLevel="4">
      <c r="A170" s="178" t="s">
        <v>3500</v>
      </c>
      <c r="B170" s="165" t="str">
        <f t="shared" si="5"/>
        <v>ن</v>
      </c>
      <c r="C170" s="164" t="str">
        <f t="shared" si="5"/>
        <v>ن1</v>
      </c>
      <c r="D170" s="164" t="str">
        <f t="shared" si="5"/>
        <v>ن1-1</v>
      </c>
      <c r="E170" s="164" t="str">
        <f t="shared" si="5"/>
        <v>ن1-1-1</v>
      </c>
      <c r="F170" s="171" t="s">
        <v>2667</v>
      </c>
      <c r="G170" s="386" t="s">
        <v>2666</v>
      </c>
      <c r="H170" s="386"/>
      <c r="I170" s="386"/>
      <c r="J170" s="386"/>
      <c r="K170" s="386"/>
      <c r="L170" s="386"/>
      <c r="M170" s="386"/>
      <c r="N170" s="386"/>
      <c r="O170" s="386"/>
      <c r="P170" s="386"/>
      <c r="Q170" s="386"/>
      <c r="R170" s="386"/>
      <c r="S170" s="386"/>
      <c r="T170" s="386"/>
      <c r="U170" s="386"/>
      <c r="V170" s="386"/>
      <c r="W170" s="386"/>
      <c r="X170" s="386"/>
      <c r="Y170" s="386"/>
      <c r="Z170" s="386"/>
      <c r="AA170" s="386"/>
      <c r="AB170" s="250">
        <v>1</v>
      </c>
      <c r="AC170" s="250"/>
      <c r="AD170" s="250"/>
      <c r="AE170" s="250"/>
      <c r="AF170" s="294" t="s">
        <v>2642</v>
      </c>
      <c r="AG170" s="279" t="s">
        <v>2152</v>
      </c>
      <c r="AH170" s="280"/>
      <c r="AI170" s="280"/>
      <c r="AJ170" s="279"/>
      <c r="AK170" s="279"/>
    </row>
    <row r="171" spans="1:37" s="178" customFormat="1" ht="15" customHeight="1" outlineLevel="4">
      <c r="A171" s="178" t="s">
        <v>3500</v>
      </c>
      <c r="B171" s="165" t="str">
        <f t="shared" si="5"/>
        <v>ن</v>
      </c>
      <c r="C171" s="164" t="str">
        <f t="shared" si="5"/>
        <v>ن1</v>
      </c>
      <c r="D171" s="164" t="str">
        <f t="shared" si="5"/>
        <v>ن1-1</v>
      </c>
      <c r="E171" s="164" t="str">
        <f t="shared" si="5"/>
        <v>ن1-1-1</v>
      </c>
      <c r="F171" s="171" t="s">
        <v>2665</v>
      </c>
      <c r="G171" s="386" t="s">
        <v>2664</v>
      </c>
      <c r="H171" s="386"/>
      <c r="I171" s="386"/>
      <c r="J171" s="386"/>
      <c r="K171" s="386"/>
      <c r="L171" s="386"/>
      <c r="M171" s="386"/>
      <c r="N171" s="386"/>
      <c r="O171" s="386"/>
      <c r="P171" s="386"/>
      <c r="Q171" s="386"/>
      <c r="R171" s="386"/>
      <c r="S171" s="386"/>
      <c r="T171" s="386"/>
      <c r="U171" s="386"/>
      <c r="V171" s="386"/>
      <c r="W171" s="386"/>
      <c r="X171" s="386"/>
      <c r="Y171" s="386"/>
      <c r="Z171" s="386"/>
      <c r="AA171" s="386"/>
      <c r="AB171" s="250">
        <v>1</v>
      </c>
      <c r="AC171" s="250"/>
      <c r="AD171" s="250"/>
      <c r="AE171" s="250"/>
      <c r="AF171" s="294" t="s">
        <v>2642</v>
      </c>
      <c r="AG171" s="279" t="s">
        <v>2152</v>
      </c>
      <c r="AH171" s="280"/>
      <c r="AI171" s="280"/>
      <c r="AJ171" s="279"/>
      <c r="AK171" s="279"/>
    </row>
    <row r="172" spans="1:37" s="178" customFormat="1" ht="31.5" customHeight="1" outlineLevel="4">
      <c r="A172" s="178" t="s">
        <v>3500</v>
      </c>
      <c r="B172" s="165" t="str">
        <f t="shared" si="5"/>
        <v>ن</v>
      </c>
      <c r="C172" s="164" t="str">
        <f t="shared" si="5"/>
        <v>ن1</v>
      </c>
      <c r="D172" s="164" t="str">
        <f t="shared" si="5"/>
        <v>ن1-1</v>
      </c>
      <c r="E172" s="164" t="str">
        <f t="shared" si="5"/>
        <v>ن1-1-1</v>
      </c>
      <c r="F172" s="171" t="s">
        <v>2663</v>
      </c>
      <c r="G172" s="386" t="s">
        <v>2662</v>
      </c>
      <c r="H172" s="386"/>
      <c r="I172" s="386"/>
      <c r="J172" s="386"/>
      <c r="K172" s="386"/>
      <c r="L172" s="386"/>
      <c r="M172" s="386"/>
      <c r="N172" s="386"/>
      <c r="O172" s="386"/>
      <c r="P172" s="386"/>
      <c r="Q172" s="386"/>
      <c r="R172" s="386"/>
      <c r="S172" s="386"/>
      <c r="T172" s="386"/>
      <c r="U172" s="386"/>
      <c r="V172" s="386"/>
      <c r="W172" s="386"/>
      <c r="X172" s="386"/>
      <c r="Y172" s="386"/>
      <c r="Z172" s="386"/>
      <c r="AA172" s="386"/>
      <c r="AB172" s="250">
        <v>1</v>
      </c>
      <c r="AC172" s="250"/>
      <c r="AD172" s="250"/>
      <c r="AE172" s="250"/>
      <c r="AF172" s="294" t="s">
        <v>2642</v>
      </c>
      <c r="AG172" s="279" t="s">
        <v>2152</v>
      </c>
      <c r="AH172" s="280"/>
      <c r="AI172" s="280"/>
      <c r="AJ172" s="279"/>
      <c r="AK172" s="279"/>
    </row>
    <row r="173" spans="1:37" s="178" customFormat="1" ht="15" customHeight="1" outlineLevel="4">
      <c r="A173" s="178" t="s">
        <v>3500</v>
      </c>
      <c r="B173" s="165" t="str">
        <f t="shared" si="5"/>
        <v>ن</v>
      </c>
      <c r="C173" s="164" t="str">
        <f t="shared" si="5"/>
        <v>ن1</v>
      </c>
      <c r="D173" s="164" t="str">
        <f t="shared" si="5"/>
        <v>ن1-1</v>
      </c>
      <c r="E173" s="164" t="str">
        <f t="shared" si="5"/>
        <v>ن1-1-1</v>
      </c>
      <c r="F173" s="171" t="s">
        <v>2661</v>
      </c>
      <c r="G173" s="386" t="s">
        <v>2660</v>
      </c>
      <c r="H173" s="386"/>
      <c r="I173" s="386"/>
      <c r="J173" s="386"/>
      <c r="K173" s="386"/>
      <c r="L173" s="386"/>
      <c r="M173" s="386"/>
      <c r="N173" s="386"/>
      <c r="O173" s="386"/>
      <c r="P173" s="386"/>
      <c r="Q173" s="386"/>
      <c r="R173" s="386"/>
      <c r="S173" s="386"/>
      <c r="T173" s="386"/>
      <c r="U173" s="386"/>
      <c r="V173" s="386"/>
      <c r="W173" s="386"/>
      <c r="X173" s="386"/>
      <c r="Y173" s="386"/>
      <c r="Z173" s="386"/>
      <c r="AA173" s="386"/>
      <c r="AB173" s="250">
        <v>1</v>
      </c>
      <c r="AC173" s="250"/>
      <c r="AD173" s="250"/>
      <c r="AE173" s="250"/>
      <c r="AF173" s="294" t="s">
        <v>2642</v>
      </c>
      <c r="AG173" s="279" t="s">
        <v>2152</v>
      </c>
      <c r="AH173" s="280"/>
      <c r="AI173" s="280"/>
      <c r="AJ173" s="279"/>
      <c r="AK173" s="279"/>
    </row>
    <row r="174" spans="1:37" s="178" customFormat="1" ht="15" customHeight="1" outlineLevel="4">
      <c r="A174" s="178" t="s">
        <v>3500</v>
      </c>
      <c r="B174" s="165" t="str">
        <f t="shared" si="5"/>
        <v>ن</v>
      </c>
      <c r="C174" s="164" t="str">
        <f t="shared" si="5"/>
        <v>ن1</v>
      </c>
      <c r="D174" s="164" t="str">
        <f t="shared" si="5"/>
        <v>ن1-1</v>
      </c>
      <c r="E174" s="164" t="str">
        <f t="shared" si="5"/>
        <v>ن1-1-1</v>
      </c>
      <c r="F174" s="171" t="s">
        <v>2659</v>
      </c>
      <c r="G174" s="386" t="s">
        <v>2658</v>
      </c>
      <c r="H174" s="386"/>
      <c r="I174" s="386"/>
      <c r="J174" s="386"/>
      <c r="K174" s="386"/>
      <c r="L174" s="386"/>
      <c r="M174" s="386"/>
      <c r="N174" s="386"/>
      <c r="O174" s="386"/>
      <c r="P174" s="386"/>
      <c r="Q174" s="386"/>
      <c r="R174" s="386"/>
      <c r="S174" s="386"/>
      <c r="T174" s="386"/>
      <c r="U174" s="386"/>
      <c r="V174" s="386"/>
      <c r="W174" s="386"/>
      <c r="X174" s="386"/>
      <c r="Y174" s="386"/>
      <c r="Z174" s="386"/>
      <c r="AA174" s="386"/>
      <c r="AB174" s="250">
        <v>1</v>
      </c>
      <c r="AC174" s="250"/>
      <c r="AD174" s="250"/>
      <c r="AE174" s="250"/>
      <c r="AF174" s="294" t="s">
        <v>2642</v>
      </c>
      <c r="AG174" s="279" t="s">
        <v>2152</v>
      </c>
      <c r="AH174" s="280"/>
      <c r="AI174" s="280"/>
      <c r="AJ174" s="279"/>
      <c r="AK174" s="279"/>
    </row>
    <row r="175" spans="1:37" s="178" customFormat="1" ht="15" customHeight="1" outlineLevel="4">
      <c r="A175" s="178" t="s">
        <v>3500</v>
      </c>
      <c r="B175" s="165" t="str">
        <f t="shared" si="5"/>
        <v>ن</v>
      </c>
      <c r="C175" s="164" t="str">
        <f t="shared" si="5"/>
        <v>ن1</v>
      </c>
      <c r="D175" s="164" t="str">
        <f t="shared" si="5"/>
        <v>ن1-1</v>
      </c>
      <c r="E175" s="164" t="str">
        <f t="shared" si="5"/>
        <v>ن1-1-1</v>
      </c>
      <c r="F175" s="171" t="s">
        <v>2657</v>
      </c>
      <c r="G175" s="386" t="s">
        <v>2656</v>
      </c>
      <c r="H175" s="386"/>
      <c r="I175" s="386"/>
      <c r="J175" s="386"/>
      <c r="K175" s="386"/>
      <c r="L175" s="386"/>
      <c r="M175" s="386"/>
      <c r="N175" s="386"/>
      <c r="O175" s="386"/>
      <c r="P175" s="386"/>
      <c r="Q175" s="386"/>
      <c r="R175" s="386"/>
      <c r="S175" s="386"/>
      <c r="T175" s="386"/>
      <c r="U175" s="386"/>
      <c r="V175" s="386"/>
      <c r="W175" s="386"/>
      <c r="X175" s="386"/>
      <c r="Y175" s="386"/>
      <c r="Z175" s="386"/>
      <c r="AA175" s="386"/>
      <c r="AB175" s="250">
        <v>1</v>
      </c>
      <c r="AC175" s="250"/>
      <c r="AD175" s="250"/>
      <c r="AE175" s="250"/>
      <c r="AF175" s="294" t="s">
        <v>2642</v>
      </c>
      <c r="AG175" s="279" t="s">
        <v>2152</v>
      </c>
      <c r="AH175" s="280"/>
      <c r="AI175" s="280"/>
      <c r="AJ175" s="279"/>
      <c r="AK175" s="279"/>
    </row>
    <row r="176" spans="1:37" s="178" customFormat="1" ht="15" customHeight="1" outlineLevel="4">
      <c r="A176" s="178" t="s">
        <v>3500</v>
      </c>
      <c r="B176" s="165" t="str">
        <f t="shared" si="5"/>
        <v>ن</v>
      </c>
      <c r="C176" s="164" t="str">
        <f t="shared" si="5"/>
        <v>ن1</v>
      </c>
      <c r="D176" s="164" t="str">
        <f t="shared" si="5"/>
        <v>ن1-1</v>
      </c>
      <c r="E176" s="164" t="str">
        <f t="shared" si="5"/>
        <v>ن1-1-1</v>
      </c>
      <c r="F176" s="171" t="s">
        <v>2655</v>
      </c>
      <c r="G176" s="386" t="s">
        <v>2654</v>
      </c>
      <c r="H176" s="386"/>
      <c r="I176" s="386"/>
      <c r="J176" s="386"/>
      <c r="K176" s="386"/>
      <c r="L176" s="386"/>
      <c r="M176" s="386"/>
      <c r="N176" s="386"/>
      <c r="O176" s="386"/>
      <c r="P176" s="386"/>
      <c r="Q176" s="386"/>
      <c r="R176" s="386"/>
      <c r="S176" s="386"/>
      <c r="T176" s="386"/>
      <c r="U176" s="386"/>
      <c r="V176" s="386"/>
      <c r="W176" s="386"/>
      <c r="X176" s="386"/>
      <c r="Y176" s="386"/>
      <c r="Z176" s="386"/>
      <c r="AA176" s="386"/>
      <c r="AB176" s="250">
        <v>1</v>
      </c>
      <c r="AC176" s="250"/>
      <c r="AD176" s="250"/>
      <c r="AE176" s="250"/>
      <c r="AF176" s="294" t="s">
        <v>2642</v>
      </c>
      <c r="AG176" s="279" t="s">
        <v>2152</v>
      </c>
      <c r="AH176" s="280"/>
      <c r="AI176" s="280"/>
      <c r="AJ176" s="279"/>
      <c r="AK176" s="279"/>
    </row>
    <row r="177" spans="1:37" s="178" customFormat="1" ht="15" customHeight="1" outlineLevel="4">
      <c r="A177" s="178" t="s">
        <v>3500</v>
      </c>
      <c r="B177" s="165" t="str">
        <f t="shared" si="5"/>
        <v>ن</v>
      </c>
      <c r="C177" s="164" t="str">
        <f t="shared" si="5"/>
        <v>ن1</v>
      </c>
      <c r="D177" s="164" t="str">
        <f t="shared" si="5"/>
        <v>ن1-1</v>
      </c>
      <c r="E177" s="164" t="str">
        <f t="shared" si="5"/>
        <v>ن1-1-1</v>
      </c>
      <c r="F177" s="171" t="s">
        <v>2653</v>
      </c>
      <c r="G177" s="386" t="s">
        <v>2652</v>
      </c>
      <c r="H177" s="386"/>
      <c r="I177" s="386"/>
      <c r="J177" s="386"/>
      <c r="K177" s="386"/>
      <c r="L177" s="386"/>
      <c r="M177" s="386"/>
      <c r="N177" s="386"/>
      <c r="O177" s="386"/>
      <c r="P177" s="386"/>
      <c r="Q177" s="386"/>
      <c r="R177" s="386"/>
      <c r="S177" s="386"/>
      <c r="T177" s="386"/>
      <c r="U177" s="386"/>
      <c r="V177" s="386"/>
      <c r="W177" s="386"/>
      <c r="X177" s="386"/>
      <c r="Y177" s="386"/>
      <c r="Z177" s="386"/>
      <c r="AA177" s="386"/>
      <c r="AB177" s="250">
        <v>1</v>
      </c>
      <c r="AC177" s="250"/>
      <c r="AD177" s="250"/>
      <c r="AE177" s="250"/>
      <c r="AF177" s="294" t="s">
        <v>2642</v>
      </c>
      <c r="AG177" s="279" t="s">
        <v>2152</v>
      </c>
      <c r="AH177" s="280"/>
      <c r="AI177" s="280"/>
      <c r="AJ177" s="279"/>
      <c r="AK177" s="279"/>
    </row>
    <row r="178" spans="1:37" s="178" customFormat="1" ht="46.5" customHeight="1" outlineLevel="4">
      <c r="A178" s="178" t="s">
        <v>3500</v>
      </c>
      <c r="B178" s="165" t="str">
        <f t="shared" si="5"/>
        <v>ن</v>
      </c>
      <c r="C178" s="164" t="str">
        <f t="shared" si="5"/>
        <v>ن1</v>
      </c>
      <c r="D178" s="164" t="str">
        <f t="shared" si="5"/>
        <v>ن1-1</v>
      </c>
      <c r="E178" s="164" t="str">
        <f t="shared" si="5"/>
        <v>ن1-1-1</v>
      </c>
      <c r="F178" s="171" t="s">
        <v>2651</v>
      </c>
      <c r="G178" s="386" t="s">
        <v>2650</v>
      </c>
      <c r="H178" s="386"/>
      <c r="I178" s="386"/>
      <c r="J178" s="386"/>
      <c r="K178" s="386"/>
      <c r="L178" s="386"/>
      <c r="M178" s="386"/>
      <c r="N178" s="386"/>
      <c r="O178" s="386"/>
      <c r="P178" s="386"/>
      <c r="Q178" s="386"/>
      <c r="R178" s="386"/>
      <c r="S178" s="386"/>
      <c r="T178" s="386"/>
      <c r="U178" s="386"/>
      <c r="V178" s="386"/>
      <c r="W178" s="386"/>
      <c r="X178" s="386"/>
      <c r="Y178" s="386"/>
      <c r="Z178" s="386"/>
      <c r="AA178" s="386"/>
      <c r="AB178" s="250">
        <v>1</v>
      </c>
      <c r="AC178" s="250"/>
      <c r="AD178" s="250"/>
      <c r="AE178" s="250"/>
      <c r="AF178" s="294" t="s">
        <v>2642</v>
      </c>
      <c r="AG178" s="279" t="s">
        <v>2152</v>
      </c>
      <c r="AH178" s="280"/>
      <c r="AI178" s="280"/>
      <c r="AJ178" s="279"/>
      <c r="AK178" s="279"/>
    </row>
    <row r="179" spans="1:37" s="178" customFormat="1" ht="15" customHeight="1" outlineLevel="4">
      <c r="A179" s="178" t="s">
        <v>3500</v>
      </c>
      <c r="B179" s="165" t="str">
        <f t="shared" si="5"/>
        <v>ن</v>
      </c>
      <c r="C179" s="164" t="str">
        <f t="shared" si="5"/>
        <v>ن1</v>
      </c>
      <c r="D179" s="164" t="str">
        <f t="shared" si="5"/>
        <v>ن1-1</v>
      </c>
      <c r="E179" s="164" t="str">
        <f t="shared" si="5"/>
        <v>ن1-1-1</v>
      </c>
      <c r="F179" s="171" t="s">
        <v>2649</v>
      </c>
      <c r="G179" s="386" t="s">
        <v>2648</v>
      </c>
      <c r="H179" s="386"/>
      <c r="I179" s="386"/>
      <c r="J179" s="386"/>
      <c r="K179" s="386"/>
      <c r="L179" s="386"/>
      <c r="M179" s="386"/>
      <c r="N179" s="386"/>
      <c r="O179" s="386"/>
      <c r="P179" s="386"/>
      <c r="Q179" s="386"/>
      <c r="R179" s="386"/>
      <c r="S179" s="386"/>
      <c r="T179" s="386"/>
      <c r="U179" s="386"/>
      <c r="V179" s="386"/>
      <c r="W179" s="386"/>
      <c r="X179" s="386"/>
      <c r="Y179" s="386"/>
      <c r="Z179" s="386"/>
      <c r="AA179" s="386"/>
      <c r="AB179" s="250">
        <v>1</v>
      </c>
      <c r="AC179" s="250"/>
      <c r="AD179" s="250"/>
      <c r="AE179" s="250"/>
      <c r="AF179" s="294" t="s">
        <v>2642</v>
      </c>
      <c r="AG179" s="279" t="s">
        <v>2152</v>
      </c>
      <c r="AH179" s="280"/>
      <c r="AI179" s="280"/>
      <c r="AJ179" s="279"/>
      <c r="AK179" s="279"/>
    </row>
    <row r="180" spans="1:37" s="178" customFormat="1" ht="29.25" customHeight="1" outlineLevel="4">
      <c r="A180" s="178" t="s">
        <v>3500</v>
      </c>
      <c r="B180" s="165" t="str">
        <f t="shared" si="5"/>
        <v>ن</v>
      </c>
      <c r="C180" s="164" t="str">
        <f t="shared" si="5"/>
        <v>ن1</v>
      </c>
      <c r="D180" s="164" t="str">
        <f t="shared" si="5"/>
        <v>ن1-1</v>
      </c>
      <c r="E180" s="164" t="str">
        <f t="shared" si="5"/>
        <v>ن1-1-1</v>
      </c>
      <c r="F180" s="171" t="s">
        <v>2647</v>
      </c>
      <c r="G180" s="386" t="s">
        <v>2646</v>
      </c>
      <c r="H180" s="386"/>
      <c r="I180" s="386"/>
      <c r="J180" s="386"/>
      <c r="K180" s="386"/>
      <c r="L180" s="386"/>
      <c r="M180" s="386"/>
      <c r="N180" s="386"/>
      <c r="O180" s="386"/>
      <c r="P180" s="386"/>
      <c r="Q180" s="386"/>
      <c r="R180" s="386"/>
      <c r="S180" s="386"/>
      <c r="T180" s="386"/>
      <c r="U180" s="386"/>
      <c r="V180" s="386"/>
      <c r="W180" s="386"/>
      <c r="X180" s="386"/>
      <c r="Y180" s="386"/>
      <c r="Z180" s="386"/>
      <c r="AA180" s="386"/>
      <c r="AB180" s="250">
        <v>1</v>
      </c>
      <c r="AC180" s="250"/>
      <c r="AD180" s="250"/>
      <c r="AE180" s="250"/>
      <c r="AF180" s="294" t="s">
        <v>2642</v>
      </c>
      <c r="AG180" s="279" t="s">
        <v>2152</v>
      </c>
      <c r="AH180" s="280"/>
      <c r="AI180" s="280"/>
      <c r="AJ180" s="279"/>
      <c r="AK180" s="279"/>
    </row>
    <row r="181" spans="1:37" s="178" customFormat="1" ht="15" customHeight="1" outlineLevel="4">
      <c r="A181" s="178" t="s">
        <v>3500</v>
      </c>
      <c r="B181" s="165" t="str">
        <f t="shared" si="5"/>
        <v>ن</v>
      </c>
      <c r="C181" s="164" t="str">
        <f t="shared" si="5"/>
        <v>ن1</v>
      </c>
      <c r="D181" s="164" t="str">
        <f t="shared" si="5"/>
        <v>ن1-1</v>
      </c>
      <c r="E181" s="164" t="str">
        <f t="shared" si="5"/>
        <v>ن1-1-1</v>
      </c>
      <c r="F181" s="171" t="s">
        <v>2645</v>
      </c>
      <c r="G181" s="386" t="s">
        <v>2644</v>
      </c>
      <c r="H181" s="386"/>
      <c r="I181" s="386"/>
      <c r="J181" s="386"/>
      <c r="K181" s="386"/>
      <c r="L181" s="386"/>
      <c r="M181" s="386"/>
      <c r="N181" s="386"/>
      <c r="O181" s="386"/>
      <c r="P181" s="386"/>
      <c r="Q181" s="386"/>
      <c r="R181" s="386"/>
      <c r="S181" s="386"/>
      <c r="T181" s="386"/>
      <c r="U181" s="386"/>
      <c r="V181" s="386"/>
      <c r="W181" s="386"/>
      <c r="X181" s="386"/>
      <c r="Y181" s="386"/>
      <c r="Z181" s="386"/>
      <c r="AA181" s="386"/>
      <c r="AB181" s="250">
        <v>1</v>
      </c>
      <c r="AC181" s="250"/>
      <c r="AD181" s="250"/>
      <c r="AE181" s="250"/>
      <c r="AF181" s="294" t="s">
        <v>2642</v>
      </c>
      <c r="AG181" s="279" t="s">
        <v>2643</v>
      </c>
      <c r="AH181" s="280"/>
      <c r="AI181" s="280"/>
      <c r="AJ181" s="279"/>
      <c r="AK181" s="279"/>
    </row>
    <row r="182" spans="1:37" s="178" customFormat="1" ht="9" hidden="1" customHeight="1" outlineLevel="3">
      <c r="B182" s="165" t="str">
        <f t="shared" si="5"/>
        <v>ن</v>
      </c>
      <c r="C182" s="164" t="str">
        <f t="shared" si="5"/>
        <v>ن1</v>
      </c>
      <c r="D182" s="164" t="str">
        <f t="shared" si="5"/>
        <v>ن1-1</v>
      </c>
      <c r="E182" s="164" t="str">
        <f t="shared" si="5"/>
        <v>ن1-1-1</v>
      </c>
      <c r="F182" s="171"/>
      <c r="G182" s="295"/>
      <c r="H182" s="295"/>
      <c r="I182" s="295"/>
      <c r="J182" s="295"/>
      <c r="K182" s="295"/>
      <c r="L182" s="295"/>
      <c r="M182" s="295"/>
      <c r="N182" s="295"/>
      <c r="O182" s="295"/>
      <c r="P182" s="295"/>
      <c r="Q182" s="295"/>
      <c r="R182" s="295"/>
      <c r="S182" s="295"/>
      <c r="T182" s="295"/>
      <c r="U182" s="295"/>
      <c r="V182" s="295"/>
      <c r="W182" s="295"/>
      <c r="X182" s="295"/>
      <c r="Y182" s="295"/>
      <c r="Z182" s="295"/>
      <c r="AA182" s="295"/>
      <c r="AB182" s="250"/>
      <c r="AC182" s="250"/>
      <c r="AD182" s="250"/>
      <c r="AE182" s="250"/>
      <c r="AF182" s="294" t="s">
        <v>2642</v>
      </c>
      <c r="AG182" s="279"/>
      <c r="AH182" s="280"/>
      <c r="AI182" s="280"/>
      <c r="AJ182" s="279"/>
      <c r="AK182" s="279"/>
    </row>
    <row r="183" spans="1:37" s="178" customFormat="1" ht="9" hidden="1" customHeight="1" outlineLevel="2">
      <c r="B183" s="165" t="str">
        <f t="shared" si="5"/>
        <v>ن</v>
      </c>
      <c r="C183" s="164" t="str">
        <f t="shared" si="5"/>
        <v>ن1</v>
      </c>
      <c r="D183" s="164" t="str">
        <f t="shared" si="5"/>
        <v>ن1-1</v>
      </c>
      <c r="E183" s="164" t="str">
        <f t="shared" si="5"/>
        <v>ن1-1-1</v>
      </c>
      <c r="F183" s="171"/>
      <c r="G183" s="295"/>
      <c r="H183" s="295"/>
      <c r="I183" s="295"/>
      <c r="J183" s="295"/>
      <c r="K183" s="295"/>
      <c r="L183" s="295"/>
      <c r="M183" s="295"/>
      <c r="N183" s="295"/>
      <c r="O183" s="295"/>
      <c r="P183" s="295"/>
      <c r="Q183" s="295"/>
      <c r="R183" s="295"/>
      <c r="S183" s="295"/>
      <c r="T183" s="295"/>
      <c r="U183" s="295"/>
      <c r="V183" s="295"/>
      <c r="W183" s="295"/>
      <c r="X183" s="295"/>
      <c r="Y183" s="295"/>
      <c r="Z183" s="295"/>
      <c r="AA183" s="295"/>
      <c r="AB183" s="250"/>
      <c r="AC183" s="250"/>
      <c r="AD183" s="250"/>
      <c r="AE183" s="250"/>
      <c r="AF183" s="294"/>
      <c r="AG183" s="279"/>
      <c r="AH183" s="280"/>
      <c r="AI183" s="280"/>
      <c r="AJ183" s="279"/>
      <c r="AK183" s="279"/>
    </row>
    <row r="184" spans="1:37" s="178" customFormat="1" ht="15" hidden="1" customHeight="1" outlineLevel="2" thickBot="1">
      <c r="A184" s="264" t="s">
        <v>188</v>
      </c>
      <c r="B184" s="165" t="str">
        <f t="shared" si="5"/>
        <v>ن</v>
      </c>
      <c r="C184" s="164" t="str">
        <f t="shared" si="5"/>
        <v>ن1</v>
      </c>
      <c r="D184" s="189" t="s">
        <v>2641</v>
      </c>
      <c r="E184" s="189" t="s">
        <v>2641</v>
      </c>
      <c r="F184" s="189" t="s">
        <v>2641</v>
      </c>
      <c r="G184" s="383" t="s">
        <v>2640</v>
      </c>
      <c r="H184" s="383"/>
      <c r="I184" s="383"/>
      <c r="J184" s="383"/>
      <c r="K184" s="383"/>
      <c r="L184" s="383"/>
      <c r="M184" s="383"/>
      <c r="N184" s="383"/>
      <c r="O184" s="383"/>
      <c r="P184" s="383"/>
      <c r="Q184" s="383"/>
      <c r="R184" s="383"/>
      <c r="S184" s="383"/>
      <c r="T184" s="383"/>
      <c r="U184" s="383"/>
      <c r="V184" s="383"/>
      <c r="W184" s="383"/>
      <c r="X184" s="383"/>
      <c r="Y184" s="383"/>
      <c r="Z184" s="383"/>
      <c r="AA184" s="383"/>
      <c r="AB184" s="188"/>
      <c r="AC184" s="188"/>
      <c r="AD184" s="188"/>
      <c r="AE184" s="188"/>
      <c r="AF184" s="288" t="s">
        <v>587</v>
      </c>
      <c r="AG184" s="289" t="s">
        <v>2152</v>
      </c>
      <c r="AH184" s="290" t="s">
        <v>2125</v>
      </c>
      <c r="AI184" s="290" t="s">
        <v>2124</v>
      </c>
      <c r="AJ184" s="291">
        <v>1</v>
      </c>
      <c r="AK184" s="289"/>
    </row>
    <row r="185" spans="1:37" s="178" customFormat="1" ht="12.6" hidden="1" customHeight="1" outlineLevel="3" thickTop="1" thickBot="1">
      <c r="A185" s="178" t="s">
        <v>189</v>
      </c>
      <c r="B185" s="165" t="str">
        <f t="shared" si="5"/>
        <v>ن</v>
      </c>
      <c r="C185" s="164" t="str">
        <f t="shared" si="5"/>
        <v>ن1</v>
      </c>
      <c r="D185" s="184" t="str">
        <f t="shared" si="5"/>
        <v>ن1-2</v>
      </c>
      <c r="E185" s="183" t="s">
        <v>2639</v>
      </c>
      <c r="F185" s="183" t="s">
        <v>2639</v>
      </c>
      <c r="G185" s="384" t="s">
        <v>2638</v>
      </c>
      <c r="H185" s="384"/>
      <c r="I185" s="384"/>
      <c r="J185" s="384"/>
      <c r="K185" s="384"/>
      <c r="L185" s="384"/>
      <c r="M185" s="384"/>
      <c r="N185" s="384"/>
      <c r="O185" s="384"/>
      <c r="P185" s="384"/>
      <c r="Q185" s="384"/>
      <c r="R185" s="384"/>
      <c r="S185" s="384"/>
      <c r="T185" s="384"/>
      <c r="U185" s="384"/>
      <c r="V185" s="384"/>
      <c r="W185" s="384"/>
      <c r="X185" s="384"/>
      <c r="Y185" s="384"/>
      <c r="Z185" s="384"/>
      <c r="AA185" s="384"/>
      <c r="AB185" s="182" t="s">
        <v>2110</v>
      </c>
      <c r="AC185" s="181"/>
      <c r="AD185" s="181"/>
      <c r="AE185" s="181"/>
      <c r="AF185" s="294" t="s">
        <v>2574</v>
      </c>
      <c r="AG185" s="279"/>
      <c r="AH185" s="280"/>
      <c r="AI185" s="280"/>
      <c r="AJ185" s="279"/>
      <c r="AK185" s="279"/>
    </row>
    <row r="186" spans="1:37" s="178" customFormat="1" ht="15" customHeight="1" outlineLevel="4">
      <c r="A186" s="178" t="s">
        <v>3500</v>
      </c>
      <c r="B186" s="165" t="str">
        <f t="shared" si="5"/>
        <v>ن</v>
      </c>
      <c r="C186" s="164" t="str">
        <f t="shared" si="5"/>
        <v>ن1</v>
      </c>
      <c r="D186" s="164" t="str">
        <f t="shared" si="5"/>
        <v>ن1-2</v>
      </c>
      <c r="E186" s="164" t="str">
        <f t="shared" si="5"/>
        <v>ن1-2-1</v>
      </c>
      <c r="F186" s="171" t="s">
        <v>2637</v>
      </c>
      <c r="G186" s="386" t="s">
        <v>2636</v>
      </c>
      <c r="H186" s="386"/>
      <c r="I186" s="386"/>
      <c r="J186" s="386"/>
      <c r="K186" s="386"/>
      <c r="L186" s="386"/>
      <c r="M186" s="386"/>
      <c r="N186" s="386"/>
      <c r="O186" s="386"/>
      <c r="P186" s="386"/>
      <c r="Q186" s="386"/>
      <c r="R186" s="386"/>
      <c r="S186" s="386"/>
      <c r="T186" s="386"/>
      <c r="U186" s="386"/>
      <c r="V186" s="386"/>
      <c r="W186" s="386"/>
      <c r="X186" s="386"/>
      <c r="Y186" s="386"/>
      <c r="Z186" s="386"/>
      <c r="AA186" s="386"/>
      <c r="AB186" s="250" t="s">
        <v>2577</v>
      </c>
      <c r="AC186" s="250"/>
      <c r="AD186" s="250"/>
      <c r="AE186" s="250"/>
      <c r="AF186" s="294" t="s">
        <v>2574</v>
      </c>
      <c r="AG186" s="279" t="s">
        <v>2152</v>
      </c>
      <c r="AH186" s="280"/>
      <c r="AI186" s="280"/>
      <c r="AJ186" s="279"/>
      <c r="AK186" s="279"/>
    </row>
    <row r="187" spans="1:37" s="178" customFormat="1" ht="15" customHeight="1" outlineLevel="4">
      <c r="A187" s="178" t="s">
        <v>3500</v>
      </c>
      <c r="B187" s="165" t="str">
        <f t="shared" si="5"/>
        <v>ن</v>
      </c>
      <c r="C187" s="164" t="str">
        <f t="shared" si="5"/>
        <v>ن1</v>
      </c>
      <c r="D187" s="164" t="str">
        <f t="shared" si="5"/>
        <v>ن1-2</v>
      </c>
      <c r="E187" s="164" t="str">
        <f t="shared" si="5"/>
        <v>ن1-2-1</v>
      </c>
      <c r="F187" s="171" t="s">
        <v>2635</v>
      </c>
      <c r="G187" s="386" t="s">
        <v>2634</v>
      </c>
      <c r="H187" s="386"/>
      <c r="I187" s="386"/>
      <c r="J187" s="386"/>
      <c r="K187" s="386"/>
      <c r="L187" s="386"/>
      <c r="M187" s="386"/>
      <c r="N187" s="386"/>
      <c r="O187" s="386"/>
      <c r="P187" s="386"/>
      <c r="Q187" s="386"/>
      <c r="R187" s="386"/>
      <c r="S187" s="386"/>
      <c r="T187" s="386"/>
      <c r="U187" s="386"/>
      <c r="V187" s="386"/>
      <c r="W187" s="386"/>
      <c r="X187" s="386"/>
      <c r="Y187" s="386"/>
      <c r="Z187" s="386"/>
      <c r="AA187" s="386"/>
      <c r="AB187" s="250" t="s">
        <v>2577</v>
      </c>
      <c r="AC187" s="250"/>
      <c r="AD187" s="250"/>
      <c r="AE187" s="250"/>
      <c r="AF187" s="294" t="s">
        <v>2574</v>
      </c>
      <c r="AG187" s="279" t="s">
        <v>2152</v>
      </c>
      <c r="AH187" s="280"/>
      <c r="AI187" s="280"/>
      <c r="AJ187" s="279"/>
      <c r="AK187" s="279"/>
    </row>
    <row r="188" spans="1:37" s="178" customFormat="1" ht="15" customHeight="1" outlineLevel="4">
      <c r="A188" s="178" t="s">
        <v>3500</v>
      </c>
      <c r="B188" s="165" t="str">
        <f t="shared" si="5"/>
        <v>ن</v>
      </c>
      <c r="C188" s="164" t="str">
        <f t="shared" si="5"/>
        <v>ن1</v>
      </c>
      <c r="D188" s="164" t="str">
        <f t="shared" si="5"/>
        <v>ن1-2</v>
      </c>
      <c r="E188" s="164" t="str">
        <f t="shared" si="5"/>
        <v>ن1-2-1</v>
      </c>
      <c r="F188" s="171" t="s">
        <v>2633</v>
      </c>
      <c r="G188" s="386" t="s">
        <v>2632</v>
      </c>
      <c r="H188" s="386"/>
      <c r="I188" s="386"/>
      <c r="J188" s="386"/>
      <c r="K188" s="386"/>
      <c r="L188" s="386"/>
      <c r="M188" s="386"/>
      <c r="N188" s="386"/>
      <c r="O188" s="386"/>
      <c r="P188" s="386"/>
      <c r="Q188" s="386"/>
      <c r="R188" s="386"/>
      <c r="S188" s="386"/>
      <c r="T188" s="386"/>
      <c r="U188" s="386"/>
      <c r="V188" s="386"/>
      <c r="W188" s="386"/>
      <c r="X188" s="386"/>
      <c r="Y188" s="386"/>
      <c r="Z188" s="386"/>
      <c r="AA188" s="386"/>
      <c r="AB188" s="250" t="s">
        <v>2577</v>
      </c>
      <c r="AC188" s="250"/>
      <c r="AD188" s="250"/>
      <c r="AE188" s="250"/>
      <c r="AF188" s="294" t="s">
        <v>2574</v>
      </c>
      <c r="AG188" s="279"/>
      <c r="AH188" s="280"/>
      <c r="AI188" s="280"/>
      <c r="AJ188" s="279"/>
      <c r="AK188" s="279"/>
    </row>
    <row r="189" spans="1:37" s="178" customFormat="1" ht="15" customHeight="1" outlineLevel="4">
      <c r="A189" s="178" t="s">
        <v>3500</v>
      </c>
      <c r="B189" s="165" t="str">
        <f t="shared" si="5"/>
        <v>ن</v>
      </c>
      <c r="C189" s="164" t="str">
        <f t="shared" si="5"/>
        <v>ن1</v>
      </c>
      <c r="D189" s="164" t="str">
        <f t="shared" si="5"/>
        <v>ن1-2</v>
      </c>
      <c r="E189" s="164" t="str">
        <f t="shared" si="5"/>
        <v>ن1-2-1</v>
      </c>
      <c r="F189" s="171" t="s">
        <v>2631</v>
      </c>
      <c r="G189" s="386" t="s">
        <v>2630</v>
      </c>
      <c r="H189" s="386"/>
      <c r="I189" s="386"/>
      <c r="J189" s="386"/>
      <c r="K189" s="386"/>
      <c r="L189" s="386"/>
      <c r="M189" s="386"/>
      <c r="N189" s="386"/>
      <c r="O189" s="386"/>
      <c r="P189" s="386"/>
      <c r="Q189" s="386"/>
      <c r="R189" s="386"/>
      <c r="S189" s="386"/>
      <c r="T189" s="386"/>
      <c r="U189" s="386"/>
      <c r="V189" s="386"/>
      <c r="W189" s="386"/>
      <c r="X189" s="386"/>
      <c r="Y189" s="386"/>
      <c r="Z189" s="386"/>
      <c r="AA189" s="386"/>
      <c r="AB189" s="250" t="s">
        <v>2577</v>
      </c>
      <c r="AC189" s="250"/>
      <c r="AD189" s="250"/>
      <c r="AE189" s="250"/>
      <c r="AF189" s="294" t="s">
        <v>2574</v>
      </c>
      <c r="AG189" s="279" t="s">
        <v>2152</v>
      </c>
      <c r="AH189" s="280"/>
      <c r="AI189" s="280"/>
      <c r="AJ189" s="279"/>
      <c r="AK189" s="279"/>
    </row>
    <row r="190" spans="1:37" s="178" customFormat="1" ht="15" customHeight="1" outlineLevel="4">
      <c r="A190" s="178" t="s">
        <v>3500</v>
      </c>
      <c r="B190" s="165" t="str">
        <f t="shared" si="5"/>
        <v>ن</v>
      </c>
      <c r="C190" s="164" t="str">
        <f t="shared" si="5"/>
        <v>ن1</v>
      </c>
      <c r="D190" s="164" t="str">
        <f t="shared" si="5"/>
        <v>ن1-2</v>
      </c>
      <c r="E190" s="164" t="str">
        <f t="shared" si="5"/>
        <v>ن1-2-1</v>
      </c>
      <c r="F190" s="171" t="s">
        <v>2629</v>
      </c>
      <c r="G190" s="386" t="s">
        <v>2628</v>
      </c>
      <c r="H190" s="386"/>
      <c r="I190" s="386"/>
      <c r="J190" s="386"/>
      <c r="K190" s="386"/>
      <c r="L190" s="386"/>
      <c r="M190" s="386"/>
      <c r="N190" s="386"/>
      <c r="O190" s="386"/>
      <c r="P190" s="386"/>
      <c r="Q190" s="386"/>
      <c r="R190" s="386"/>
      <c r="S190" s="386"/>
      <c r="T190" s="386"/>
      <c r="U190" s="386"/>
      <c r="V190" s="386"/>
      <c r="W190" s="386"/>
      <c r="X190" s="386"/>
      <c r="Y190" s="386"/>
      <c r="Z190" s="386"/>
      <c r="AA190" s="386"/>
      <c r="AB190" s="250" t="s">
        <v>2577</v>
      </c>
      <c r="AC190" s="250"/>
      <c r="AD190" s="250"/>
      <c r="AE190" s="250"/>
      <c r="AF190" s="294" t="s">
        <v>2574</v>
      </c>
      <c r="AG190" s="279" t="s">
        <v>2152</v>
      </c>
      <c r="AH190" s="280"/>
      <c r="AI190" s="280"/>
      <c r="AJ190" s="279"/>
      <c r="AK190" s="279"/>
    </row>
    <row r="191" spans="1:37" s="178" customFormat="1" ht="15" customHeight="1" outlineLevel="4">
      <c r="A191" s="178" t="s">
        <v>3500</v>
      </c>
      <c r="B191" s="165" t="str">
        <f t="shared" si="5"/>
        <v>ن</v>
      </c>
      <c r="C191" s="164" t="str">
        <f t="shared" si="5"/>
        <v>ن1</v>
      </c>
      <c r="D191" s="164" t="str">
        <f t="shared" si="5"/>
        <v>ن1-2</v>
      </c>
      <c r="E191" s="164" t="str">
        <f t="shared" si="5"/>
        <v>ن1-2-1</v>
      </c>
      <c r="F191" s="171" t="s">
        <v>2627</v>
      </c>
      <c r="G191" s="386" t="s">
        <v>2626</v>
      </c>
      <c r="H191" s="386"/>
      <c r="I191" s="386"/>
      <c r="J191" s="386"/>
      <c r="K191" s="386"/>
      <c r="L191" s="386"/>
      <c r="M191" s="386"/>
      <c r="N191" s="386"/>
      <c r="O191" s="386"/>
      <c r="P191" s="386"/>
      <c r="Q191" s="386"/>
      <c r="R191" s="386"/>
      <c r="S191" s="386"/>
      <c r="T191" s="386"/>
      <c r="U191" s="386"/>
      <c r="V191" s="386"/>
      <c r="W191" s="386"/>
      <c r="X191" s="386"/>
      <c r="Y191" s="386"/>
      <c r="Z191" s="386"/>
      <c r="AA191" s="386"/>
      <c r="AB191" s="250" t="s">
        <v>2577</v>
      </c>
      <c r="AC191" s="250"/>
      <c r="AD191" s="250"/>
      <c r="AE191" s="250"/>
      <c r="AF191" s="294" t="s">
        <v>2574</v>
      </c>
      <c r="AG191" s="279"/>
      <c r="AH191" s="280"/>
      <c r="AI191" s="280"/>
      <c r="AJ191" s="279"/>
      <c r="AK191" s="279"/>
    </row>
    <row r="192" spans="1:37" s="178" customFormat="1" ht="15" customHeight="1" outlineLevel="4">
      <c r="A192" s="178" t="s">
        <v>3500</v>
      </c>
      <c r="B192" s="165" t="str">
        <f t="shared" si="5"/>
        <v>ن</v>
      </c>
      <c r="C192" s="164" t="str">
        <f t="shared" si="5"/>
        <v>ن1</v>
      </c>
      <c r="D192" s="164" t="str">
        <f t="shared" si="5"/>
        <v>ن1-2</v>
      </c>
      <c r="E192" s="164" t="str">
        <f t="shared" si="5"/>
        <v>ن1-2-1</v>
      </c>
      <c r="F192" s="171" t="s">
        <v>2625</v>
      </c>
      <c r="G192" s="386" t="s">
        <v>2624</v>
      </c>
      <c r="H192" s="386"/>
      <c r="I192" s="386"/>
      <c r="J192" s="386"/>
      <c r="K192" s="386"/>
      <c r="L192" s="386"/>
      <c r="M192" s="386"/>
      <c r="N192" s="386"/>
      <c r="O192" s="386"/>
      <c r="P192" s="386"/>
      <c r="Q192" s="386"/>
      <c r="R192" s="386"/>
      <c r="S192" s="386"/>
      <c r="T192" s="386"/>
      <c r="U192" s="386"/>
      <c r="V192" s="386"/>
      <c r="W192" s="386"/>
      <c r="X192" s="386"/>
      <c r="Y192" s="386"/>
      <c r="Z192" s="386"/>
      <c r="AA192" s="386"/>
      <c r="AB192" s="250" t="s">
        <v>2577</v>
      </c>
      <c r="AC192" s="250"/>
      <c r="AD192" s="250"/>
      <c r="AE192" s="250"/>
      <c r="AF192" s="294" t="s">
        <v>2574</v>
      </c>
      <c r="AG192" s="279"/>
      <c r="AH192" s="280"/>
      <c r="AI192" s="280"/>
      <c r="AJ192" s="279"/>
      <c r="AK192" s="279"/>
    </row>
    <row r="193" spans="1:37" s="178" customFormat="1" ht="15" customHeight="1" outlineLevel="4">
      <c r="A193" s="178" t="s">
        <v>3500</v>
      </c>
      <c r="B193" s="165" t="str">
        <f t="shared" si="5"/>
        <v>ن</v>
      </c>
      <c r="C193" s="164" t="str">
        <f t="shared" si="5"/>
        <v>ن1</v>
      </c>
      <c r="D193" s="164" t="str">
        <f t="shared" si="5"/>
        <v>ن1-2</v>
      </c>
      <c r="E193" s="164" t="str">
        <f t="shared" si="5"/>
        <v>ن1-2-1</v>
      </c>
      <c r="F193" s="171" t="s">
        <v>2623</v>
      </c>
      <c r="G193" s="386" t="s">
        <v>2622</v>
      </c>
      <c r="H193" s="386"/>
      <c r="I193" s="386"/>
      <c r="J193" s="386"/>
      <c r="K193" s="386"/>
      <c r="L193" s="386"/>
      <c r="M193" s="386"/>
      <c r="N193" s="386"/>
      <c r="O193" s="386"/>
      <c r="P193" s="386"/>
      <c r="Q193" s="386"/>
      <c r="R193" s="386"/>
      <c r="S193" s="386"/>
      <c r="T193" s="386"/>
      <c r="U193" s="386"/>
      <c r="V193" s="386"/>
      <c r="W193" s="386"/>
      <c r="X193" s="386"/>
      <c r="Y193" s="386"/>
      <c r="Z193" s="386"/>
      <c r="AA193" s="386"/>
      <c r="AB193" s="250" t="s">
        <v>2577</v>
      </c>
      <c r="AC193" s="250"/>
      <c r="AD193" s="250"/>
      <c r="AE193" s="250"/>
      <c r="AF193" s="294" t="s">
        <v>2574</v>
      </c>
      <c r="AG193" s="279"/>
      <c r="AH193" s="280"/>
      <c r="AI193" s="280"/>
      <c r="AJ193" s="279"/>
      <c r="AK193" s="279"/>
    </row>
    <row r="194" spans="1:37" s="178" customFormat="1" ht="15" customHeight="1" outlineLevel="4">
      <c r="A194" s="178" t="s">
        <v>3500</v>
      </c>
      <c r="B194" s="165" t="str">
        <f t="shared" si="5"/>
        <v>ن</v>
      </c>
      <c r="C194" s="164" t="str">
        <f t="shared" si="5"/>
        <v>ن1</v>
      </c>
      <c r="D194" s="164" t="str">
        <f t="shared" si="5"/>
        <v>ن1-2</v>
      </c>
      <c r="E194" s="164" t="str">
        <f t="shared" si="5"/>
        <v>ن1-2-1</v>
      </c>
      <c r="F194" s="171" t="s">
        <v>2621</v>
      </c>
      <c r="G194" s="386" t="s">
        <v>2620</v>
      </c>
      <c r="H194" s="386"/>
      <c r="I194" s="386"/>
      <c r="J194" s="386"/>
      <c r="K194" s="386"/>
      <c r="L194" s="386"/>
      <c r="M194" s="386"/>
      <c r="N194" s="386"/>
      <c r="O194" s="386"/>
      <c r="P194" s="386"/>
      <c r="Q194" s="386"/>
      <c r="R194" s="386"/>
      <c r="S194" s="386"/>
      <c r="T194" s="386"/>
      <c r="U194" s="386"/>
      <c r="V194" s="386"/>
      <c r="W194" s="386"/>
      <c r="X194" s="386"/>
      <c r="Y194" s="386"/>
      <c r="Z194" s="386"/>
      <c r="AA194" s="386"/>
      <c r="AB194" s="250" t="s">
        <v>2577</v>
      </c>
      <c r="AC194" s="250"/>
      <c r="AD194" s="250"/>
      <c r="AE194" s="250"/>
      <c r="AF194" s="294" t="s">
        <v>2574</v>
      </c>
      <c r="AG194" s="279"/>
      <c r="AH194" s="280"/>
      <c r="AI194" s="280"/>
      <c r="AJ194" s="279"/>
      <c r="AK194" s="279"/>
    </row>
    <row r="195" spans="1:37" s="178" customFormat="1" ht="15" customHeight="1" outlineLevel="4">
      <c r="A195" s="178" t="s">
        <v>3500</v>
      </c>
      <c r="B195" s="165" t="str">
        <f t="shared" si="5"/>
        <v>ن</v>
      </c>
      <c r="C195" s="164" t="str">
        <f t="shared" si="5"/>
        <v>ن1</v>
      </c>
      <c r="D195" s="164" t="str">
        <f t="shared" si="5"/>
        <v>ن1-2</v>
      </c>
      <c r="E195" s="164" t="str">
        <f t="shared" si="5"/>
        <v>ن1-2-1</v>
      </c>
      <c r="F195" s="171" t="s">
        <v>2619</v>
      </c>
      <c r="G195" s="386" t="s">
        <v>2618</v>
      </c>
      <c r="H195" s="386"/>
      <c r="I195" s="386"/>
      <c r="J195" s="386"/>
      <c r="K195" s="386"/>
      <c r="L195" s="386"/>
      <c r="M195" s="386"/>
      <c r="N195" s="386"/>
      <c r="O195" s="386"/>
      <c r="P195" s="386"/>
      <c r="Q195" s="386"/>
      <c r="R195" s="386"/>
      <c r="S195" s="386"/>
      <c r="T195" s="386"/>
      <c r="U195" s="386"/>
      <c r="V195" s="386"/>
      <c r="W195" s="386"/>
      <c r="X195" s="386"/>
      <c r="Y195" s="386"/>
      <c r="Z195" s="386"/>
      <c r="AA195" s="386"/>
      <c r="AB195" s="250" t="s">
        <v>2577</v>
      </c>
      <c r="AC195" s="250"/>
      <c r="AD195" s="250"/>
      <c r="AE195" s="250"/>
      <c r="AF195" s="294" t="s">
        <v>2574</v>
      </c>
      <c r="AG195" s="279" t="s">
        <v>2152</v>
      </c>
      <c r="AH195" s="280"/>
      <c r="AI195" s="280"/>
      <c r="AJ195" s="279"/>
      <c r="AK195" s="279"/>
    </row>
    <row r="196" spans="1:37" s="178" customFormat="1" ht="15" customHeight="1" outlineLevel="4">
      <c r="A196" s="178" t="s">
        <v>3500</v>
      </c>
      <c r="B196" s="165" t="str">
        <f t="shared" si="5"/>
        <v>ن</v>
      </c>
      <c r="C196" s="164" t="str">
        <f t="shared" si="5"/>
        <v>ن1</v>
      </c>
      <c r="D196" s="164" t="str">
        <f t="shared" si="5"/>
        <v>ن1-2</v>
      </c>
      <c r="E196" s="164" t="str">
        <f t="shared" si="5"/>
        <v>ن1-2-1</v>
      </c>
      <c r="F196" s="171" t="s">
        <v>2617</v>
      </c>
      <c r="G196" s="387" t="s">
        <v>2616</v>
      </c>
      <c r="H196" s="386"/>
      <c r="I196" s="386"/>
      <c r="J196" s="386"/>
      <c r="K196" s="386"/>
      <c r="L196" s="386"/>
      <c r="M196" s="386"/>
      <c r="N196" s="386"/>
      <c r="O196" s="386"/>
      <c r="P196" s="386"/>
      <c r="Q196" s="386"/>
      <c r="R196" s="386"/>
      <c r="S196" s="386"/>
      <c r="T196" s="386"/>
      <c r="U196" s="386"/>
      <c r="V196" s="386"/>
      <c r="W196" s="386"/>
      <c r="X196" s="386"/>
      <c r="Y196" s="386"/>
      <c r="Z196" s="386"/>
      <c r="AA196" s="386"/>
      <c r="AB196" s="250" t="s">
        <v>2577</v>
      </c>
      <c r="AC196" s="250"/>
      <c r="AD196" s="250"/>
      <c r="AE196" s="250"/>
      <c r="AF196" s="294" t="s">
        <v>2574</v>
      </c>
      <c r="AG196" s="279" t="s">
        <v>2152</v>
      </c>
      <c r="AH196" s="280"/>
      <c r="AI196" s="280"/>
      <c r="AJ196" s="279"/>
      <c r="AK196" s="279"/>
    </row>
    <row r="197" spans="1:37" s="178" customFormat="1" ht="15" customHeight="1" outlineLevel="4">
      <c r="A197" s="178" t="s">
        <v>3500</v>
      </c>
      <c r="B197" s="165" t="str">
        <f t="shared" si="5"/>
        <v>ن</v>
      </c>
      <c r="C197" s="164" t="str">
        <f t="shared" si="5"/>
        <v>ن1</v>
      </c>
      <c r="D197" s="164" t="str">
        <f t="shared" si="5"/>
        <v>ن1-2</v>
      </c>
      <c r="E197" s="164" t="str">
        <f t="shared" si="5"/>
        <v>ن1-2-1</v>
      </c>
      <c r="F197" s="171" t="s">
        <v>2615</v>
      </c>
      <c r="G197" s="386" t="s">
        <v>2614</v>
      </c>
      <c r="H197" s="386"/>
      <c r="I197" s="386"/>
      <c r="J197" s="386"/>
      <c r="K197" s="386"/>
      <c r="L197" s="386"/>
      <c r="M197" s="386"/>
      <c r="N197" s="386"/>
      <c r="O197" s="386"/>
      <c r="P197" s="386"/>
      <c r="Q197" s="386"/>
      <c r="R197" s="386"/>
      <c r="S197" s="386"/>
      <c r="T197" s="386"/>
      <c r="U197" s="386"/>
      <c r="V197" s="386"/>
      <c r="W197" s="386"/>
      <c r="X197" s="386"/>
      <c r="Y197" s="386"/>
      <c r="Z197" s="386"/>
      <c r="AA197" s="386"/>
      <c r="AB197" s="250" t="s">
        <v>2577</v>
      </c>
      <c r="AC197" s="250"/>
      <c r="AD197" s="250"/>
      <c r="AE197" s="250"/>
      <c r="AF197" s="294" t="s">
        <v>2574</v>
      </c>
      <c r="AG197" s="279"/>
      <c r="AH197" s="280"/>
      <c r="AI197" s="280"/>
      <c r="AJ197" s="279"/>
      <c r="AK197" s="279"/>
    </row>
    <row r="198" spans="1:37" s="178" customFormat="1" ht="15" customHeight="1" outlineLevel="4">
      <c r="A198" s="178" t="s">
        <v>3500</v>
      </c>
      <c r="B198" s="165" t="str">
        <f t="shared" si="5"/>
        <v>ن</v>
      </c>
      <c r="C198" s="164" t="str">
        <f t="shared" si="5"/>
        <v>ن1</v>
      </c>
      <c r="D198" s="164" t="str">
        <f t="shared" si="5"/>
        <v>ن1-2</v>
      </c>
      <c r="E198" s="164" t="str">
        <f t="shared" si="5"/>
        <v>ن1-2-1</v>
      </c>
      <c r="F198" s="171" t="s">
        <v>2613</v>
      </c>
      <c r="G198" s="386" t="s">
        <v>2612</v>
      </c>
      <c r="H198" s="386"/>
      <c r="I198" s="386"/>
      <c r="J198" s="386"/>
      <c r="K198" s="386"/>
      <c r="L198" s="386"/>
      <c r="M198" s="386"/>
      <c r="N198" s="386"/>
      <c r="O198" s="386"/>
      <c r="P198" s="386"/>
      <c r="Q198" s="386"/>
      <c r="R198" s="386"/>
      <c r="S198" s="386"/>
      <c r="T198" s="386"/>
      <c r="U198" s="386"/>
      <c r="V198" s="386"/>
      <c r="W198" s="386"/>
      <c r="X198" s="386"/>
      <c r="Y198" s="386"/>
      <c r="Z198" s="386"/>
      <c r="AA198" s="386"/>
      <c r="AB198" s="250" t="s">
        <v>2577</v>
      </c>
      <c r="AC198" s="250"/>
      <c r="AD198" s="250"/>
      <c r="AE198" s="250"/>
      <c r="AF198" s="294" t="s">
        <v>2574</v>
      </c>
      <c r="AG198" s="279"/>
      <c r="AH198" s="280"/>
      <c r="AI198" s="280"/>
      <c r="AJ198" s="279"/>
      <c r="AK198" s="279"/>
    </row>
    <row r="199" spans="1:37" s="178" customFormat="1" ht="15" customHeight="1" outlineLevel="4">
      <c r="A199" s="178" t="s">
        <v>3500</v>
      </c>
      <c r="B199" s="165" t="str">
        <f t="shared" si="5"/>
        <v>ن</v>
      </c>
      <c r="C199" s="164" t="str">
        <f t="shared" si="5"/>
        <v>ن1</v>
      </c>
      <c r="D199" s="164" t="str">
        <f t="shared" si="5"/>
        <v>ن1-2</v>
      </c>
      <c r="E199" s="164" t="str">
        <f t="shared" si="5"/>
        <v>ن1-2-1</v>
      </c>
      <c r="F199" s="171" t="s">
        <v>2611</v>
      </c>
      <c r="G199" s="386" t="s">
        <v>2610</v>
      </c>
      <c r="H199" s="386"/>
      <c r="I199" s="386"/>
      <c r="J199" s="386"/>
      <c r="K199" s="386"/>
      <c r="L199" s="386"/>
      <c r="M199" s="386"/>
      <c r="N199" s="386"/>
      <c r="O199" s="386"/>
      <c r="P199" s="386"/>
      <c r="Q199" s="386"/>
      <c r="R199" s="386"/>
      <c r="S199" s="386"/>
      <c r="T199" s="386"/>
      <c r="U199" s="386"/>
      <c r="V199" s="386"/>
      <c r="W199" s="386"/>
      <c r="X199" s="386"/>
      <c r="Y199" s="386"/>
      <c r="Z199" s="386"/>
      <c r="AA199" s="386"/>
      <c r="AB199" s="250" t="s">
        <v>2577</v>
      </c>
      <c r="AC199" s="250"/>
      <c r="AD199" s="250"/>
      <c r="AE199" s="250"/>
      <c r="AF199" s="294" t="s">
        <v>2574</v>
      </c>
      <c r="AG199" s="279"/>
      <c r="AH199" s="280"/>
      <c r="AI199" s="280"/>
      <c r="AJ199" s="279"/>
      <c r="AK199" s="279"/>
    </row>
    <row r="200" spans="1:37" s="178" customFormat="1" ht="15" customHeight="1" outlineLevel="4">
      <c r="A200" s="178" t="s">
        <v>3500</v>
      </c>
      <c r="B200" s="165" t="str">
        <f t="shared" si="5"/>
        <v>ن</v>
      </c>
      <c r="C200" s="164" t="str">
        <f t="shared" si="5"/>
        <v>ن1</v>
      </c>
      <c r="D200" s="164" t="str">
        <f t="shared" si="5"/>
        <v>ن1-2</v>
      </c>
      <c r="E200" s="164" t="str">
        <f t="shared" si="5"/>
        <v>ن1-2-1</v>
      </c>
      <c r="F200" s="171" t="s">
        <v>2609</v>
      </c>
      <c r="G200" s="386" t="s">
        <v>2608</v>
      </c>
      <c r="H200" s="386"/>
      <c r="I200" s="386"/>
      <c r="J200" s="386"/>
      <c r="K200" s="386"/>
      <c r="L200" s="386"/>
      <c r="M200" s="386"/>
      <c r="N200" s="386"/>
      <c r="O200" s="386"/>
      <c r="P200" s="386"/>
      <c r="Q200" s="386"/>
      <c r="R200" s="386"/>
      <c r="S200" s="386"/>
      <c r="T200" s="386"/>
      <c r="U200" s="386"/>
      <c r="V200" s="386"/>
      <c r="W200" s="386"/>
      <c r="X200" s="386"/>
      <c r="Y200" s="386"/>
      <c r="Z200" s="386"/>
      <c r="AA200" s="386"/>
      <c r="AB200" s="250" t="s">
        <v>2577</v>
      </c>
      <c r="AC200" s="250"/>
      <c r="AD200" s="250"/>
      <c r="AE200" s="250"/>
      <c r="AF200" s="294" t="s">
        <v>2574</v>
      </c>
      <c r="AG200" s="279"/>
      <c r="AH200" s="280"/>
      <c r="AI200" s="280"/>
      <c r="AJ200" s="279"/>
      <c r="AK200" s="279"/>
    </row>
    <row r="201" spans="1:37" s="178" customFormat="1" ht="15" customHeight="1" outlineLevel="4">
      <c r="A201" s="178" t="s">
        <v>3500</v>
      </c>
      <c r="B201" s="165" t="str">
        <f t="shared" si="5"/>
        <v>ن</v>
      </c>
      <c r="C201" s="164" t="str">
        <f t="shared" si="5"/>
        <v>ن1</v>
      </c>
      <c r="D201" s="164" t="str">
        <f t="shared" si="5"/>
        <v>ن1-2</v>
      </c>
      <c r="E201" s="164" t="str">
        <f t="shared" si="5"/>
        <v>ن1-2-1</v>
      </c>
      <c r="F201" s="171" t="s">
        <v>2607</v>
      </c>
      <c r="G201" s="386" t="s">
        <v>2606</v>
      </c>
      <c r="H201" s="386"/>
      <c r="I201" s="386"/>
      <c r="J201" s="386"/>
      <c r="K201" s="386"/>
      <c r="L201" s="386"/>
      <c r="M201" s="386"/>
      <c r="N201" s="386"/>
      <c r="O201" s="386"/>
      <c r="P201" s="386"/>
      <c r="Q201" s="386"/>
      <c r="R201" s="386"/>
      <c r="S201" s="386"/>
      <c r="T201" s="386"/>
      <c r="U201" s="386"/>
      <c r="V201" s="386"/>
      <c r="W201" s="386"/>
      <c r="X201" s="386"/>
      <c r="Y201" s="386"/>
      <c r="Z201" s="386"/>
      <c r="AA201" s="386"/>
      <c r="AB201" s="257" t="s">
        <v>2577</v>
      </c>
      <c r="AC201" s="257"/>
      <c r="AD201" s="257"/>
      <c r="AE201" s="257"/>
      <c r="AF201" s="294" t="s">
        <v>2605</v>
      </c>
      <c r="AG201" s="279" t="s">
        <v>2152</v>
      </c>
      <c r="AH201" s="280"/>
      <c r="AI201" s="280"/>
      <c r="AJ201" s="279"/>
      <c r="AK201" s="279"/>
    </row>
    <row r="202" spans="1:37" s="178" customFormat="1" ht="15" customHeight="1" outlineLevel="4">
      <c r="A202" s="178" t="s">
        <v>3500</v>
      </c>
      <c r="B202" s="165" t="str">
        <f t="shared" si="5"/>
        <v>ن</v>
      </c>
      <c r="C202" s="164" t="str">
        <f t="shared" si="5"/>
        <v>ن1</v>
      </c>
      <c r="D202" s="164" t="str">
        <f t="shared" si="5"/>
        <v>ن1-2</v>
      </c>
      <c r="E202" s="164" t="str">
        <f t="shared" si="5"/>
        <v>ن1-2-1</v>
      </c>
      <c r="F202" s="171" t="s">
        <v>2604</v>
      </c>
      <c r="G202" s="386" t="s">
        <v>2603</v>
      </c>
      <c r="H202" s="386"/>
      <c r="I202" s="386"/>
      <c r="J202" s="386"/>
      <c r="K202" s="386"/>
      <c r="L202" s="386"/>
      <c r="M202" s="386"/>
      <c r="N202" s="386"/>
      <c r="O202" s="386"/>
      <c r="P202" s="386"/>
      <c r="Q202" s="386"/>
      <c r="R202" s="386"/>
      <c r="S202" s="386"/>
      <c r="T202" s="386"/>
      <c r="U202" s="386"/>
      <c r="V202" s="386"/>
      <c r="W202" s="386"/>
      <c r="X202" s="386"/>
      <c r="Y202" s="386"/>
      <c r="Z202" s="386"/>
      <c r="AA202" s="386"/>
      <c r="AB202" s="250" t="s">
        <v>2577</v>
      </c>
      <c r="AC202" s="250"/>
      <c r="AD202" s="250"/>
      <c r="AE202" s="250"/>
      <c r="AF202" s="294" t="s">
        <v>2574</v>
      </c>
      <c r="AG202" s="279"/>
      <c r="AH202" s="280"/>
      <c r="AI202" s="280"/>
      <c r="AJ202" s="279"/>
      <c r="AK202" s="279"/>
    </row>
    <row r="203" spans="1:37" s="178" customFormat="1" ht="15" customHeight="1" outlineLevel="4">
      <c r="A203" s="178" t="s">
        <v>3500</v>
      </c>
      <c r="B203" s="165" t="str">
        <f t="shared" si="5"/>
        <v>ن</v>
      </c>
      <c r="C203" s="164" t="str">
        <f t="shared" si="5"/>
        <v>ن1</v>
      </c>
      <c r="D203" s="164" t="str">
        <f t="shared" si="5"/>
        <v>ن1-2</v>
      </c>
      <c r="E203" s="164" t="str">
        <f t="shared" si="5"/>
        <v>ن1-2-1</v>
      </c>
      <c r="F203" s="171" t="s">
        <v>2602</v>
      </c>
      <c r="G203" s="386"/>
      <c r="H203" s="386"/>
      <c r="I203" s="386"/>
      <c r="J203" s="386"/>
      <c r="K203" s="386"/>
      <c r="L203" s="386"/>
      <c r="M203" s="386"/>
      <c r="N203" s="386"/>
      <c r="O203" s="386"/>
      <c r="P203" s="386"/>
      <c r="Q203" s="386"/>
      <c r="R203" s="386"/>
      <c r="S203" s="386"/>
      <c r="T203" s="386"/>
      <c r="U203" s="386"/>
      <c r="V203" s="386"/>
      <c r="W203" s="386"/>
      <c r="X203" s="386"/>
      <c r="Y203" s="386"/>
      <c r="Z203" s="386"/>
      <c r="AA203" s="386"/>
      <c r="AB203" s="250" t="s">
        <v>2577</v>
      </c>
      <c r="AC203" s="250"/>
      <c r="AD203" s="250"/>
      <c r="AE203" s="250"/>
      <c r="AF203" s="294" t="s">
        <v>2574</v>
      </c>
      <c r="AG203" s="279"/>
      <c r="AH203" s="280"/>
      <c r="AI203" s="280"/>
      <c r="AJ203" s="279"/>
      <c r="AK203" s="279"/>
    </row>
    <row r="204" spans="1:37" s="178" customFormat="1" ht="27.95" customHeight="1" outlineLevel="4">
      <c r="A204" s="178" t="s">
        <v>3500</v>
      </c>
      <c r="B204" s="165" t="str">
        <f t="shared" si="5"/>
        <v>ن</v>
      </c>
      <c r="C204" s="164" t="str">
        <f t="shared" si="5"/>
        <v>ن1</v>
      </c>
      <c r="D204" s="164" t="str">
        <f t="shared" si="5"/>
        <v>ن1-2</v>
      </c>
      <c r="E204" s="164" t="str">
        <f t="shared" si="5"/>
        <v>ن1-2-1</v>
      </c>
      <c r="F204" s="171" t="s">
        <v>2601</v>
      </c>
      <c r="G204" s="386" t="s">
        <v>2600</v>
      </c>
      <c r="H204" s="386"/>
      <c r="I204" s="386"/>
      <c r="J204" s="386"/>
      <c r="K204" s="386"/>
      <c r="L204" s="386"/>
      <c r="M204" s="386"/>
      <c r="N204" s="386"/>
      <c r="O204" s="386"/>
      <c r="P204" s="386"/>
      <c r="Q204" s="386"/>
      <c r="R204" s="386"/>
      <c r="S204" s="386"/>
      <c r="T204" s="386"/>
      <c r="U204" s="386"/>
      <c r="V204" s="386"/>
      <c r="W204" s="386"/>
      <c r="X204" s="386"/>
      <c r="Y204" s="386"/>
      <c r="Z204" s="386"/>
      <c r="AA204" s="386"/>
      <c r="AB204" s="250" t="s">
        <v>2577</v>
      </c>
      <c r="AC204" s="250"/>
      <c r="AD204" s="250"/>
      <c r="AE204" s="250"/>
      <c r="AF204" s="294" t="s">
        <v>2574</v>
      </c>
      <c r="AG204" s="279" t="s">
        <v>2152</v>
      </c>
      <c r="AH204" s="280"/>
      <c r="AI204" s="280"/>
      <c r="AJ204" s="279"/>
      <c r="AK204" s="279"/>
    </row>
    <row r="205" spans="1:37" s="178" customFormat="1" ht="9" hidden="1" customHeight="1" outlineLevel="3" thickBot="1">
      <c r="B205" s="165" t="str">
        <f t="shared" si="5"/>
        <v>ن</v>
      </c>
      <c r="C205" s="164" t="str">
        <f t="shared" si="5"/>
        <v>ن1</v>
      </c>
      <c r="D205" s="164" t="str">
        <f t="shared" si="5"/>
        <v>ن1-2</v>
      </c>
      <c r="E205" s="164" t="str">
        <f t="shared" si="5"/>
        <v>ن1-2-1</v>
      </c>
      <c r="F205" s="171"/>
      <c r="G205" s="295"/>
      <c r="H205" s="295"/>
      <c r="I205" s="295"/>
      <c r="J205" s="295"/>
      <c r="K205" s="295"/>
      <c r="L205" s="295"/>
      <c r="M205" s="295"/>
      <c r="N205" s="295"/>
      <c r="O205" s="295"/>
      <c r="P205" s="295"/>
      <c r="Q205" s="295"/>
      <c r="R205" s="295"/>
      <c r="S205" s="295"/>
      <c r="T205" s="295"/>
      <c r="U205" s="295"/>
      <c r="V205" s="295"/>
      <c r="W205" s="295"/>
      <c r="X205" s="295"/>
      <c r="Y205" s="295"/>
      <c r="Z205" s="295"/>
      <c r="AA205" s="295"/>
      <c r="AB205" s="250"/>
      <c r="AC205" s="250"/>
      <c r="AD205" s="250"/>
      <c r="AE205" s="250"/>
      <c r="AF205" s="294" t="s">
        <v>2574</v>
      </c>
      <c r="AG205" s="279"/>
      <c r="AH205" s="280"/>
      <c r="AI205" s="280"/>
      <c r="AJ205" s="279"/>
      <c r="AK205" s="279"/>
    </row>
    <row r="206" spans="1:37" s="178" customFormat="1" ht="12.6" hidden="1" customHeight="1" outlineLevel="3" thickTop="1" thickBot="1">
      <c r="A206" s="178" t="s">
        <v>189</v>
      </c>
      <c r="B206" s="165" t="str">
        <f t="shared" si="5"/>
        <v>ن</v>
      </c>
      <c r="C206" s="164" t="str">
        <f t="shared" si="5"/>
        <v>ن1</v>
      </c>
      <c r="D206" s="184" t="str">
        <f t="shared" si="5"/>
        <v>ن1-2</v>
      </c>
      <c r="E206" s="183" t="s">
        <v>2599</v>
      </c>
      <c r="F206" s="183" t="s">
        <v>2599</v>
      </c>
      <c r="G206" s="384" t="s">
        <v>2598</v>
      </c>
      <c r="H206" s="384"/>
      <c r="I206" s="384"/>
      <c r="J206" s="384"/>
      <c r="K206" s="384"/>
      <c r="L206" s="384"/>
      <c r="M206" s="384"/>
      <c r="N206" s="384"/>
      <c r="O206" s="384"/>
      <c r="P206" s="384"/>
      <c r="Q206" s="384"/>
      <c r="R206" s="384"/>
      <c r="S206" s="384"/>
      <c r="T206" s="384"/>
      <c r="U206" s="384"/>
      <c r="V206" s="384"/>
      <c r="W206" s="384"/>
      <c r="X206" s="384"/>
      <c r="Y206" s="384"/>
      <c r="Z206" s="384"/>
      <c r="AA206" s="384"/>
      <c r="AB206" s="182" t="s">
        <v>2110</v>
      </c>
      <c r="AC206" s="181"/>
      <c r="AD206" s="181"/>
      <c r="AE206" s="181"/>
      <c r="AF206" s="294"/>
      <c r="AG206" s="279"/>
      <c r="AH206" s="280"/>
      <c r="AI206" s="280"/>
      <c r="AJ206" s="279"/>
      <c r="AK206" s="279"/>
    </row>
    <row r="207" spans="1:37" s="178" customFormat="1" ht="15" customHeight="1" outlineLevel="4">
      <c r="A207" s="178" t="s">
        <v>3500</v>
      </c>
      <c r="B207" s="165" t="str">
        <f t="shared" si="5"/>
        <v>ن</v>
      </c>
      <c r="C207" s="164" t="str">
        <f t="shared" si="5"/>
        <v>ن1</v>
      </c>
      <c r="D207" s="164" t="str">
        <f t="shared" si="5"/>
        <v>ن1-2</v>
      </c>
      <c r="E207" s="164" t="str">
        <f t="shared" si="5"/>
        <v>ن1-2-2</v>
      </c>
      <c r="F207" s="171" t="s">
        <v>2597</v>
      </c>
      <c r="G207" s="386" t="s">
        <v>2596</v>
      </c>
      <c r="H207" s="386"/>
      <c r="I207" s="386"/>
      <c r="J207" s="386"/>
      <c r="K207" s="386"/>
      <c r="L207" s="386"/>
      <c r="M207" s="386"/>
      <c r="N207" s="386"/>
      <c r="O207" s="386"/>
      <c r="P207" s="386"/>
      <c r="Q207" s="386"/>
      <c r="R207" s="386"/>
      <c r="S207" s="386"/>
      <c r="T207" s="386"/>
      <c r="U207" s="386"/>
      <c r="V207" s="386"/>
      <c r="W207" s="386"/>
      <c r="X207" s="386"/>
      <c r="Y207" s="386"/>
      <c r="Z207" s="386"/>
      <c r="AA207" s="386"/>
      <c r="AB207" s="250" t="s">
        <v>2577</v>
      </c>
      <c r="AC207" s="250"/>
      <c r="AD207" s="250"/>
      <c r="AE207" s="250"/>
      <c r="AF207" s="294" t="s">
        <v>2574</v>
      </c>
      <c r="AG207" s="279"/>
      <c r="AH207" s="280"/>
      <c r="AI207" s="280"/>
      <c r="AJ207" s="279"/>
      <c r="AK207" s="279"/>
    </row>
    <row r="208" spans="1:37" s="178" customFormat="1" ht="15" customHeight="1" outlineLevel="4">
      <c r="A208" s="178" t="s">
        <v>3500</v>
      </c>
      <c r="B208" s="165" t="str">
        <f t="shared" si="5"/>
        <v>ن</v>
      </c>
      <c r="C208" s="164" t="str">
        <f t="shared" si="5"/>
        <v>ن1</v>
      </c>
      <c r="D208" s="164" t="str">
        <f t="shared" si="5"/>
        <v>ن1-2</v>
      </c>
      <c r="E208" s="164" t="str">
        <f t="shared" si="5"/>
        <v>ن1-2-2</v>
      </c>
      <c r="F208" s="171" t="s">
        <v>2595</v>
      </c>
      <c r="G208" s="386" t="s">
        <v>2594</v>
      </c>
      <c r="H208" s="386"/>
      <c r="I208" s="386"/>
      <c r="J208" s="386"/>
      <c r="K208" s="386"/>
      <c r="L208" s="386"/>
      <c r="M208" s="386"/>
      <c r="N208" s="386"/>
      <c r="O208" s="386"/>
      <c r="P208" s="386"/>
      <c r="Q208" s="386"/>
      <c r="R208" s="386"/>
      <c r="S208" s="386"/>
      <c r="T208" s="386"/>
      <c r="U208" s="386"/>
      <c r="V208" s="386"/>
      <c r="W208" s="386"/>
      <c r="X208" s="386"/>
      <c r="Y208" s="386"/>
      <c r="Z208" s="386"/>
      <c r="AA208" s="386"/>
      <c r="AB208" s="250" t="s">
        <v>2577</v>
      </c>
      <c r="AC208" s="250"/>
      <c r="AD208" s="250"/>
      <c r="AE208" s="250"/>
      <c r="AF208" s="294" t="s">
        <v>2574</v>
      </c>
      <c r="AG208" s="279"/>
      <c r="AH208" s="280"/>
      <c r="AI208" s="280"/>
      <c r="AJ208" s="279"/>
      <c r="AK208" s="279"/>
    </row>
    <row r="209" spans="1:37" s="178" customFormat="1" ht="15" customHeight="1" outlineLevel="4">
      <c r="A209" s="178" t="s">
        <v>3500</v>
      </c>
      <c r="B209" s="165" t="str">
        <f t="shared" si="5"/>
        <v>ن</v>
      </c>
      <c r="C209" s="164" t="str">
        <f t="shared" si="5"/>
        <v>ن1</v>
      </c>
      <c r="D209" s="164" t="str">
        <f t="shared" si="5"/>
        <v>ن1-2</v>
      </c>
      <c r="E209" s="164" t="str">
        <f t="shared" si="5"/>
        <v>ن1-2-2</v>
      </c>
      <c r="F209" s="171" t="s">
        <v>2593</v>
      </c>
      <c r="G209" s="386" t="s">
        <v>2592</v>
      </c>
      <c r="H209" s="386"/>
      <c r="I209" s="386"/>
      <c r="J209" s="386"/>
      <c r="K209" s="386"/>
      <c r="L209" s="386"/>
      <c r="M209" s="386"/>
      <c r="N209" s="386"/>
      <c r="O209" s="386"/>
      <c r="P209" s="386"/>
      <c r="Q209" s="386"/>
      <c r="R209" s="386"/>
      <c r="S209" s="386"/>
      <c r="T209" s="386"/>
      <c r="U209" s="386"/>
      <c r="V209" s="386"/>
      <c r="W209" s="386"/>
      <c r="X209" s="386"/>
      <c r="Y209" s="386"/>
      <c r="Z209" s="386"/>
      <c r="AA209" s="386"/>
      <c r="AB209" s="250" t="s">
        <v>2577</v>
      </c>
      <c r="AC209" s="250"/>
      <c r="AD209" s="250"/>
      <c r="AE209" s="250"/>
      <c r="AF209" s="294" t="s">
        <v>2574</v>
      </c>
      <c r="AG209" s="279" t="s">
        <v>2152</v>
      </c>
      <c r="AH209" s="280"/>
      <c r="AI209" s="280"/>
      <c r="AJ209" s="279"/>
      <c r="AK209" s="279"/>
    </row>
    <row r="210" spans="1:37" s="178" customFormat="1" ht="15" customHeight="1" outlineLevel="4">
      <c r="A210" s="178" t="s">
        <v>3500</v>
      </c>
      <c r="B210" s="165" t="str">
        <f t="shared" si="5"/>
        <v>ن</v>
      </c>
      <c r="C210" s="164" t="str">
        <f t="shared" si="5"/>
        <v>ن1</v>
      </c>
      <c r="D210" s="164" t="str">
        <f t="shared" si="5"/>
        <v>ن1-2</v>
      </c>
      <c r="E210" s="164" t="str">
        <f t="shared" si="5"/>
        <v>ن1-2-2</v>
      </c>
      <c r="F210" s="171" t="s">
        <v>2591</v>
      </c>
      <c r="G210" s="386" t="s">
        <v>2590</v>
      </c>
      <c r="H210" s="386"/>
      <c r="I210" s="386"/>
      <c r="J210" s="386"/>
      <c r="K210" s="386"/>
      <c r="L210" s="386"/>
      <c r="M210" s="386"/>
      <c r="N210" s="386"/>
      <c r="O210" s="386"/>
      <c r="P210" s="386"/>
      <c r="Q210" s="386"/>
      <c r="R210" s="386"/>
      <c r="S210" s="386"/>
      <c r="T210" s="386"/>
      <c r="U210" s="386"/>
      <c r="V210" s="386"/>
      <c r="W210" s="386"/>
      <c r="X210" s="386"/>
      <c r="Y210" s="386"/>
      <c r="Z210" s="386"/>
      <c r="AA210" s="386"/>
      <c r="AB210" s="250" t="s">
        <v>2577</v>
      </c>
      <c r="AC210" s="250"/>
      <c r="AD210" s="250"/>
      <c r="AE210" s="250"/>
      <c r="AF210" s="294" t="s">
        <v>2574</v>
      </c>
      <c r="AG210" s="279" t="s">
        <v>2152</v>
      </c>
      <c r="AH210" s="280"/>
      <c r="AI210" s="280"/>
      <c r="AJ210" s="279"/>
      <c r="AK210" s="279"/>
    </row>
    <row r="211" spans="1:37" s="178" customFormat="1" ht="15" customHeight="1" outlineLevel="4">
      <c r="A211" s="178" t="s">
        <v>3500</v>
      </c>
      <c r="B211" s="165" t="str">
        <f t="shared" si="5"/>
        <v>ن</v>
      </c>
      <c r="C211" s="164" t="str">
        <f t="shared" si="5"/>
        <v>ن1</v>
      </c>
      <c r="D211" s="164" t="str">
        <f t="shared" si="5"/>
        <v>ن1-2</v>
      </c>
      <c r="E211" s="164" t="str">
        <f t="shared" si="5"/>
        <v>ن1-2-2</v>
      </c>
      <c r="F211" s="171" t="s">
        <v>2589</v>
      </c>
      <c r="G211" s="386" t="s">
        <v>2588</v>
      </c>
      <c r="H211" s="386"/>
      <c r="I211" s="386"/>
      <c r="J211" s="386"/>
      <c r="K211" s="386"/>
      <c r="L211" s="386"/>
      <c r="M211" s="386"/>
      <c r="N211" s="386"/>
      <c r="O211" s="386"/>
      <c r="P211" s="386"/>
      <c r="Q211" s="386"/>
      <c r="R211" s="386"/>
      <c r="S211" s="386"/>
      <c r="T211" s="386"/>
      <c r="U211" s="386"/>
      <c r="V211" s="386"/>
      <c r="W211" s="386"/>
      <c r="X211" s="386"/>
      <c r="Y211" s="386"/>
      <c r="Z211" s="386"/>
      <c r="AA211" s="386"/>
      <c r="AB211" s="250" t="s">
        <v>2577</v>
      </c>
      <c r="AC211" s="250"/>
      <c r="AD211" s="250"/>
      <c r="AE211" s="250"/>
      <c r="AF211" s="294" t="s">
        <v>2574</v>
      </c>
      <c r="AG211" s="279" t="s">
        <v>2152</v>
      </c>
      <c r="AH211" s="280"/>
      <c r="AI211" s="280"/>
      <c r="AJ211" s="279"/>
      <c r="AK211" s="279"/>
    </row>
    <row r="212" spans="1:37" s="178" customFormat="1" ht="30" customHeight="1" outlineLevel="4">
      <c r="A212" s="178" t="s">
        <v>3500</v>
      </c>
      <c r="B212" s="165" t="str">
        <f t="shared" si="5"/>
        <v>ن</v>
      </c>
      <c r="C212" s="164" t="str">
        <f t="shared" si="5"/>
        <v>ن1</v>
      </c>
      <c r="D212" s="164" t="str">
        <f t="shared" si="5"/>
        <v>ن1-2</v>
      </c>
      <c r="E212" s="164" t="str">
        <f t="shared" si="5"/>
        <v>ن1-2-2</v>
      </c>
      <c r="F212" s="171" t="s">
        <v>2587</v>
      </c>
      <c r="G212" s="386" t="s">
        <v>2586</v>
      </c>
      <c r="H212" s="386"/>
      <c r="I212" s="386"/>
      <c r="J212" s="386"/>
      <c r="K212" s="386"/>
      <c r="L212" s="386"/>
      <c r="M212" s="386"/>
      <c r="N212" s="386"/>
      <c r="O212" s="386"/>
      <c r="P212" s="386"/>
      <c r="Q212" s="386"/>
      <c r="R212" s="386"/>
      <c r="S212" s="386"/>
      <c r="T212" s="386"/>
      <c r="U212" s="386"/>
      <c r="V212" s="386"/>
      <c r="W212" s="386"/>
      <c r="X212" s="386"/>
      <c r="Y212" s="386"/>
      <c r="Z212" s="386"/>
      <c r="AA212" s="386"/>
      <c r="AB212" s="250" t="s">
        <v>2577</v>
      </c>
      <c r="AC212" s="250"/>
      <c r="AD212" s="250"/>
      <c r="AE212" s="250"/>
      <c r="AF212" s="294" t="s">
        <v>2574</v>
      </c>
      <c r="AG212" s="279"/>
      <c r="AH212" s="280"/>
      <c r="AI212" s="280"/>
      <c r="AJ212" s="279"/>
      <c r="AK212" s="279"/>
    </row>
    <row r="213" spans="1:37" s="178" customFormat="1" ht="15" customHeight="1" outlineLevel="4">
      <c r="A213" s="178" t="s">
        <v>3500</v>
      </c>
      <c r="B213" s="165" t="str">
        <f t="shared" si="5"/>
        <v>ن</v>
      </c>
      <c r="C213" s="164" t="str">
        <f t="shared" si="5"/>
        <v>ن1</v>
      </c>
      <c r="D213" s="164" t="str">
        <f t="shared" si="5"/>
        <v>ن1-2</v>
      </c>
      <c r="E213" s="164" t="str">
        <f t="shared" si="5"/>
        <v>ن1-2-2</v>
      </c>
      <c r="F213" s="171" t="s">
        <v>2585</v>
      </c>
      <c r="G213" s="386" t="s">
        <v>2584</v>
      </c>
      <c r="H213" s="386"/>
      <c r="I213" s="386"/>
      <c r="J213" s="386"/>
      <c r="K213" s="386"/>
      <c r="L213" s="386"/>
      <c r="M213" s="386"/>
      <c r="N213" s="386"/>
      <c r="O213" s="386"/>
      <c r="P213" s="386"/>
      <c r="Q213" s="386"/>
      <c r="R213" s="386"/>
      <c r="S213" s="386"/>
      <c r="T213" s="386"/>
      <c r="U213" s="386"/>
      <c r="V213" s="386"/>
      <c r="W213" s="386"/>
      <c r="X213" s="386"/>
      <c r="Y213" s="386"/>
      <c r="Z213" s="386"/>
      <c r="AA213" s="386"/>
      <c r="AB213" s="250" t="s">
        <v>2577</v>
      </c>
      <c r="AC213" s="250"/>
      <c r="AD213" s="250"/>
      <c r="AE213" s="250"/>
      <c r="AF213" s="294" t="s">
        <v>2574</v>
      </c>
      <c r="AG213" s="279"/>
      <c r="AH213" s="280"/>
      <c r="AI213" s="280"/>
      <c r="AJ213" s="279"/>
      <c r="AK213" s="279"/>
    </row>
    <row r="214" spans="1:37" s="178" customFormat="1" ht="15" customHeight="1" outlineLevel="4">
      <c r="A214" s="178" t="s">
        <v>3500</v>
      </c>
      <c r="B214" s="165" t="str">
        <f t="shared" si="5"/>
        <v>ن</v>
      </c>
      <c r="C214" s="164" t="str">
        <f t="shared" si="5"/>
        <v>ن1</v>
      </c>
      <c r="D214" s="164" t="str">
        <f t="shared" si="5"/>
        <v>ن1-2</v>
      </c>
      <c r="E214" s="164" t="str">
        <f t="shared" si="5"/>
        <v>ن1-2-2</v>
      </c>
      <c r="F214" s="171" t="s">
        <v>2583</v>
      </c>
      <c r="G214" s="386" t="s">
        <v>2582</v>
      </c>
      <c r="H214" s="386"/>
      <c r="I214" s="386"/>
      <c r="J214" s="386"/>
      <c r="K214" s="386"/>
      <c r="L214" s="386"/>
      <c r="M214" s="386"/>
      <c r="N214" s="386"/>
      <c r="O214" s="386"/>
      <c r="P214" s="386"/>
      <c r="Q214" s="386"/>
      <c r="R214" s="386"/>
      <c r="S214" s="386"/>
      <c r="T214" s="386"/>
      <c r="U214" s="386"/>
      <c r="V214" s="386"/>
      <c r="W214" s="386"/>
      <c r="X214" s="386"/>
      <c r="Y214" s="386"/>
      <c r="Z214" s="386"/>
      <c r="AA214" s="386"/>
      <c r="AB214" s="250" t="s">
        <v>2577</v>
      </c>
      <c r="AC214" s="250"/>
      <c r="AD214" s="250"/>
      <c r="AE214" s="250"/>
      <c r="AF214" s="294" t="s">
        <v>2574</v>
      </c>
      <c r="AG214" s="279"/>
      <c r="AH214" s="280"/>
      <c r="AI214" s="280"/>
      <c r="AJ214" s="279"/>
      <c r="AK214" s="279"/>
    </row>
    <row r="215" spans="1:37" s="178" customFormat="1" ht="15" customHeight="1" outlineLevel="4">
      <c r="A215" s="178" t="s">
        <v>3500</v>
      </c>
      <c r="B215" s="165" t="str">
        <f t="shared" si="5"/>
        <v>ن</v>
      </c>
      <c r="C215" s="164" t="str">
        <f t="shared" si="5"/>
        <v>ن1</v>
      </c>
      <c r="D215" s="164" t="str">
        <f t="shared" si="5"/>
        <v>ن1-2</v>
      </c>
      <c r="E215" s="164" t="str">
        <f t="shared" si="5"/>
        <v>ن1-2-2</v>
      </c>
      <c r="F215" s="171" t="s">
        <v>2581</v>
      </c>
      <c r="G215" s="386" t="s">
        <v>2580</v>
      </c>
      <c r="H215" s="386"/>
      <c r="I215" s="386"/>
      <c r="J215" s="386"/>
      <c r="K215" s="386"/>
      <c r="L215" s="386"/>
      <c r="M215" s="386"/>
      <c r="N215" s="386"/>
      <c r="O215" s="386"/>
      <c r="P215" s="386"/>
      <c r="Q215" s="386"/>
      <c r="R215" s="386"/>
      <c r="S215" s="386"/>
      <c r="T215" s="386"/>
      <c r="U215" s="386"/>
      <c r="V215" s="386"/>
      <c r="W215" s="386"/>
      <c r="X215" s="386"/>
      <c r="Y215" s="386"/>
      <c r="Z215" s="386"/>
      <c r="AA215" s="386"/>
      <c r="AB215" s="250" t="s">
        <v>2577</v>
      </c>
      <c r="AC215" s="250"/>
      <c r="AD215" s="250"/>
      <c r="AE215" s="250"/>
      <c r="AF215" s="294" t="s">
        <v>2574</v>
      </c>
      <c r="AG215" s="279"/>
      <c r="AH215" s="280"/>
      <c r="AI215" s="280"/>
      <c r="AJ215" s="279"/>
      <c r="AK215" s="279"/>
    </row>
    <row r="216" spans="1:37" s="178" customFormat="1" ht="15" customHeight="1" outlineLevel="4">
      <c r="A216" s="178" t="s">
        <v>3500</v>
      </c>
      <c r="B216" s="165" t="str">
        <f t="shared" si="5"/>
        <v>ن</v>
      </c>
      <c r="C216" s="164" t="str">
        <f t="shared" si="5"/>
        <v>ن1</v>
      </c>
      <c r="D216" s="164" t="str">
        <f t="shared" si="5"/>
        <v>ن1-2</v>
      </c>
      <c r="E216" s="164" t="str">
        <f t="shared" si="5"/>
        <v>ن1-2-2</v>
      </c>
      <c r="F216" s="171" t="s">
        <v>2579</v>
      </c>
      <c r="G216" s="386" t="s">
        <v>2578</v>
      </c>
      <c r="H216" s="386"/>
      <c r="I216" s="386"/>
      <c r="J216" s="386"/>
      <c r="K216" s="386"/>
      <c r="L216" s="386"/>
      <c r="M216" s="386"/>
      <c r="N216" s="386"/>
      <c r="O216" s="386"/>
      <c r="P216" s="386"/>
      <c r="Q216" s="386"/>
      <c r="R216" s="386"/>
      <c r="S216" s="386"/>
      <c r="T216" s="386"/>
      <c r="U216" s="386"/>
      <c r="V216" s="386"/>
      <c r="W216" s="386"/>
      <c r="X216" s="386"/>
      <c r="Y216" s="386"/>
      <c r="Z216" s="386"/>
      <c r="AA216" s="386"/>
      <c r="AB216" s="250" t="s">
        <v>2577</v>
      </c>
      <c r="AC216" s="250"/>
      <c r="AD216" s="250"/>
      <c r="AE216" s="250"/>
      <c r="AF216" s="294" t="s">
        <v>2574</v>
      </c>
      <c r="AG216" s="279"/>
      <c r="AH216" s="280"/>
      <c r="AI216" s="280"/>
      <c r="AJ216" s="279"/>
      <c r="AK216" s="279"/>
    </row>
    <row r="217" spans="1:37" s="178" customFormat="1" ht="15" customHeight="1" outlineLevel="4">
      <c r="A217" s="178" t="s">
        <v>3500</v>
      </c>
      <c r="B217" s="165" t="str">
        <f t="shared" si="5"/>
        <v>ن</v>
      </c>
      <c r="C217" s="164" t="str">
        <f t="shared" si="5"/>
        <v>ن1</v>
      </c>
      <c r="D217" s="164" t="str">
        <f t="shared" si="5"/>
        <v>ن1-2</v>
      </c>
      <c r="E217" s="164" t="str">
        <f t="shared" si="5"/>
        <v>ن1-2-2</v>
      </c>
      <c r="F217" s="171" t="s">
        <v>2576</v>
      </c>
      <c r="G217" s="387" t="s">
        <v>2575</v>
      </c>
      <c r="H217" s="386"/>
      <c r="I217" s="386"/>
      <c r="J217" s="386"/>
      <c r="K217" s="386"/>
      <c r="L217" s="386"/>
      <c r="M217" s="386"/>
      <c r="N217" s="386"/>
      <c r="O217" s="386"/>
      <c r="P217" s="386"/>
      <c r="Q217" s="386"/>
      <c r="R217" s="386"/>
      <c r="S217" s="386"/>
      <c r="T217" s="386"/>
      <c r="U217" s="386"/>
      <c r="V217" s="386"/>
      <c r="W217" s="386"/>
      <c r="X217" s="386"/>
      <c r="Y217" s="386"/>
      <c r="Z217" s="386"/>
      <c r="AA217" s="386"/>
      <c r="AB217" s="250">
        <v>3</v>
      </c>
      <c r="AC217" s="250"/>
      <c r="AD217" s="250"/>
      <c r="AE217" s="250"/>
      <c r="AF217" s="294" t="s">
        <v>2574</v>
      </c>
      <c r="AG217" s="279" t="s">
        <v>2152</v>
      </c>
      <c r="AH217" s="280"/>
      <c r="AI217" s="280"/>
      <c r="AJ217" s="279"/>
      <c r="AK217" s="279"/>
    </row>
    <row r="218" spans="1:37" s="178" customFormat="1" ht="9" hidden="1" customHeight="1" outlineLevel="3">
      <c r="B218" s="165" t="str">
        <f t="shared" ref="B218:E281" si="6">B217</f>
        <v>ن</v>
      </c>
      <c r="C218" s="164" t="str">
        <f t="shared" si="6"/>
        <v>ن1</v>
      </c>
      <c r="D218" s="164" t="str">
        <f t="shared" si="6"/>
        <v>ن1-2</v>
      </c>
      <c r="E218" s="164" t="str">
        <f t="shared" si="6"/>
        <v>ن1-2-2</v>
      </c>
      <c r="F218" s="171"/>
      <c r="G218" s="295"/>
      <c r="H218" s="295"/>
      <c r="I218" s="295"/>
      <c r="J218" s="295"/>
      <c r="K218" s="295"/>
      <c r="L218" s="295"/>
      <c r="M218" s="295"/>
      <c r="N218" s="295"/>
      <c r="O218" s="295"/>
      <c r="P218" s="295"/>
      <c r="Q218" s="295"/>
      <c r="R218" s="295"/>
      <c r="S218" s="295"/>
      <c r="T218" s="295"/>
      <c r="U218" s="295"/>
      <c r="V218" s="295"/>
      <c r="W218" s="295"/>
      <c r="X218" s="295"/>
      <c r="Y218" s="295"/>
      <c r="Z218" s="295"/>
      <c r="AA218" s="295"/>
      <c r="AB218" s="250"/>
      <c r="AC218" s="250"/>
      <c r="AD218" s="250"/>
      <c r="AE218" s="250"/>
      <c r="AF218" s="294" t="s">
        <v>2574</v>
      </c>
      <c r="AG218" s="279"/>
      <c r="AH218" s="280"/>
      <c r="AI218" s="280"/>
      <c r="AJ218" s="279"/>
      <c r="AK218" s="279"/>
    </row>
    <row r="219" spans="1:37" s="178" customFormat="1" ht="9" hidden="1" customHeight="1" outlineLevel="2">
      <c r="B219" s="165" t="str">
        <f t="shared" si="6"/>
        <v>ن</v>
      </c>
      <c r="C219" s="164" t="str">
        <f t="shared" si="6"/>
        <v>ن1</v>
      </c>
      <c r="D219" s="164" t="str">
        <f t="shared" si="6"/>
        <v>ن1-2</v>
      </c>
      <c r="E219" s="164" t="str">
        <f t="shared" si="6"/>
        <v>ن1-2-2</v>
      </c>
      <c r="F219" s="171"/>
      <c r="G219" s="295"/>
      <c r="H219" s="295"/>
      <c r="I219" s="295"/>
      <c r="J219" s="295"/>
      <c r="K219" s="295"/>
      <c r="L219" s="295"/>
      <c r="M219" s="295"/>
      <c r="N219" s="295"/>
      <c r="O219" s="295"/>
      <c r="P219" s="295"/>
      <c r="Q219" s="295"/>
      <c r="R219" s="295"/>
      <c r="S219" s="295"/>
      <c r="T219" s="295"/>
      <c r="U219" s="295"/>
      <c r="V219" s="295"/>
      <c r="W219" s="295"/>
      <c r="X219" s="295"/>
      <c r="Y219" s="295"/>
      <c r="Z219" s="295"/>
      <c r="AA219" s="295"/>
      <c r="AB219" s="250"/>
      <c r="AC219" s="250"/>
      <c r="AD219" s="250"/>
      <c r="AE219" s="250"/>
      <c r="AF219" s="294" t="s">
        <v>2574</v>
      </c>
      <c r="AG219" s="279"/>
      <c r="AH219" s="280"/>
      <c r="AI219" s="280"/>
      <c r="AJ219" s="279"/>
      <c r="AK219" s="279"/>
    </row>
    <row r="220" spans="1:37" s="178" customFormat="1" ht="15" hidden="1" customHeight="1" outlineLevel="2">
      <c r="A220" s="264" t="s">
        <v>188</v>
      </c>
      <c r="B220" s="165" t="str">
        <f t="shared" si="6"/>
        <v>ن</v>
      </c>
      <c r="C220" s="164" t="str">
        <f t="shared" si="6"/>
        <v>ن1</v>
      </c>
      <c r="D220" s="189" t="s">
        <v>2573</v>
      </c>
      <c r="E220" s="189" t="s">
        <v>2573</v>
      </c>
      <c r="F220" s="189" t="s">
        <v>2573</v>
      </c>
      <c r="G220" s="383" t="s">
        <v>3256</v>
      </c>
      <c r="H220" s="383"/>
      <c r="I220" s="383"/>
      <c r="J220" s="383"/>
      <c r="K220" s="383"/>
      <c r="L220" s="383"/>
      <c r="M220" s="383"/>
      <c r="N220" s="383"/>
      <c r="O220" s="383"/>
      <c r="P220" s="383"/>
      <c r="Q220" s="383"/>
      <c r="R220" s="383"/>
      <c r="S220" s="383"/>
      <c r="T220" s="383"/>
      <c r="U220" s="383"/>
      <c r="V220" s="383"/>
      <c r="W220" s="383"/>
      <c r="X220" s="383"/>
      <c r="Y220" s="383"/>
      <c r="Z220" s="383"/>
      <c r="AA220" s="383"/>
      <c r="AB220" s="272"/>
      <c r="AC220" s="188"/>
      <c r="AD220" s="188"/>
      <c r="AE220" s="188"/>
      <c r="AF220" s="288" t="s">
        <v>2572</v>
      </c>
      <c r="AG220" s="289"/>
      <c r="AH220" s="290" t="s">
        <v>2125</v>
      </c>
      <c r="AI220" s="290" t="s">
        <v>2124</v>
      </c>
      <c r="AJ220" s="291">
        <v>1</v>
      </c>
      <c r="AK220" s="289"/>
    </row>
    <row r="221" spans="1:37" s="178" customFormat="1" ht="12.6" hidden="1" customHeight="1" outlineLevel="3">
      <c r="A221" s="178" t="s">
        <v>189</v>
      </c>
      <c r="B221" s="165" t="str">
        <f t="shared" si="6"/>
        <v>ن</v>
      </c>
      <c r="C221" s="164" t="str">
        <f t="shared" si="6"/>
        <v>ن1</v>
      </c>
      <c r="D221" s="184" t="str">
        <f t="shared" si="6"/>
        <v>ن1-3</v>
      </c>
      <c r="E221" s="183" t="s">
        <v>2571</v>
      </c>
      <c r="F221" s="183" t="s">
        <v>2571</v>
      </c>
      <c r="G221" s="384" t="s">
        <v>3257</v>
      </c>
      <c r="H221" s="384"/>
      <c r="I221" s="384"/>
      <c r="J221" s="384"/>
      <c r="K221" s="384"/>
      <c r="L221" s="384"/>
      <c r="M221" s="384"/>
      <c r="N221" s="384"/>
      <c r="O221" s="384"/>
      <c r="P221" s="384"/>
      <c r="Q221" s="384"/>
      <c r="R221" s="384"/>
      <c r="S221" s="384"/>
      <c r="T221" s="384"/>
      <c r="U221" s="384"/>
      <c r="V221" s="384"/>
      <c r="W221" s="384"/>
      <c r="X221" s="384"/>
      <c r="Y221" s="384"/>
      <c r="Z221" s="384"/>
      <c r="AA221" s="384"/>
      <c r="AB221" s="256"/>
      <c r="AC221" s="256"/>
      <c r="AD221" s="256"/>
      <c r="AE221" s="256"/>
      <c r="AF221" s="294" t="s">
        <v>2557</v>
      </c>
      <c r="AG221" s="279"/>
      <c r="AH221" s="180"/>
      <c r="AI221" s="180"/>
      <c r="AJ221" s="179"/>
      <c r="AK221" s="179"/>
    </row>
    <row r="222" spans="1:37" s="178" customFormat="1" ht="15" customHeight="1" outlineLevel="4">
      <c r="A222" s="178" t="s">
        <v>3500</v>
      </c>
      <c r="B222" s="165" t="str">
        <f t="shared" si="6"/>
        <v>ن</v>
      </c>
      <c r="C222" s="164" t="str">
        <f t="shared" si="6"/>
        <v>ن1</v>
      </c>
      <c r="D222" s="164" t="str">
        <f t="shared" si="6"/>
        <v>ن1-3</v>
      </c>
      <c r="E222" s="164" t="str">
        <f t="shared" si="6"/>
        <v>ن1-3-1</v>
      </c>
      <c r="F222" s="171" t="s">
        <v>2570</v>
      </c>
      <c r="G222" s="386"/>
      <c r="H222" s="386"/>
      <c r="I222" s="386"/>
      <c r="J222" s="386"/>
      <c r="K222" s="386"/>
      <c r="L222" s="386"/>
      <c r="M222" s="386"/>
      <c r="N222" s="386"/>
      <c r="O222" s="386"/>
      <c r="P222" s="386"/>
      <c r="Q222" s="386"/>
      <c r="R222" s="386"/>
      <c r="S222" s="386"/>
      <c r="T222" s="386"/>
      <c r="U222" s="386"/>
      <c r="V222" s="386"/>
      <c r="W222" s="386"/>
      <c r="X222" s="386"/>
      <c r="Y222" s="386"/>
      <c r="Z222" s="386"/>
      <c r="AA222" s="386"/>
      <c r="AB222" s="296"/>
      <c r="AC222" s="296"/>
      <c r="AD222" s="296"/>
      <c r="AE222" s="296"/>
      <c r="AF222" s="294" t="s">
        <v>2557</v>
      </c>
      <c r="AG222" s="279"/>
      <c r="AH222" s="280"/>
      <c r="AI222" s="280"/>
      <c r="AJ222" s="279"/>
      <c r="AK222" s="279"/>
    </row>
    <row r="223" spans="1:37" s="178" customFormat="1" ht="15" customHeight="1" outlineLevel="4">
      <c r="A223" s="178" t="s">
        <v>3500</v>
      </c>
      <c r="B223" s="165" t="str">
        <f t="shared" si="6"/>
        <v>ن</v>
      </c>
      <c r="C223" s="164" t="str">
        <f t="shared" si="6"/>
        <v>ن1</v>
      </c>
      <c r="D223" s="164" t="str">
        <f t="shared" si="6"/>
        <v>ن1-3</v>
      </c>
      <c r="E223" s="164" t="str">
        <f t="shared" si="6"/>
        <v>ن1-3-1</v>
      </c>
      <c r="F223" s="171" t="s">
        <v>2569</v>
      </c>
      <c r="G223" s="255"/>
      <c r="H223" s="254"/>
      <c r="I223" s="254"/>
      <c r="J223" s="254"/>
      <c r="K223" s="254"/>
      <c r="L223" s="254"/>
      <c r="M223" s="254"/>
      <c r="N223" s="254"/>
      <c r="O223" s="254"/>
      <c r="P223" s="254"/>
      <c r="Q223" s="254"/>
      <c r="R223" s="254"/>
      <c r="S223" s="254"/>
      <c r="T223" s="251"/>
      <c r="U223" s="251"/>
      <c r="V223" s="251"/>
      <c r="W223" s="251"/>
      <c r="X223" s="251"/>
      <c r="Y223" s="251"/>
      <c r="Z223" s="251"/>
      <c r="AA223" s="251"/>
      <c r="AB223" s="296"/>
      <c r="AC223" s="296"/>
      <c r="AD223" s="296"/>
      <c r="AE223" s="296"/>
      <c r="AF223" s="294" t="s">
        <v>2557</v>
      </c>
      <c r="AG223" s="279"/>
      <c r="AH223" s="280"/>
      <c r="AI223" s="280"/>
      <c r="AJ223" s="279"/>
      <c r="AK223" s="279"/>
    </row>
    <row r="224" spans="1:37" s="178" customFormat="1" ht="15" customHeight="1" outlineLevel="4">
      <c r="A224" s="178" t="s">
        <v>3500</v>
      </c>
      <c r="B224" s="165" t="str">
        <f t="shared" si="6"/>
        <v>ن</v>
      </c>
      <c r="C224" s="164" t="str">
        <f t="shared" si="6"/>
        <v>ن1</v>
      </c>
      <c r="D224" s="164" t="str">
        <f t="shared" si="6"/>
        <v>ن1-3</v>
      </c>
      <c r="E224" s="164" t="str">
        <f t="shared" si="6"/>
        <v>ن1-3-1</v>
      </c>
      <c r="F224" s="171" t="s">
        <v>2568</v>
      </c>
      <c r="G224" s="253"/>
      <c r="H224" s="285"/>
      <c r="I224" s="285"/>
      <c r="J224" s="285"/>
      <c r="K224" s="285"/>
      <c r="L224" s="285"/>
      <c r="M224" s="285"/>
      <c r="N224" s="285"/>
      <c r="O224" s="285"/>
      <c r="P224" s="285"/>
      <c r="Q224" s="285"/>
      <c r="R224" s="285"/>
      <c r="S224" s="285"/>
      <c r="T224" s="285"/>
      <c r="U224" s="285"/>
      <c r="V224" s="285"/>
      <c r="W224" s="285"/>
      <c r="X224" s="285"/>
      <c r="Y224" s="285"/>
      <c r="Z224" s="285"/>
      <c r="AA224" s="285"/>
      <c r="AB224" s="285"/>
      <c r="AC224" s="285"/>
      <c r="AD224" s="285"/>
      <c r="AE224" s="285"/>
      <c r="AF224" s="294" t="s">
        <v>2557</v>
      </c>
      <c r="AG224" s="279"/>
      <c r="AH224" s="280"/>
      <c r="AI224" s="280"/>
      <c r="AJ224" s="280"/>
      <c r="AK224" s="280"/>
    </row>
    <row r="225" spans="1:37" s="178" customFormat="1" ht="15" customHeight="1" outlineLevel="4">
      <c r="A225" s="178" t="s">
        <v>3500</v>
      </c>
      <c r="B225" s="165" t="str">
        <f t="shared" si="6"/>
        <v>ن</v>
      </c>
      <c r="C225" s="164" t="str">
        <f t="shared" si="6"/>
        <v>ن1</v>
      </c>
      <c r="D225" s="164" t="str">
        <f t="shared" si="6"/>
        <v>ن1-3</v>
      </c>
      <c r="E225" s="164" t="str">
        <f t="shared" si="6"/>
        <v>ن1-3-1</v>
      </c>
      <c r="F225" s="171" t="s">
        <v>2567</v>
      </c>
      <c r="G225" s="253"/>
      <c r="H225" s="297"/>
      <c r="I225" s="297"/>
      <c r="J225" s="297"/>
      <c r="K225" s="297"/>
      <c r="L225" s="297"/>
      <c r="M225" s="297"/>
      <c r="N225" s="297"/>
      <c r="O225" s="297"/>
      <c r="P225" s="297"/>
      <c r="Q225" s="297"/>
      <c r="R225" s="297"/>
      <c r="S225" s="297"/>
      <c r="T225" s="297"/>
      <c r="U225" s="297"/>
      <c r="V225" s="297"/>
      <c r="W225" s="297"/>
      <c r="X225" s="297"/>
      <c r="Y225" s="297"/>
      <c r="Z225" s="297"/>
      <c r="AA225" s="297"/>
      <c r="AB225" s="285"/>
      <c r="AC225" s="285"/>
      <c r="AD225" s="285"/>
      <c r="AE225" s="285"/>
      <c r="AF225" s="294" t="s">
        <v>2557</v>
      </c>
      <c r="AG225" s="279"/>
      <c r="AH225" s="280"/>
      <c r="AI225" s="280"/>
      <c r="AJ225" s="280"/>
      <c r="AK225" s="280"/>
    </row>
    <row r="226" spans="1:37" s="178" customFormat="1" ht="15" customHeight="1" outlineLevel="4">
      <c r="A226" s="178" t="s">
        <v>3500</v>
      </c>
      <c r="B226" s="165" t="str">
        <f t="shared" si="6"/>
        <v>ن</v>
      </c>
      <c r="C226" s="164" t="str">
        <f t="shared" si="6"/>
        <v>ن1</v>
      </c>
      <c r="D226" s="164" t="str">
        <f t="shared" si="6"/>
        <v>ن1-3</v>
      </c>
      <c r="E226" s="164" t="str">
        <f t="shared" si="6"/>
        <v>ن1-3-1</v>
      </c>
      <c r="F226" s="171" t="s">
        <v>2566</v>
      </c>
      <c r="G226" s="394">
        <f>[1]البيانات!D4</f>
        <v>45657</v>
      </c>
      <c r="H226" s="367"/>
      <c r="I226" s="367"/>
      <c r="J226" s="367"/>
      <c r="K226" s="367"/>
      <c r="L226" s="367"/>
      <c r="M226" s="367"/>
      <c r="N226" s="367"/>
      <c r="O226" s="367"/>
      <c r="P226" s="367"/>
      <c r="Q226" s="367"/>
      <c r="R226" s="367"/>
      <c r="S226" s="367"/>
      <c r="T226" s="367"/>
      <c r="U226" s="367"/>
      <c r="V226" s="367"/>
      <c r="W226" s="367"/>
      <c r="X226" s="367"/>
      <c r="Y226" s="367"/>
      <c r="Z226" s="367"/>
      <c r="AA226" s="367"/>
      <c r="AB226" s="367"/>
      <c r="AC226" s="285"/>
      <c r="AD226" s="285"/>
      <c r="AE226" s="285"/>
      <c r="AF226" s="294" t="s">
        <v>2557</v>
      </c>
      <c r="AG226" s="279"/>
      <c r="AH226" s="298"/>
      <c r="AI226" s="298"/>
      <c r="AJ226" s="298"/>
      <c r="AK226" s="298"/>
    </row>
    <row r="227" spans="1:37" s="178" customFormat="1" ht="39" customHeight="1" outlineLevel="4">
      <c r="A227" s="178" t="s">
        <v>3500</v>
      </c>
      <c r="B227" s="165" t="str">
        <f t="shared" si="6"/>
        <v>ن</v>
      </c>
      <c r="C227" s="164" t="str">
        <f t="shared" si="6"/>
        <v>ن1</v>
      </c>
      <c r="D227" s="164" t="str">
        <f t="shared" si="6"/>
        <v>ن1-3</v>
      </c>
      <c r="E227" s="164" t="str">
        <f t="shared" si="6"/>
        <v>ن1-3-1</v>
      </c>
      <c r="F227" s="171" t="s">
        <v>2565</v>
      </c>
      <c r="G227" s="395" t="s">
        <v>2564</v>
      </c>
      <c r="H227" s="395"/>
      <c r="I227" s="395"/>
      <c r="J227" s="395"/>
      <c r="K227" s="395"/>
      <c r="L227" s="395"/>
      <c r="M227" s="395"/>
      <c r="N227" s="395"/>
      <c r="O227" s="395"/>
      <c r="P227" s="395"/>
      <c r="Q227" s="395"/>
      <c r="R227" s="395"/>
      <c r="S227" s="395"/>
      <c r="T227" s="395"/>
      <c r="U227" s="395"/>
      <c r="V227" s="395"/>
      <c r="W227" s="395"/>
      <c r="X227" s="395"/>
      <c r="Y227" s="395"/>
      <c r="Z227" s="395"/>
      <c r="AA227" s="395"/>
      <c r="AB227" s="396"/>
      <c r="AC227" s="299"/>
      <c r="AD227" s="299"/>
      <c r="AE227" s="299"/>
      <c r="AF227" s="294" t="s">
        <v>2557</v>
      </c>
      <c r="AG227" s="279" t="s">
        <v>2152</v>
      </c>
      <c r="AH227" s="292"/>
      <c r="AI227" s="292"/>
      <c r="AJ227" s="300"/>
      <c r="AK227" s="300"/>
    </row>
    <row r="228" spans="1:37" s="178" customFormat="1" ht="15" customHeight="1" outlineLevel="4">
      <c r="A228" s="178" t="s">
        <v>3500</v>
      </c>
      <c r="B228" s="165" t="str">
        <f t="shared" si="6"/>
        <v>ن</v>
      </c>
      <c r="C228" s="164" t="str">
        <f t="shared" si="6"/>
        <v>ن1</v>
      </c>
      <c r="D228" s="164" t="str">
        <f t="shared" si="6"/>
        <v>ن1-3</v>
      </c>
      <c r="E228" s="164" t="str">
        <f t="shared" si="6"/>
        <v>ن1-3-1</v>
      </c>
      <c r="F228" s="171" t="s">
        <v>2563</v>
      </c>
      <c r="G228" s="397" t="s">
        <v>2562</v>
      </c>
      <c r="H228" s="397"/>
      <c r="I228" s="397"/>
      <c r="J228" s="397"/>
      <c r="K228" s="397"/>
      <c r="L228" s="397"/>
      <c r="M228" s="397"/>
      <c r="N228" s="397"/>
      <c r="O228" s="397"/>
      <c r="P228" s="397"/>
      <c r="Q228" s="397"/>
      <c r="R228" s="397"/>
      <c r="S228" s="397"/>
      <c r="T228" s="397"/>
      <c r="U228" s="397"/>
      <c r="V228" s="397"/>
      <c r="W228" s="397"/>
      <c r="X228" s="397"/>
      <c r="Y228" s="397"/>
      <c r="Z228" s="397"/>
      <c r="AA228" s="397"/>
      <c r="AB228" s="398"/>
      <c r="AC228" s="301"/>
      <c r="AD228" s="301"/>
      <c r="AE228" s="301"/>
      <c r="AF228" s="294" t="s">
        <v>2557</v>
      </c>
      <c r="AG228" s="279"/>
      <c r="AH228" s="302"/>
      <c r="AI228" s="302"/>
      <c r="AJ228" s="303"/>
      <c r="AK228" s="303"/>
    </row>
    <row r="229" spans="1:37" s="178" customFormat="1" ht="15" customHeight="1" outlineLevel="4">
      <c r="A229" s="178" t="s">
        <v>3500</v>
      </c>
      <c r="B229" s="165" t="str">
        <f t="shared" si="6"/>
        <v>ن</v>
      </c>
      <c r="C229" s="164" t="str">
        <f t="shared" si="6"/>
        <v>ن1</v>
      </c>
      <c r="D229" s="164" t="str">
        <f t="shared" si="6"/>
        <v>ن1-3</v>
      </c>
      <c r="E229" s="164" t="str">
        <f t="shared" si="6"/>
        <v>ن1-3-1</v>
      </c>
      <c r="F229" s="171" t="s">
        <v>2561</v>
      </c>
      <c r="G229" s="252"/>
      <c r="H229" s="251"/>
      <c r="I229" s="251"/>
      <c r="J229" s="251"/>
      <c r="K229" s="251"/>
      <c r="L229" s="251"/>
      <c r="M229" s="251"/>
      <c r="N229" s="251"/>
      <c r="O229" s="251"/>
      <c r="P229" s="251"/>
      <c r="Q229" s="251"/>
      <c r="R229" s="251"/>
      <c r="S229" s="251"/>
      <c r="T229" s="251"/>
      <c r="U229" s="251"/>
      <c r="V229" s="251"/>
      <c r="W229" s="251"/>
      <c r="X229" s="251"/>
      <c r="Y229" s="388" t="s">
        <v>2560</v>
      </c>
      <c r="Z229" s="389"/>
      <c r="AA229" s="389"/>
      <c r="AB229" s="185"/>
      <c r="AC229" s="185"/>
      <c r="AD229" s="185"/>
      <c r="AE229" s="185"/>
      <c r="AF229" s="294" t="s">
        <v>2557</v>
      </c>
      <c r="AG229" s="279"/>
      <c r="AH229" s="180"/>
      <c r="AI229" s="180"/>
      <c r="AJ229" s="179"/>
      <c r="AK229" s="179"/>
    </row>
    <row r="230" spans="1:37" s="178" customFormat="1" ht="15" customHeight="1" outlineLevel="4">
      <c r="A230" s="178" t="s">
        <v>3500</v>
      </c>
      <c r="B230" s="165" t="str">
        <f t="shared" si="6"/>
        <v>ن</v>
      </c>
      <c r="C230" s="164" t="str">
        <f t="shared" si="6"/>
        <v>ن1</v>
      </c>
      <c r="D230" s="164" t="str">
        <f t="shared" si="6"/>
        <v>ن1-3</v>
      </c>
      <c r="E230" s="164" t="str">
        <f t="shared" si="6"/>
        <v>ن1-3-1</v>
      </c>
      <c r="F230" s="171" t="s">
        <v>2559</v>
      </c>
      <c r="G230" s="252"/>
      <c r="H230" s="251"/>
      <c r="I230" s="251"/>
      <c r="J230" s="251"/>
      <c r="K230" s="251"/>
      <c r="L230" s="251"/>
      <c r="M230" s="251"/>
      <c r="N230" s="251"/>
      <c r="O230" s="251"/>
      <c r="P230" s="251"/>
      <c r="Q230" s="251"/>
      <c r="R230" s="251"/>
      <c r="S230" s="251"/>
      <c r="T230" s="251"/>
      <c r="U230" s="251"/>
      <c r="V230" s="251"/>
      <c r="W230" s="251"/>
      <c r="X230" s="251"/>
      <c r="Y230" s="388" t="s">
        <v>2558</v>
      </c>
      <c r="Z230" s="389"/>
      <c r="AA230" s="389"/>
      <c r="AB230" s="250"/>
      <c r="AC230" s="250"/>
      <c r="AD230" s="250"/>
      <c r="AE230" s="250"/>
      <c r="AF230" s="294" t="s">
        <v>2557</v>
      </c>
      <c r="AG230" s="279"/>
      <c r="AH230" s="249"/>
      <c r="AI230" s="249"/>
      <c r="AJ230" s="248"/>
      <c r="AK230" s="248"/>
    </row>
    <row r="231" spans="1:37" s="178" customFormat="1" ht="9" hidden="1" customHeight="1" outlineLevel="3">
      <c r="B231" s="165" t="str">
        <f t="shared" si="6"/>
        <v>ن</v>
      </c>
      <c r="C231" s="164" t="str">
        <f t="shared" si="6"/>
        <v>ن1</v>
      </c>
      <c r="D231" s="164" t="str">
        <f t="shared" si="6"/>
        <v>ن1-3</v>
      </c>
      <c r="E231" s="164" t="str">
        <f t="shared" si="6"/>
        <v>ن1-3-1</v>
      </c>
      <c r="F231" s="171"/>
      <c r="G231" s="252"/>
      <c r="H231" s="251"/>
      <c r="I231" s="251"/>
      <c r="J231" s="251"/>
      <c r="K231" s="251"/>
      <c r="L231" s="251"/>
      <c r="M231" s="251"/>
      <c r="N231" s="251"/>
      <c r="O231" s="251"/>
      <c r="P231" s="251"/>
      <c r="Q231" s="251"/>
      <c r="R231" s="251"/>
      <c r="S231" s="251"/>
      <c r="T231" s="251"/>
      <c r="U231" s="251"/>
      <c r="V231" s="251"/>
      <c r="W231" s="251"/>
      <c r="X231" s="251"/>
      <c r="Y231" s="251"/>
      <c r="Z231" s="170"/>
      <c r="AA231" s="285"/>
      <c r="AB231" s="250"/>
      <c r="AC231" s="250"/>
      <c r="AD231" s="250"/>
      <c r="AE231" s="250"/>
      <c r="AF231" s="294" t="s">
        <v>2557</v>
      </c>
      <c r="AG231" s="279"/>
      <c r="AH231" s="249"/>
      <c r="AI231" s="249"/>
      <c r="AJ231" s="248"/>
      <c r="AK231" s="248"/>
    </row>
    <row r="232" spans="1:37" s="178" customFormat="1" ht="9" hidden="1" customHeight="1" outlineLevel="2">
      <c r="B232" s="165" t="str">
        <f t="shared" si="6"/>
        <v>ن</v>
      </c>
      <c r="C232" s="164" t="str">
        <f t="shared" si="6"/>
        <v>ن1</v>
      </c>
      <c r="D232" s="164" t="str">
        <f t="shared" si="6"/>
        <v>ن1-3</v>
      </c>
      <c r="E232" s="164" t="str">
        <f t="shared" si="6"/>
        <v>ن1-3-1</v>
      </c>
      <c r="F232" s="171"/>
      <c r="G232" s="252"/>
      <c r="H232" s="251"/>
      <c r="I232" s="251"/>
      <c r="J232" s="251"/>
      <c r="K232" s="251"/>
      <c r="L232" s="251"/>
      <c r="M232" s="251"/>
      <c r="N232" s="251"/>
      <c r="O232" s="251"/>
      <c r="P232" s="251"/>
      <c r="Q232" s="251"/>
      <c r="R232" s="251"/>
      <c r="S232" s="251"/>
      <c r="T232" s="251"/>
      <c r="U232" s="251"/>
      <c r="V232" s="251"/>
      <c r="W232" s="251"/>
      <c r="X232" s="251"/>
      <c r="Y232" s="251"/>
      <c r="Z232" s="170"/>
      <c r="AA232" s="285"/>
      <c r="AB232" s="250"/>
      <c r="AC232" s="250"/>
      <c r="AD232" s="250"/>
      <c r="AE232" s="250"/>
      <c r="AF232" s="294" t="s">
        <v>2557</v>
      </c>
      <c r="AG232" s="279"/>
      <c r="AH232" s="249"/>
      <c r="AI232" s="249"/>
      <c r="AJ232" s="248"/>
      <c r="AK232" s="248"/>
    </row>
    <row r="233" spans="1:37" s="178" customFormat="1" ht="15" hidden="1" customHeight="1" outlineLevel="2" thickBot="1">
      <c r="A233" s="264" t="s">
        <v>188</v>
      </c>
      <c r="B233" s="165" t="str">
        <f t="shared" si="6"/>
        <v>ن</v>
      </c>
      <c r="C233" s="164" t="str">
        <f t="shared" si="6"/>
        <v>ن1</v>
      </c>
      <c r="D233" s="189" t="s">
        <v>2556</v>
      </c>
      <c r="E233" s="189" t="s">
        <v>2556</v>
      </c>
      <c r="F233" s="189" t="s">
        <v>2556</v>
      </c>
      <c r="G233" s="383" t="s">
        <v>2555</v>
      </c>
      <c r="H233" s="383"/>
      <c r="I233" s="383"/>
      <c r="J233" s="383"/>
      <c r="K233" s="383"/>
      <c r="L233" s="383"/>
      <c r="M233" s="383"/>
      <c r="N233" s="383"/>
      <c r="O233" s="383"/>
      <c r="P233" s="383"/>
      <c r="Q233" s="383"/>
      <c r="R233" s="383"/>
      <c r="S233" s="383"/>
      <c r="T233" s="383"/>
      <c r="U233" s="383"/>
      <c r="V233" s="383"/>
      <c r="W233" s="383"/>
      <c r="X233" s="383"/>
      <c r="Y233" s="383"/>
      <c r="Z233" s="383"/>
      <c r="AA233" s="383"/>
      <c r="AB233" s="188"/>
      <c r="AC233" s="188"/>
      <c r="AD233" s="188"/>
      <c r="AE233" s="188"/>
      <c r="AF233" s="288" t="s">
        <v>2554</v>
      </c>
      <c r="AG233" s="289" t="s">
        <v>2152</v>
      </c>
      <c r="AH233" s="290" t="s">
        <v>2125</v>
      </c>
      <c r="AI233" s="290" t="s">
        <v>2124</v>
      </c>
      <c r="AJ233" s="291">
        <v>1</v>
      </c>
      <c r="AK233" s="289"/>
    </row>
    <row r="234" spans="1:37" s="178" customFormat="1" ht="12.6" hidden="1" customHeight="1" outlineLevel="3" thickTop="1" thickBot="1">
      <c r="A234" s="178" t="s">
        <v>189</v>
      </c>
      <c r="B234" s="165" t="str">
        <f t="shared" si="6"/>
        <v>ن</v>
      </c>
      <c r="C234" s="164" t="str">
        <f t="shared" si="6"/>
        <v>ن1</v>
      </c>
      <c r="D234" s="184" t="str">
        <f t="shared" si="6"/>
        <v>ن1-4</v>
      </c>
      <c r="E234" s="183" t="s">
        <v>2553</v>
      </c>
      <c r="F234" s="183" t="s">
        <v>2553</v>
      </c>
      <c r="G234" s="384" t="s">
        <v>2552</v>
      </c>
      <c r="H234" s="384"/>
      <c r="I234" s="384"/>
      <c r="J234" s="384"/>
      <c r="K234" s="384"/>
      <c r="L234" s="384"/>
      <c r="M234" s="384"/>
      <c r="N234" s="384"/>
      <c r="O234" s="384"/>
      <c r="P234" s="384"/>
      <c r="Q234" s="384"/>
      <c r="R234" s="384"/>
      <c r="S234" s="384"/>
      <c r="T234" s="384"/>
      <c r="U234" s="384"/>
      <c r="V234" s="384"/>
      <c r="W234" s="384"/>
      <c r="X234" s="384"/>
      <c r="Y234" s="384"/>
      <c r="Z234" s="384"/>
      <c r="AA234" s="384"/>
      <c r="AB234" s="182" t="s">
        <v>2110</v>
      </c>
      <c r="AC234" s="181"/>
      <c r="AD234" s="181"/>
      <c r="AE234" s="181"/>
      <c r="AF234" s="294" t="s">
        <v>2535</v>
      </c>
      <c r="AG234" s="279" t="s">
        <v>2152</v>
      </c>
      <c r="AH234" s="180"/>
      <c r="AI234" s="180"/>
      <c r="AJ234" s="179"/>
      <c r="AK234" s="179"/>
    </row>
    <row r="235" spans="1:37" s="178" customFormat="1" ht="15" customHeight="1" outlineLevel="4">
      <c r="A235" s="178" t="s">
        <v>3500</v>
      </c>
      <c r="B235" s="165" t="str">
        <f t="shared" si="6"/>
        <v>ن</v>
      </c>
      <c r="C235" s="164" t="str">
        <f t="shared" si="6"/>
        <v>ن1</v>
      </c>
      <c r="D235" s="164" t="str">
        <f t="shared" si="6"/>
        <v>ن1-4</v>
      </c>
      <c r="E235" s="164" t="str">
        <f t="shared" si="6"/>
        <v>ن1-4-1</v>
      </c>
      <c r="F235" s="171" t="s">
        <v>2551</v>
      </c>
      <c r="G235" s="386" t="s">
        <v>2550</v>
      </c>
      <c r="H235" s="386"/>
      <c r="I235" s="386"/>
      <c r="J235" s="386"/>
      <c r="K235" s="386"/>
      <c r="L235" s="386"/>
      <c r="M235" s="386"/>
      <c r="N235" s="386"/>
      <c r="O235" s="386"/>
      <c r="P235" s="386"/>
      <c r="Q235" s="386"/>
      <c r="R235" s="386"/>
      <c r="S235" s="386"/>
      <c r="T235" s="386"/>
      <c r="U235" s="386"/>
      <c r="V235" s="386"/>
      <c r="W235" s="386"/>
      <c r="X235" s="386"/>
      <c r="Y235" s="386"/>
      <c r="Z235" s="386"/>
      <c r="AA235" s="386"/>
      <c r="AB235" s="304"/>
      <c r="AC235" s="304"/>
      <c r="AD235" s="304"/>
      <c r="AE235" s="304"/>
      <c r="AF235" s="294" t="s">
        <v>2535</v>
      </c>
      <c r="AG235" s="279" t="s">
        <v>2126</v>
      </c>
      <c r="AH235" s="280"/>
      <c r="AI235" s="280"/>
      <c r="AJ235" s="279"/>
      <c r="AK235" s="279"/>
    </row>
    <row r="236" spans="1:37" s="178" customFormat="1" ht="50.1" hidden="1" customHeight="1" outlineLevel="4">
      <c r="B236" s="165" t="str">
        <f t="shared" si="6"/>
        <v>ن</v>
      </c>
      <c r="C236" s="164" t="str">
        <f t="shared" si="6"/>
        <v>ن1</v>
      </c>
      <c r="D236" s="164" t="str">
        <f t="shared" si="6"/>
        <v>ن1-4</v>
      </c>
      <c r="E236" s="164" t="str">
        <f t="shared" si="6"/>
        <v>ن1-4-1</v>
      </c>
      <c r="F236" s="171"/>
      <c r="G236" s="390" t="s">
        <v>2549</v>
      </c>
      <c r="H236" s="391"/>
      <c r="I236" s="391"/>
      <c r="J236" s="391"/>
      <c r="K236" s="391"/>
      <c r="L236" s="391"/>
      <c r="M236" s="391"/>
      <c r="N236" s="391"/>
      <c r="O236" s="392" t="s">
        <v>2548</v>
      </c>
      <c r="P236" s="393"/>
      <c r="Q236" s="393"/>
      <c r="R236" s="393"/>
      <c r="S236" s="393"/>
      <c r="T236" s="393"/>
      <c r="U236" s="393"/>
      <c r="V236" s="393"/>
      <c r="W236" s="393"/>
      <c r="X236" s="393"/>
      <c r="Y236" s="393"/>
      <c r="Z236" s="393"/>
      <c r="AA236" s="393"/>
      <c r="AB236" s="304"/>
      <c r="AC236" s="304"/>
      <c r="AD236" s="304"/>
      <c r="AE236" s="304"/>
      <c r="AF236" s="294" t="s">
        <v>2535</v>
      </c>
      <c r="AG236" s="279" t="s">
        <v>2152</v>
      </c>
      <c r="AH236" s="280"/>
      <c r="AI236" s="280"/>
      <c r="AJ236" s="279"/>
      <c r="AK236" s="279"/>
    </row>
    <row r="237" spans="1:37" s="178" customFormat="1" ht="15" customHeight="1" outlineLevel="4">
      <c r="A237" s="178" t="s">
        <v>3500</v>
      </c>
      <c r="B237" s="165" t="str">
        <f t="shared" si="6"/>
        <v>ن</v>
      </c>
      <c r="C237" s="164" t="str">
        <f t="shared" si="6"/>
        <v>ن1</v>
      </c>
      <c r="D237" s="164" t="str">
        <f t="shared" si="6"/>
        <v>ن1-4</v>
      </c>
      <c r="E237" s="164" t="str">
        <f t="shared" si="6"/>
        <v>ن1-4-1</v>
      </c>
      <c r="F237" s="171" t="s">
        <v>2547</v>
      </c>
      <c r="G237" s="386" t="s">
        <v>2546</v>
      </c>
      <c r="H237" s="386"/>
      <c r="I237" s="386"/>
      <c r="J237" s="386"/>
      <c r="K237" s="386"/>
      <c r="L237" s="386"/>
      <c r="M237" s="386"/>
      <c r="N237" s="386"/>
      <c r="O237" s="386"/>
      <c r="P237" s="386"/>
      <c r="Q237" s="386"/>
      <c r="R237" s="386"/>
      <c r="S237" s="386"/>
      <c r="T237" s="386"/>
      <c r="U237" s="386"/>
      <c r="V237" s="386"/>
      <c r="W237" s="386"/>
      <c r="X237" s="386"/>
      <c r="Y237" s="386"/>
      <c r="Z237" s="386"/>
      <c r="AA237" s="386"/>
      <c r="AB237" s="304"/>
      <c r="AC237" s="304"/>
      <c r="AD237" s="304"/>
      <c r="AE237" s="304"/>
      <c r="AF237" s="294" t="s">
        <v>2535</v>
      </c>
      <c r="AG237" s="279"/>
      <c r="AH237" s="280"/>
      <c r="AI237" s="280"/>
      <c r="AJ237" s="279"/>
      <c r="AK237" s="279"/>
    </row>
    <row r="238" spans="1:37" s="178" customFormat="1" ht="15" customHeight="1" outlineLevel="4">
      <c r="A238" s="178" t="s">
        <v>3500</v>
      </c>
      <c r="B238" s="165" t="str">
        <f t="shared" si="6"/>
        <v>ن</v>
      </c>
      <c r="C238" s="164" t="str">
        <f t="shared" si="6"/>
        <v>ن1</v>
      </c>
      <c r="D238" s="164" t="str">
        <f t="shared" si="6"/>
        <v>ن1-4</v>
      </c>
      <c r="E238" s="164" t="str">
        <f t="shared" si="6"/>
        <v>ن1-4-1</v>
      </c>
      <c r="F238" s="171" t="s">
        <v>2545</v>
      </c>
      <c r="G238" s="386" t="s">
        <v>2544</v>
      </c>
      <c r="H238" s="386"/>
      <c r="I238" s="386"/>
      <c r="J238" s="386"/>
      <c r="K238" s="386"/>
      <c r="L238" s="386"/>
      <c r="M238" s="386"/>
      <c r="N238" s="386"/>
      <c r="O238" s="386"/>
      <c r="P238" s="386"/>
      <c r="Q238" s="386"/>
      <c r="R238" s="386"/>
      <c r="S238" s="386"/>
      <c r="T238" s="386"/>
      <c r="U238" s="386"/>
      <c r="V238" s="386"/>
      <c r="W238" s="386"/>
      <c r="X238" s="386"/>
      <c r="Y238" s="386"/>
      <c r="Z238" s="386"/>
      <c r="AA238" s="386"/>
      <c r="AB238" s="304"/>
      <c r="AC238" s="304"/>
      <c r="AD238" s="304"/>
      <c r="AE238" s="304"/>
      <c r="AF238" s="294" t="s">
        <v>2535</v>
      </c>
      <c r="AG238" s="279"/>
      <c r="AH238" s="280"/>
      <c r="AI238" s="280"/>
      <c r="AJ238" s="279"/>
      <c r="AK238" s="279"/>
    </row>
    <row r="239" spans="1:37" s="178" customFormat="1" ht="15" customHeight="1" outlineLevel="4">
      <c r="A239" s="178" t="s">
        <v>3500</v>
      </c>
      <c r="B239" s="165" t="str">
        <f t="shared" si="6"/>
        <v>ن</v>
      </c>
      <c r="C239" s="164" t="str">
        <f t="shared" si="6"/>
        <v>ن1</v>
      </c>
      <c r="D239" s="164" t="str">
        <f t="shared" si="6"/>
        <v>ن1-4</v>
      </c>
      <c r="E239" s="164" t="str">
        <f t="shared" si="6"/>
        <v>ن1-4-1</v>
      </c>
      <c r="F239" s="171" t="s">
        <v>2543</v>
      </c>
      <c r="G239" s="386" t="s">
        <v>2542</v>
      </c>
      <c r="H239" s="386"/>
      <c r="I239" s="386"/>
      <c r="J239" s="386"/>
      <c r="K239" s="386"/>
      <c r="L239" s="386"/>
      <c r="M239" s="386"/>
      <c r="N239" s="386"/>
      <c r="O239" s="386"/>
      <c r="P239" s="386"/>
      <c r="Q239" s="386"/>
      <c r="R239" s="386"/>
      <c r="S239" s="386"/>
      <c r="T239" s="386"/>
      <c r="U239" s="386"/>
      <c r="V239" s="386"/>
      <c r="W239" s="386"/>
      <c r="X239" s="386"/>
      <c r="Y239" s="386"/>
      <c r="Z239" s="386"/>
      <c r="AA239" s="386"/>
      <c r="AB239" s="304"/>
      <c r="AC239" s="304"/>
      <c r="AD239" s="304"/>
      <c r="AE239" s="304"/>
      <c r="AF239" s="294" t="s">
        <v>2535</v>
      </c>
      <c r="AG239" s="279"/>
      <c r="AH239" s="280"/>
      <c r="AI239" s="280"/>
      <c r="AJ239" s="279"/>
      <c r="AK239" s="279"/>
    </row>
    <row r="240" spans="1:37" s="178" customFormat="1" ht="15" customHeight="1" outlineLevel="4">
      <c r="A240" s="178" t="s">
        <v>3500</v>
      </c>
      <c r="B240" s="165" t="str">
        <f t="shared" si="6"/>
        <v>ن</v>
      </c>
      <c r="C240" s="164" t="str">
        <f t="shared" si="6"/>
        <v>ن1</v>
      </c>
      <c r="D240" s="164" t="str">
        <f t="shared" si="6"/>
        <v>ن1-4</v>
      </c>
      <c r="E240" s="164" t="str">
        <f t="shared" si="6"/>
        <v>ن1-4-1</v>
      </c>
      <c r="F240" s="171" t="s">
        <v>2541</v>
      </c>
      <c r="G240" s="386" t="s">
        <v>2540</v>
      </c>
      <c r="H240" s="386"/>
      <c r="I240" s="386"/>
      <c r="J240" s="386"/>
      <c r="K240" s="386"/>
      <c r="L240" s="386"/>
      <c r="M240" s="386"/>
      <c r="N240" s="386"/>
      <c r="O240" s="386"/>
      <c r="P240" s="386"/>
      <c r="Q240" s="386"/>
      <c r="R240" s="386"/>
      <c r="S240" s="386"/>
      <c r="T240" s="386"/>
      <c r="U240" s="386"/>
      <c r="V240" s="386"/>
      <c r="W240" s="386"/>
      <c r="X240" s="386"/>
      <c r="Y240" s="386"/>
      <c r="Z240" s="386"/>
      <c r="AA240" s="386"/>
      <c r="AB240" s="304"/>
      <c r="AC240" s="304"/>
      <c r="AD240" s="304"/>
      <c r="AE240" s="304"/>
      <c r="AF240" s="294" t="s">
        <v>2535</v>
      </c>
      <c r="AG240" s="279"/>
      <c r="AH240" s="280"/>
      <c r="AI240" s="280"/>
      <c r="AJ240" s="279"/>
      <c r="AK240" s="279"/>
    </row>
    <row r="241" spans="1:37" s="178" customFormat="1" ht="15" customHeight="1" outlineLevel="4">
      <c r="A241" s="178" t="s">
        <v>3500</v>
      </c>
      <c r="B241" s="165" t="str">
        <f t="shared" si="6"/>
        <v>ن</v>
      </c>
      <c r="C241" s="164" t="str">
        <f t="shared" si="6"/>
        <v>ن1</v>
      </c>
      <c r="D241" s="164" t="str">
        <f t="shared" si="6"/>
        <v>ن1-4</v>
      </c>
      <c r="E241" s="164" t="str">
        <f t="shared" si="6"/>
        <v>ن1-4-1</v>
      </c>
      <c r="F241" s="171" t="s">
        <v>2539</v>
      </c>
      <c r="G241" s="386" t="s">
        <v>2538</v>
      </c>
      <c r="H241" s="386"/>
      <c r="I241" s="386"/>
      <c r="J241" s="386"/>
      <c r="K241" s="386"/>
      <c r="L241" s="386"/>
      <c r="M241" s="386"/>
      <c r="N241" s="386"/>
      <c r="O241" s="386"/>
      <c r="P241" s="386"/>
      <c r="Q241" s="386"/>
      <c r="R241" s="386"/>
      <c r="S241" s="386"/>
      <c r="T241" s="386"/>
      <c r="U241" s="386"/>
      <c r="V241" s="386"/>
      <c r="W241" s="386"/>
      <c r="X241" s="386"/>
      <c r="Y241" s="386"/>
      <c r="Z241" s="386"/>
      <c r="AA241" s="386"/>
      <c r="AB241" s="304"/>
      <c r="AC241" s="304"/>
      <c r="AD241" s="304"/>
      <c r="AE241" s="304"/>
      <c r="AF241" s="294" t="s">
        <v>2535</v>
      </c>
      <c r="AG241" s="279"/>
      <c r="AH241" s="280"/>
      <c r="AI241" s="280"/>
      <c r="AJ241" s="279"/>
      <c r="AK241" s="279"/>
    </row>
    <row r="242" spans="1:37" s="178" customFormat="1" ht="15" customHeight="1" outlineLevel="4">
      <c r="A242" s="178" t="s">
        <v>3500</v>
      </c>
      <c r="B242" s="165" t="str">
        <f t="shared" si="6"/>
        <v>ن</v>
      </c>
      <c r="C242" s="164" t="str">
        <f t="shared" si="6"/>
        <v>ن1</v>
      </c>
      <c r="D242" s="164" t="str">
        <f t="shared" si="6"/>
        <v>ن1-4</v>
      </c>
      <c r="E242" s="164" t="str">
        <f t="shared" si="6"/>
        <v>ن1-4-1</v>
      </c>
      <c r="F242" s="171" t="s">
        <v>2537</v>
      </c>
      <c r="G242" s="386" t="s">
        <v>2536</v>
      </c>
      <c r="H242" s="386"/>
      <c r="I242" s="386"/>
      <c r="J242" s="386"/>
      <c r="K242" s="386"/>
      <c r="L242" s="386"/>
      <c r="M242" s="386"/>
      <c r="N242" s="386"/>
      <c r="O242" s="386"/>
      <c r="P242" s="386"/>
      <c r="Q242" s="386"/>
      <c r="R242" s="386"/>
      <c r="S242" s="386"/>
      <c r="T242" s="386"/>
      <c r="U242" s="386"/>
      <c r="V242" s="386"/>
      <c r="W242" s="386"/>
      <c r="X242" s="386"/>
      <c r="Y242" s="386"/>
      <c r="Z242" s="386"/>
      <c r="AA242" s="386"/>
      <c r="AB242" s="304"/>
      <c r="AC242" s="304"/>
      <c r="AD242" s="304"/>
      <c r="AE242" s="304"/>
      <c r="AF242" s="294" t="s">
        <v>2535</v>
      </c>
      <c r="AG242" s="279"/>
      <c r="AH242" s="280"/>
      <c r="AI242" s="280"/>
      <c r="AJ242" s="279"/>
      <c r="AK242" s="279"/>
    </row>
    <row r="243" spans="1:37" s="178" customFormat="1" ht="9" hidden="1" customHeight="1" outlineLevel="3" thickBot="1">
      <c r="B243" s="165" t="str">
        <f t="shared" si="6"/>
        <v>ن</v>
      </c>
      <c r="C243" s="164" t="str">
        <f t="shared" si="6"/>
        <v>ن1</v>
      </c>
      <c r="D243" s="164" t="str">
        <f t="shared" si="6"/>
        <v>ن1-4</v>
      </c>
      <c r="E243" s="164" t="str">
        <f t="shared" si="6"/>
        <v>ن1-4-1</v>
      </c>
      <c r="F243" s="171"/>
      <c r="G243" s="295"/>
      <c r="H243" s="295"/>
      <c r="I243" s="295"/>
      <c r="J243" s="295"/>
      <c r="K243" s="295"/>
      <c r="L243" s="295"/>
      <c r="M243" s="295"/>
      <c r="N243" s="295"/>
      <c r="O243" s="295"/>
      <c r="P243" s="295"/>
      <c r="Q243" s="295"/>
      <c r="R243" s="295"/>
      <c r="S243" s="295"/>
      <c r="T243" s="295"/>
      <c r="U243" s="295"/>
      <c r="V243" s="295"/>
      <c r="W243" s="295"/>
      <c r="X243" s="295"/>
      <c r="Y243" s="295"/>
      <c r="Z243" s="295"/>
      <c r="AA243" s="295"/>
      <c r="AB243" s="304"/>
      <c r="AC243" s="304"/>
      <c r="AD243" s="304"/>
      <c r="AE243" s="304"/>
      <c r="AF243" s="294" t="s">
        <v>2535</v>
      </c>
      <c r="AG243" s="279"/>
      <c r="AH243" s="280"/>
      <c r="AI243" s="280"/>
      <c r="AJ243" s="279"/>
      <c r="AK243" s="279"/>
    </row>
    <row r="244" spans="1:37" s="178" customFormat="1" ht="12.6" hidden="1" customHeight="1" outlineLevel="3" thickTop="1" thickBot="1">
      <c r="A244" s="178" t="s">
        <v>189</v>
      </c>
      <c r="B244" s="165" t="str">
        <f t="shared" si="6"/>
        <v>ن</v>
      </c>
      <c r="C244" s="164" t="str">
        <f t="shared" si="6"/>
        <v>ن1</v>
      </c>
      <c r="D244" s="184" t="str">
        <f t="shared" si="6"/>
        <v>ن1-4</v>
      </c>
      <c r="E244" s="183" t="s">
        <v>2534</v>
      </c>
      <c r="F244" s="183" t="s">
        <v>2534</v>
      </c>
      <c r="G244" s="384" t="s">
        <v>2533</v>
      </c>
      <c r="H244" s="384"/>
      <c r="I244" s="384"/>
      <c r="J244" s="384"/>
      <c r="K244" s="384"/>
      <c r="L244" s="384"/>
      <c r="M244" s="384"/>
      <c r="N244" s="384"/>
      <c r="O244" s="384"/>
      <c r="P244" s="384"/>
      <c r="Q244" s="384"/>
      <c r="R244" s="384"/>
      <c r="S244" s="384"/>
      <c r="T244" s="384"/>
      <c r="U244" s="384"/>
      <c r="V244" s="384"/>
      <c r="W244" s="384"/>
      <c r="X244" s="384"/>
      <c r="Y244" s="384"/>
      <c r="Z244" s="384"/>
      <c r="AA244" s="384"/>
      <c r="AB244" s="182" t="s">
        <v>2110</v>
      </c>
      <c r="AC244" s="181"/>
      <c r="AD244" s="181"/>
      <c r="AE244" s="181"/>
      <c r="AF244" s="294" t="s">
        <v>2527</v>
      </c>
      <c r="AG244" s="279"/>
      <c r="AH244" s="180"/>
      <c r="AI244" s="180"/>
      <c r="AJ244" s="179"/>
      <c r="AK244" s="179"/>
    </row>
    <row r="245" spans="1:37" s="178" customFormat="1" ht="15" customHeight="1" outlineLevel="4">
      <c r="A245" s="178" t="s">
        <v>3500</v>
      </c>
      <c r="B245" s="165" t="str">
        <f t="shared" si="6"/>
        <v>ن</v>
      </c>
      <c r="C245" s="164" t="str">
        <f t="shared" si="6"/>
        <v>ن1</v>
      </c>
      <c r="D245" s="164" t="str">
        <f t="shared" si="6"/>
        <v>ن1-4</v>
      </c>
      <c r="E245" s="164" t="str">
        <f t="shared" si="6"/>
        <v>ن1-4-2</v>
      </c>
      <c r="F245" s="171" t="s">
        <v>2532</v>
      </c>
      <c r="G245" s="386"/>
      <c r="H245" s="386"/>
      <c r="I245" s="386"/>
      <c r="J245" s="386"/>
      <c r="K245" s="386"/>
      <c r="L245" s="386"/>
      <c r="M245" s="386"/>
      <c r="N245" s="386"/>
      <c r="O245" s="386"/>
      <c r="P245" s="386"/>
      <c r="Q245" s="386"/>
      <c r="R245" s="386"/>
      <c r="S245" s="386"/>
      <c r="T245" s="386"/>
      <c r="U245" s="386"/>
      <c r="V245" s="386"/>
      <c r="W245" s="386"/>
      <c r="X245" s="386"/>
      <c r="Y245" s="386"/>
      <c r="Z245" s="386"/>
      <c r="AA245" s="386"/>
      <c r="AB245" s="304"/>
      <c r="AC245" s="304"/>
      <c r="AD245" s="304"/>
      <c r="AE245" s="304"/>
      <c r="AF245" s="294" t="s">
        <v>2527</v>
      </c>
      <c r="AG245" s="279"/>
      <c r="AH245" s="280"/>
      <c r="AI245" s="280"/>
      <c r="AJ245" s="279"/>
      <c r="AK245" s="279"/>
    </row>
    <row r="246" spans="1:37" s="178" customFormat="1" ht="15" customHeight="1" outlineLevel="4">
      <c r="A246" s="178" t="s">
        <v>3500</v>
      </c>
      <c r="B246" s="165" t="str">
        <f t="shared" si="6"/>
        <v>ن</v>
      </c>
      <c r="C246" s="164" t="str">
        <f t="shared" si="6"/>
        <v>ن1</v>
      </c>
      <c r="D246" s="164" t="str">
        <f t="shared" si="6"/>
        <v>ن1-4</v>
      </c>
      <c r="E246" s="164" t="str">
        <f t="shared" si="6"/>
        <v>ن1-4-2</v>
      </c>
      <c r="F246" s="171" t="s">
        <v>2531</v>
      </c>
      <c r="G246" s="386"/>
      <c r="H246" s="386"/>
      <c r="I246" s="386"/>
      <c r="J246" s="386"/>
      <c r="K246" s="386"/>
      <c r="L246" s="386"/>
      <c r="M246" s="386"/>
      <c r="N246" s="386"/>
      <c r="O246" s="386"/>
      <c r="P246" s="386"/>
      <c r="Q246" s="386"/>
      <c r="R246" s="386"/>
      <c r="S246" s="386"/>
      <c r="T246" s="386"/>
      <c r="U246" s="386"/>
      <c r="V246" s="386"/>
      <c r="W246" s="386"/>
      <c r="X246" s="386"/>
      <c r="Y246" s="386"/>
      <c r="Z246" s="386"/>
      <c r="AA246" s="386"/>
      <c r="AB246" s="304"/>
      <c r="AC246" s="304"/>
      <c r="AD246" s="304"/>
      <c r="AE246" s="304"/>
      <c r="AF246" s="294" t="s">
        <v>2527</v>
      </c>
      <c r="AG246" s="279"/>
      <c r="AH246" s="280"/>
      <c r="AI246" s="280"/>
      <c r="AJ246" s="279"/>
      <c r="AK246" s="279"/>
    </row>
    <row r="247" spans="1:37" s="178" customFormat="1" ht="15" customHeight="1" outlineLevel="4">
      <c r="A247" s="178" t="s">
        <v>3500</v>
      </c>
      <c r="B247" s="165" t="str">
        <f t="shared" si="6"/>
        <v>ن</v>
      </c>
      <c r="C247" s="164" t="str">
        <f t="shared" si="6"/>
        <v>ن1</v>
      </c>
      <c r="D247" s="164" t="str">
        <f t="shared" si="6"/>
        <v>ن1-4</v>
      </c>
      <c r="E247" s="164" t="str">
        <f t="shared" si="6"/>
        <v>ن1-4-2</v>
      </c>
      <c r="F247" s="171" t="s">
        <v>2530</v>
      </c>
      <c r="G247" s="386"/>
      <c r="H247" s="386"/>
      <c r="I247" s="386"/>
      <c r="J247" s="386"/>
      <c r="K247" s="386"/>
      <c r="L247" s="386"/>
      <c r="M247" s="386"/>
      <c r="N247" s="386"/>
      <c r="O247" s="386"/>
      <c r="P247" s="386"/>
      <c r="Q247" s="386"/>
      <c r="R247" s="386"/>
      <c r="S247" s="386"/>
      <c r="T247" s="386"/>
      <c r="U247" s="386"/>
      <c r="V247" s="386"/>
      <c r="W247" s="386"/>
      <c r="X247" s="386"/>
      <c r="Y247" s="386"/>
      <c r="Z247" s="386"/>
      <c r="AA247" s="386"/>
      <c r="AB247" s="304"/>
      <c r="AC247" s="304"/>
      <c r="AD247" s="304"/>
      <c r="AE247" s="304"/>
      <c r="AF247" s="294" t="s">
        <v>2527</v>
      </c>
      <c r="AG247" s="279"/>
      <c r="AH247" s="280"/>
      <c r="AI247" s="280"/>
      <c r="AJ247" s="279"/>
      <c r="AK247" s="279"/>
    </row>
    <row r="248" spans="1:37" s="178" customFormat="1" ht="15" customHeight="1" outlineLevel="4">
      <c r="A248" s="178" t="s">
        <v>3500</v>
      </c>
      <c r="B248" s="165" t="str">
        <f t="shared" si="6"/>
        <v>ن</v>
      </c>
      <c r="C248" s="164" t="str">
        <f t="shared" si="6"/>
        <v>ن1</v>
      </c>
      <c r="D248" s="164" t="str">
        <f t="shared" si="6"/>
        <v>ن1-4</v>
      </c>
      <c r="E248" s="164" t="str">
        <f t="shared" si="6"/>
        <v>ن1-4-2</v>
      </c>
      <c r="F248" s="171" t="s">
        <v>2529</v>
      </c>
      <c r="G248" s="386"/>
      <c r="H248" s="386"/>
      <c r="I248" s="386"/>
      <c r="J248" s="386"/>
      <c r="K248" s="386"/>
      <c r="L248" s="386"/>
      <c r="M248" s="386"/>
      <c r="N248" s="386"/>
      <c r="O248" s="386"/>
      <c r="P248" s="386"/>
      <c r="Q248" s="386"/>
      <c r="R248" s="386"/>
      <c r="S248" s="386"/>
      <c r="T248" s="386"/>
      <c r="U248" s="386"/>
      <c r="V248" s="386"/>
      <c r="W248" s="386"/>
      <c r="X248" s="386"/>
      <c r="Y248" s="386"/>
      <c r="Z248" s="386"/>
      <c r="AA248" s="386"/>
      <c r="AB248" s="304"/>
      <c r="AC248" s="304"/>
      <c r="AD248" s="304"/>
      <c r="AE248" s="304"/>
      <c r="AF248" s="294" t="s">
        <v>2527</v>
      </c>
      <c r="AG248" s="279"/>
      <c r="AH248" s="280"/>
      <c r="AI248" s="280"/>
      <c r="AJ248" s="279"/>
      <c r="AK248" s="279"/>
    </row>
    <row r="249" spans="1:37" s="178" customFormat="1" ht="15" customHeight="1" outlineLevel="4">
      <c r="A249" s="178" t="s">
        <v>3500</v>
      </c>
      <c r="B249" s="165" t="str">
        <f t="shared" si="6"/>
        <v>ن</v>
      </c>
      <c r="C249" s="164" t="str">
        <f t="shared" si="6"/>
        <v>ن1</v>
      </c>
      <c r="D249" s="164" t="str">
        <f t="shared" si="6"/>
        <v>ن1-4</v>
      </c>
      <c r="E249" s="164" t="str">
        <f t="shared" si="6"/>
        <v>ن1-4-2</v>
      </c>
      <c r="F249" s="171" t="s">
        <v>2528</v>
      </c>
      <c r="G249" s="386"/>
      <c r="H249" s="386"/>
      <c r="I249" s="386"/>
      <c r="J249" s="386"/>
      <c r="K249" s="386"/>
      <c r="L249" s="386"/>
      <c r="M249" s="386"/>
      <c r="N249" s="386"/>
      <c r="O249" s="386"/>
      <c r="P249" s="386"/>
      <c r="Q249" s="386"/>
      <c r="R249" s="386"/>
      <c r="S249" s="386"/>
      <c r="T249" s="386"/>
      <c r="U249" s="386"/>
      <c r="V249" s="386"/>
      <c r="W249" s="386"/>
      <c r="X249" s="386"/>
      <c r="Y249" s="386"/>
      <c r="Z249" s="386"/>
      <c r="AA249" s="386"/>
      <c r="AB249" s="304"/>
      <c r="AC249" s="304"/>
      <c r="AD249" s="304"/>
      <c r="AE249" s="304"/>
      <c r="AF249" s="294" t="s">
        <v>2527</v>
      </c>
      <c r="AG249" s="279"/>
      <c r="AH249" s="280"/>
      <c r="AI249" s="280"/>
      <c r="AJ249" s="279"/>
      <c r="AK249" s="279"/>
    </row>
    <row r="250" spans="1:37" s="178" customFormat="1" ht="9" hidden="1" customHeight="1" outlineLevel="3">
      <c r="B250" s="165" t="str">
        <f t="shared" si="6"/>
        <v>ن</v>
      </c>
      <c r="C250" s="164" t="str">
        <f t="shared" si="6"/>
        <v>ن1</v>
      </c>
      <c r="D250" s="164" t="str">
        <f t="shared" si="6"/>
        <v>ن1-4</v>
      </c>
      <c r="E250" s="164" t="str">
        <f t="shared" si="6"/>
        <v>ن1-4-2</v>
      </c>
      <c r="F250" s="171"/>
      <c r="G250" s="295"/>
      <c r="H250" s="295"/>
      <c r="I250" s="295"/>
      <c r="J250" s="295"/>
      <c r="K250" s="295"/>
      <c r="L250" s="295"/>
      <c r="M250" s="295"/>
      <c r="N250" s="295"/>
      <c r="O250" s="295"/>
      <c r="P250" s="295"/>
      <c r="Q250" s="295"/>
      <c r="R250" s="295"/>
      <c r="S250" s="295"/>
      <c r="T250" s="295"/>
      <c r="U250" s="295"/>
      <c r="V250" s="295"/>
      <c r="W250" s="295"/>
      <c r="X250" s="295"/>
      <c r="Y250" s="295"/>
      <c r="Z250" s="295"/>
      <c r="AA250" s="295"/>
      <c r="AB250" s="304"/>
      <c r="AC250" s="304"/>
      <c r="AD250" s="304"/>
      <c r="AE250" s="304"/>
      <c r="AF250" s="294" t="s">
        <v>2527</v>
      </c>
      <c r="AG250" s="279"/>
      <c r="AH250" s="280"/>
      <c r="AI250" s="280"/>
      <c r="AJ250" s="279"/>
      <c r="AK250" s="279"/>
    </row>
    <row r="251" spans="1:37" s="178" customFormat="1" ht="9" hidden="1" customHeight="1" outlineLevel="2">
      <c r="B251" s="165" t="str">
        <f t="shared" si="6"/>
        <v>ن</v>
      </c>
      <c r="C251" s="164" t="str">
        <f t="shared" si="6"/>
        <v>ن1</v>
      </c>
      <c r="D251" s="164" t="str">
        <f t="shared" si="6"/>
        <v>ن1-4</v>
      </c>
      <c r="E251" s="164" t="str">
        <f t="shared" si="6"/>
        <v>ن1-4-2</v>
      </c>
      <c r="F251" s="171"/>
      <c r="G251" s="295"/>
      <c r="H251" s="295"/>
      <c r="I251" s="295"/>
      <c r="J251" s="295"/>
      <c r="K251" s="295"/>
      <c r="L251" s="295"/>
      <c r="M251" s="295"/>
      <c r="N251" s="295"/>
      <c r="O251" s="295"/>
      <c r="P251" s="295"/>
      <c r="Q251" s="295"/>
      <c r="R251" s="295"/>
      <c r="S251" s="295"/>
      <c r="T251" s="295"/>
      <c r="U251" s="295"/>
      <c r="V251" s="295"/>
      <c r="W251" s="295"/>
      <c r="X251" s="295"/>
      <c r="Y251" s="295"/>
      <c r="Z251" s="295"/>
      <c r="AA251" s="295"/>
      <c r="AB251" s="304"/>
      <c r="AC251" s="304"/>
      <c r="AD251" s="304"/>
      <c r="AE251" s="304"/>
      <c r="AF251" s="294" t="s">
        <v>2527</v>
      </c>
      <c r="AG251" s="279"/>
      <c r="AH251" s="280"/>
      <c r="AI251" s="280"/>
      <c r="AJ251" s="279"/>
      <c r="AK251" s="279"/>
    </row>
    <row r="252" spans="1:37" s="178" customFormat="1" ht="9" hidden="1" customHeight="1" outlineLevel="1">
      <c r="B252" s="165" t="str">
        <f t="shared" si="6"/>
        <v>ن</v>
      </c>
      <c r="C252" s="164" t="str">
        <f t="shared" si="6"/>
        <v>ن1</v>
      </c>
      <c r="D252" s="164" t="str">
        <f t="shared" si="6"/>
        <v>ن1-4</v>
      </c>
      <c r="E252" s="164" t="str">
        <f t="shared" si="6"/>
        <v>ن1-4-2</v>
      </c>
      <c r="F252" s="171"/>
      <c r="G252" s="295"/>
      <c r="H252" s="295"/>
      <c r="I252" s="295"/>
      <c r="J252" s="295"/>
      <c r="K252" s="295"/>
      <c r="L252" s="295"/>
      <c r="M252" s="295"/>
      <c r="N252" s="295"/>
      <c r="O252" s="295"/>
      <c r="P252" s="295"/>
      <c r="Q252" s="295"/>
      <c r="R252" s="295"/>
      <c r="S252" s="295"/>
      <c r="T252" s="295"/>
      <c r="U252" s="295"/>
      <c r="V252" s="295"/>
      <c r="W252" s="295"/>
      <c r="X252" s="295"/>
      <c r="Y252" s="295"/>
      <c r="Z252" s="295"/>
      <c r="AA252" s="295"/>
      <c r="AB252" s="304"/>
      <c r="AC252" s="304"/>
      <c r="AD252" s="304"/>
      <c r="AE252" s="304"/>
      <c r="AF252" s="294" t="s">
        <v>2527</v>
      </c>
      <c r="AG252" s="279"/>
      <c r="AH252" s="280"/>
      <c r="AI252" s="280"/>
      <c r="AJ252" s="279"/>
      <c r="AK252" s="279"/>
    </row>
    <row r="253" spans="1:37" s="178" customFormat="1" ht="17.45" hidden="1" customHeight="1" outlineLevel="1">
      <c r="A253" s="178" t="s">
        <v>187</v>
      </c>
      <c r="B253" s="165" t="str">
        <f t="shared" si="6"/>
        <v>ن</v>
      </c>
      <c r="C253" s="165" t="s">
        <v>2526</v>
      </c>
      <c r="D253" s="165" t="s">
        <v>2526</v>
      </c>
      <c r="E253" s="165" t="s">
        <v>2526</v>
      </c>
      <c r="F253" s="165" t="s">
        <v>2526</v>
      </c>
      <c r="G253" s="382" t="s">
        <v>2525</v>
      </c>
      <c r="H253" s="382"/>
      <c r="I253" s="382"/>
      <c r="J253" s="382"/>
      <c r="K253" s="382"/>
      <c r="L253" s="382"/>
      <c r="M253" s="382"/>
      <c r="N253" s="382"/>
      <c r="O253" s="382"/>
      <c r="P253" s="382"/>
      <c r="Q253" s="382"/>
      <c r="R253" s="382"/>
      <c r="S253" s="382"/>
      <c r="T253" s="382"/>
      <c r="U253" s="382"/>
      <c r="V253" s="382"/>
      <c r="W253" s="382"/>
      <c r="X253" s="382"/>
      <c r="Y253" s="382"/>
      <c r="Z253" s="382"/>
      <c r="AA253" s="382"/>
      <c r="AB253" s="194"/>
      <c r="AC253" s="194"/>
      <c r="AD253" s="194"/>
      <c r="AE253" s="194"/>
      <c r="AF253" s="193">
        <v>2.2000000000000002</v>
      </c>
      <c r="AG253" s="286" t="s">
        <v>2163</v>
      </c>
      <c r="AH253" s="287" t="s">
        <v>2125</v>
      </c>
      <c r="AI253" s="287" t="s">
        <v>2124</v>
      </c>
      <c r="AJ253" s="286"/>
      <c r="AK253" s="286"/>
    </row>
    <row r="254" spans="1:37" s="178" customFormat="1" ht="15" hidden="1" customHeight="1" outlineLevel="2">
      <c r="A254" s="264" t="s">
        <v>188</v>
      </c>
      <c r="B254" s="165" t="str">
        <f t="shared" si="6"/>
        <v>ن</v>
      </c>
      <c r="C254" s="164" t="str">
        <f t="shared" si="6"/>
        <v>ن2</v>
      </c>
      <c r="D254" s="247" t="s">
        <v>2524</v>
      </c>
      <c r="E254" s="189" t="s">
        <v>2524</v>
      </c>
      <c r="F254" s="189" t="s">
        <v>2524</v>
      </c>
      <c r="G254" s="189"/>
      <c r="H254" s="383" t="s">
        <v>2523</v>
      </c>
      <c r="I254" s="383"/>
      <c r="J254" s="383"/>
      <c r="K254" s="383"/>
      <c r="L254" s="383"/>
      <c r="M254" s="383"/>
      <c r="N254" s="383"/>
      <c r="O254" s="383"/>
      <c r="P254" s="383"/>
      <c r="Q254" s="383"/>
      <c r="R254" s="383"/>
      <c r="S254" s="383"/>
      <c r="T254" s="383"/>
      <c r="U254" s="383"/>
      <c r="V254" s="383"/>
      <c r="W254" s="383"/>
      <c r="X254" s="383"/>
      <c r="Y254" s="383"/>
      <c r="Z254" s="383"/>
      <c r="AA254" s="383"/>
      <c r="AB254" s="383"/>
      <c r="AC254" s="188"/>
      <c r="AD254" s="188"/>
      <c r="AE254" s="188"/>
      <c r="AF254" s="188" t="s">
        <v>590</v>
      </c>
      <c r="AG254" s="288"/>
      <c r="AH254" s="289" t="s">
        <v>2125</v>
      </c>
      <c r="AI254" s="290" t="s">
        <v>2124</v>
      </c>
      <c r="AJ254" s="290"/>
      <c r="AK254" s="291"/>
    </row>
    <row r="255" spans="1:37" s="178" customFormat="1" ht="12.6" hidden="1" customHeight="1" outlineLevel="3">
      <c r="A255" s="178" t="s">
        <v>189</v>
      </c>
      <c r="B255" s="165" t="str">
        <f t="shared" si="6"/>
        <v>ن</v>
      </c>
      <c r="C255" s="164" t="str">
        <f t="shared" si="6"/>
        <v>ن2</v>
      </c>
      <c r="D255" s="184" t="str">
        <f t="shared" si="6"/>
        <v>ن2-1</v>
      </c>
      <c r="E255" s="183" t="s">
        <v>2522</v>
      </c>
      <c r="F255" s="183" t="s">
        <v>2522</v>
      </c>
      <c r="G255" s="384"/>
      <c r="H255" s="384"/>
      <c r="I255" s="384"/>
      <c r="J255" s="384"/>
      <c r="K255" s="384"/>
      <c r="L255" s="384"/>
      <c r="M255" s="384"/>
      <c r="N255" s="384"/>
      <c r="O255" s="384"/>
      <c r="P255" s="384"/>
      <c r="Q255" s="384"/>
      <c r="R255" s="384"/>
      <c r="S255" s="384"/>
      <c r="T255" s="384"/>
      <c r="U255" s="384"/>
      <c r="V255" s="384"/>
      <c r="W255" s="384"/>
      <c r="X255" s="384"/>
      <c r="Y255" s="384"/>
      <c r="Z255" s="384"/>
      <c r="AA255" s="384"/>
      <c r="AB255" s="185"/>
      <c r="AC255" s="185"/>
      <c r="AD255" s="185"/>
      <c r="AE255" s="185"/>
      <c r="AF255" s="294" t="s">
        <v>2500</v>
      </c>
      <c r="AG255" s="279"/>
      <c r="AH255" s="180"/>
      <c r="AI255" s="180"/>
      <c r="AJ255" s="179"/>
      <c r="AK255" s="179"/>
    </row>
    <row r="256" spans="1:37" s="178" customFormat="1" ht="15" customHeight="1" outlineLevel="4">
      <c r="A256" s="178" t="s">
        <v>3500</v>
      </c>
      <c r="B256" s="165" t="str">
        <f t="shared" si="6"/>
        <v>ن</v>
      </c>
      <c r="C256" s="164" t="str">
        <f t="shared" si="6"/>
        <v>ن2</v>
      </c>
      <c r="D256" s="164" t="str">
        <f t="shared" si="6"/>
        <v>ن2-1</v>
      </c>
      <c r="E256" s="164" t="str">
        <f t="shared" si="6"/>
        <v>ن2-1-1</v>
      </c>
      <c r="F256" s="171"/>
      <c r="G256" s="305"/>
      <c r="H256" s="305"/>
      <c r="I256" s="399" t="s">
        <v>2521</v>
      </c>
      <c r="J256" s="371"/>
      <c r="K256" s="371"/>
      <c r="L256" s="305"/>
      <c r="O256" s="399" t="s">
        <v>2520</v>
      </c>
      <c r="P256" s="353"/>
      <c r="Q256" s="353"/>
      <c r="R256" s="353"/>
      <c r="S256" s="353"/>
      <c r="T256" s="305"/>
      <c r="U256" s="399" t="s">
        <v>2519</v>
      </c>
      <c r="V256" s="353"/>
      <c r="W256" s="353"/>
      <c r="X256" s="353"/>
      <c r="Y256" s="353"/>
      <c r="AB256" s="185"/>
      <c r="AC256" s="185"/>
      <c r="AD256" s="185"/>
      <c r="AE256" s="185"/>
      <c r="AF256" s="294" t="s">
        <v>2500</v>
      </c>
      <c r="AG256" s="279"/>
      <c r="AH256" s="180"/>
      <c r="AI256" s="180"/>
      <c r="AJ256" s="179"/>
      <c r="AK256" s="179"/>
    </row>
    <row r="257" spans="1:37" s="178" customFormat="1" ht="15" customHeight="1" outlineLevel="4">
      <c r="A257" s="178" t="s">
        <v>3500</v>
      </c>
      <c r="B257" s="165" t="str">
        <f t="shared" si="6"/>
        <v>ن</v>
      </c>
      <c r="C257" s="164" t="str">
        <f t="shared" si="6"/>
        <v>ن2</v>
      </c>
      <c r="D257" s="164" t="str">
        <f t="shared" si="6"/>
        <v>ن2-1</v>
      </c>
      <c r="E257" s="164" t="str">
        <f t="shared" si="6"/>
        <v>ن2-1-1</v>
      </c>
      <c r="F257" s="171"/>
      <c r="G257" s="305"/>
      <c r="H257" s="305"/>
      <c r="I257" s="305" t="s">
        <v>2518</v>
      </c>
      <c r="J257" s="399" t="s">
        <v>2517</v>
      </c>
      <c r="K257" s="371"/>
      <c r="L257" s="305"/>
      <c r="M257" s="305" t="s">
        <v>2516</v>
      </c>
      <c r="O257" s="305" t="s">
        <v>2518</v>
      </c>
      <c r="P257" s="305"/>
      <c r="Q257" s="305" t="s">
        <v>2517</v>
      </c>
      <c r="R257" s="305"/>
      <c r="S257" s="305" t="s">
        <v>2516</v>
      </c>
      <c r="T257" s="305"/>
      <c r="U257" s="305" t="s">
        <v>2518</v>
      </c>
      <c r="V257" s="305"/>
      <c r="W257" s="305" t="s">
        <v>2517</v>
      </c>
      <c r="X257" s="305"/>
      <c r="Y257" s="305" t="s">
        <v>2516</v>
      </c>
      <c r="AB257" s="185"/>
      <c r="AC257" s="185"/>
      <c r="AD257" s="185"/>
      <c r="AE257" s="185"/>
      <c r="AF257" s="294" t="s">
        <v>2500</v>
      </c>
      <c r="AG257" s="279"/>
      <c r="AH257" s="180"/>
      <c r="AI257" s="180"/>
      <c r="AJ257" s="179"/>
      <c r="AK257" s="179"/>
    </row>
    <row r="258" spans="1:37" s="178" customFormat="1" ht="15" customHeight="1" outlineLevel="4">
      <c r="A258" s="178" t="s">
        <v>3500</v>
      </c>
      <c r="B258" s="165" t="str">
        <f t="shared" si="6"/>
        <v>ن</v>
      </c>
      <c r="C258" s="164" t="str">
        <f t="shared" si="6"/>
        <v>ن2</v>
      </c>
      <c r="D258" s="164" t="str">
        <f t="shared" si="6"/>
        <v>ن2-1</v>
      </c>
      <c r="E258" s="164" t="str">
        <f t="shared" si="6"/>
        <v>ن2-1-1</v>
      </c>
      <c r="F258" s="171" t="s">
        <v>2515</v>
      </c>
      <c r="G258" s="305" t="s">
        <v>2514</v>
      </c>
      <c r="H258" s="305"/>
      <c r="I258" s="305"/>
      <c r="J258" s="399"/>
      <c r="K258" s="371"/>
      <c r="L258" s="305"/>
      <c r="M258" s="305"/>
      <c r="N258" s="305"/>
      <c r="O258" s="305"/>
      <c r="P258" s="305"/>
      <c r="Q258" s="305"/>
      <c r="R258" s="305"/>
      <c r="S258" s="305"/>
      <c r="T258" s="305"/>
      <c r="U258" s="305"/>
      <c r="V258" s="305"/>
      <c r="W258" s="305"/>
      <c r="X258" s="305"/>
      <c r="Y258" s="305"/>
      <c r="Z258" s="305"/>
      <c r="AA258" s="305"/>
      <c r="AB258" s="185"/>
      <c r="AC258" s="185"/>
      <c r="AD258" s="185"/>
      <c r="AE258" s="185"/>
      <c r="AF258" s="294" t="s">
        <v>2500</v>
      </c>
      <c r="AG258" s="279"/>
      <c r="AH258" s="180"/>
      <c r="AI258" s="180"/>
      <c r="AJ258" s="179"/>
      <c r="AK258" s="179"/>
    </row>
    <row r="259" spans="1:37" s="178" customFormat="1" ht="15" customHeight="1" outlineLevel="4">
      <c r="A259" s="178" t="s">
        <v>3500</v>
      </c>
      <c r="B259" s="165" t="str">
        <f t="shared" si="6"/>
        <v>ن</v>
      </c>
      <c r="C259" s="164" t="str">
        <f t="shared" si="6"/>
        <v>ن2</v>
      </c>
      <c r="D259" s="164" t="str">
        <f t="shared" si="6"/>
        <v>ن2-1</v>
      </c>
      <c r="E259" s="164" t="str">
        <f t="shared" si="6"/>
        <v>ن2-1-1</v>
      </c>
      <c r="F259" s="171" t="s">
        <v>2513</v>
      </c>
      <c r="G259" s="305" t="s">
        <v>2512</v>
      </c>
      <c r="H259" s="305"/>
      <c r="I259" s="305"/>
      <c r="J259" s="399"/>
      <c r="K259" s="371"/>
      <c r="L259" s="305"/>
      <c r="M259" s="305"/>
      <c r="N259" s="305"/>
      <c r="O259" s="305"/>
      <c r="P259" s="305"/>
      <c r="Q259" s="305"/>
      <c r="R259" s="305"/>
      <c r="S259" s="305"/>
      <c r="T259" s="305"/>
      <c r="U259" s="305"/>
      <c r="V259" s="305"/>
      <c r="W259" s="305"/>
      <c r="X259" s="305"/>
      <c r="Y259" s="305"/>
      <c r="Z259" s="305"/>
      <c r="AA259" s="305"/>
      <c r="AB259" s="185"/>
      <c r="AC259" s="185"/>
      <c r="AD259" s="185"/>
      <c r="AE259" s="185"/>
      <c r="AF259" s="294" t="s">
        <v>2500</v>
      </c>
      <c r="AG259" s="279"/>
      <c r="AH259" s="180"/>
      <c r="AI259" s="180"/>
      <c r="AJ259" s="179"/>
      <c r="AK259" s="179"/>
    </row>
    <row r="260" spans="1:37" s="178" customFormat="1" ht="15" customHeight="1" outlineLevel="4">
      <c r="A260" s="178" t="s">
        <v>3500</v>
      </c>
      <c r="B260" s="165" t="str">
        <f t="shared" si="6"/>
        <v>ن</v>
      </c>
      <c r="C260" s="164" t="str">
        <f t="shared" si="6"/>
        <v>ن2</v>
      </c>
      <c r="D260" s="164" t="str">
        <f t="shared" si="6"/>
        <v>ن2-1</v>
      </c>
      <c r="E260" s="164" t="str">
        <f t="shared" si="6"/>
        <v>ن2-1-1</v>
      </c>
      <c r="F260" s="171" t="s">
        <v>2511</v>
      </c>
      <c r="G260" s="305" t="s">
        <v>2510</v>
      </c>
      <c r="H260" s="305"/>
      <c r="I260" s="305"/>
      <c r="J260" s="399"/>
      <c r="K260" s="371"/>
      <c r="L260" s="305"/>
      <c r="M260" s="305"/>
      <c r="N260" s="305"/>
      <c r="O260" s="305"/>
      <c r="P260" s="305"/>
      <c r="Q260" s="305"/>
      <c r="R260" s="305"/>
      <c r="S260" s="305"/>
      <c r="T260" s="305"/>
      <c r="U260" s="305"/>
      <c r="V260" s="305"/>
      <c r="W260" s="305"/>
      <c r="X260" s="305"/>
      <c r="Y260" s="305"/>
      <c r="Z260" s="305"/>
      <c r="AA260" s="305"/>
      <c r="AB260" s="185"/>
      <c r="AC260" s="185"/>
      <c r="AD260" s="185"/>
      <c r="AE260" s="185"/>
      <c r="AF260" s="294" t="s">
        <v>2500</v>
      </c>
      <c r="AG260" s="279"/>
      <c r="AH260" s="180"/>
      <c r="AI260" s="180"/>
      <c r="AJ260" s="179"/>
      <c r="AK260" s="179"/>
    </row>
    <row r="261" spans="1:37" s="178" customFormat="1" ht="15" customHeight="1" outlineLevel="4">
      <c r="A261" s="178" t="s">
        <v>3500</v>
      </c>
      <c r="B261" s="165" t="str">
        <f t="shared" si="6"/>
        <v>ن</v>
      </c>
      <c r="C261" s="164" t="str">
        <f t="shared" si="6"/>
        <v>ن2</v>
      </c>
      <c r="D261" s="164" t="str">
        <f t="shared" si="6"/>
        <v>ن2-1</v>
      </c>
      <c r="E261" s="164" t="str">
        <f t="shared" si="6"/>
        <v>ن2-1-1</v>
      </c>
      <c r="F261" s="171" t="s">
        <v>2509</v>
      </c>
      <c r="G261" s="305" t="s">
        <v>2508</v>
      </c>
      <c r="H261" s="305"/>
      <c r="I261" s="305"/>
      <c r="J261" s="399"/>
      <c r="K261" s="371"/>
      <c r="L261" s="305"/>
      <c r="M261" s="305"/>
      <c r="N261" s="305"/>
      <c r="O261" s="305"/>
      <c r="P261" s="305"/>
      <c r="Q261" s="305"/>
      <c r="R261" s="305"/>
      <c r="S261" s="305"/>
      <c r="T261" s="305"/>
      <c r="U261" s="305"/>
      <c r="V261" s="305"/>
      <c r="W261" s="305"/>
      <c r="X261" s="305"/>
      <c r="Y261" s="305"/>
      <c r="Z261" s="305"/>
      <c r="AA261" s="305"/>
      <c r="AB261" s="185"/>
      <c r="AC261" s="185"/>
      <c r="AD261" s="185"/>
      <c r="AE261" s="185"/>
      <c r="AF261" s="294" t="s">
        <v>2500</v>
      </c>
      <c r="AG261" s="279"/>
      <c r="AH261" s="180"/>
      <c r="AI261" s="180"/>
      <c r="AJ261" s="179"/>
      <c r="AK261" s="179"/>
    </row>
    <row r="262" spans="1:37" s="178" customFormat="1" ht="15" customHeight="1" outlineLevel="4">
      <c r="A262" s="178" t="s">
        <v>3500</v>
      </c>
      <c r="B262" s="165" t="str">
        <f t="shared" si="6"/>
        <v>ن</v>
      </c>
      <c r="C262" s="164" t="str">
        <f t="shared" si="6"/>
        <v>ن2</v>
      </c>
      <c r="D262" s="164" t="str">
        <f t="shared" si="6"/>
        <v>ن2-1</v>
      </c>
      <c r="E262" s="164" t="str">
        <f t="shared" si="6"/>
        <v>ن2-1-1</v>
      </c>
      <c r="F262" s="171" t="s">
        <v>2507</v>
      </c>
      <c r="G262" s="305" t="s">
        <v>2506</v>
      </c>
      <c r="H262" s="305" t="s">
        <v>2505</v>
      </c>
      <c r="I262" s="305"/>
      <c r="J262" s="399"/>
      <c r="K262" s="371"/>
      <c r="L262" s="305"/>
      <c r="M262" s="305"/>
      <c r="N262" s="305"/>
      <c r="O262" s="305"/>
      <c r="P262" s="305"/>
      <c r="Q262" s="305"/>
      <c r="R262" s="305"/>
      <c r="S262" s="305"/>
      <c r="T262" s="305"/>
      <c r="U262" s="305"/>
      <c r="V262" s="305"/>
      <c r="W262" s="305"/>
      <c r="X262" s="305"/>
      <c r="Y262" s="305"/>
      <c r="Z262" s="305"/>
      <c r="AA262" s="305"/>
      <c r="AB262" s="185"/>
      <c r="AC262" s="185"/>
      <c r="AD262" s="185"/>
      <c r="AE262" s="185"/>
      <c r="AF262" s="294" t="s">
        <v>2500</v>
      </c>
      <c r="AG262" s="279"/>
      <c r="AH262" s="180"/>
      <c r="AI262" s="180"/>
      <c r="AJ262" s="179"/>
      <c r="AK262" s="179"/>
    </row>
    <row r="263" spans="1:37" s="178" customFormat="1" ht="15" customHeight="1" outlineLevel="4">
      <c r="A263" s="178" t="s">
        <v>3500</v>
      </c>
      <c r="B263" s="165" t="str">
        <f t="shared" si="6"/>
        <v>ن</v>
      </c>
      <c r="C263" s="164" t="str">
        <f t="shared" si="6"/>
        <v>ن2</v>
      </c>
      <c r="D263" s="164" t="str">
        <f t="shared" si="6"/>
        <v>ن2-1</v>
      </c>
      <c r="E263" s="164" t="str">
        <f t="shared" si="6"/>
        <v>ن2-1-1</v>
      </c>
      <c r="F263" s="171" t="s">
        <v>2504</v>
      </c>
      <c r="G263" s="305"/>
      <c r="H263" s="305" t="s">
        <v>2503</v>
      </c>
      <c r="I263" s="305"/>
      <c r="J263" s="399"/>
      <c r="K263" s="371"/>
      <c r="L263" s="305"/>
      <c r="M263" s="305"/>
      <c r="N263" s="305"/>
      <c r="O263" s="305"/>
      <c r="P263" s="305"/>
      <c r="Q263" s="305"/>
      <c r="R263" s="305"/>
      <c r="S263" s="305"/>
      <c r="T263" s="305"/>
      <c r="U263" s="305"/>
      <c r="V263" s="305"/>
      <c r="W263" s="305"/>
      <c r="X263" s="305"/>
      <c r="Y263" s="305"/>
      <c r="Z263" s="305"/>
      <c r="AA263" s="305"/>
      <c r="AB263" s="185"/>
      <c r="AC263" s="185"/>
      <c r="AD263" s="185"/>
      <c r="AE263" s="185"/>
      <c r="AF263" s="294" t="s">
        <v>2500</v>
      </c>
      <c r="AG263" s="279"/>
      <c r="AH263" s="180"/>
      <c r="AI263" s="180"/>
      <c r="AJ263" s="179"/>
      <c r="AK263" s="179"/>
    </row>
    <row r="264" spans="1:37" s="178" customFormat="1" ht="15" customHeight="1" outlineLevel="4">
      <c r="A264" s="178" t="s">
        <v>3500</v>
      </c>
      <c r="B264" s="165" t="str">
        <f t="shared" si="6"/>
        <v>ن</v>
      </c>
      <c r="C264" s="164" t="str">
        <f t="shared" si="6"/>
        <v>ن2</v>
      </c>
      <c r="D264" s="164" t="str">
        <f t="shared" si="6"/>
        <v>ن2-1</v>
      </c>
      <c r="E264" s="164" t="str">
        <f t="shared" si="6"/>
        <v>ن2-1-1</v>
      </c>
      <c r="F264" s="171" t="s">
        <v>2502</v>
      </c>
      <c r="G264" s="305"/>
      <c r="H264" s="305" t="s">
        <v>2501</v>
      </c>
      <c r="I264" s="305"/>
      <c r="J264" s="399"/>
      <c r="K264" s="371"/>
      <c r="L264" s="305"/>
      <c r="M264" s="305"/>
      <c r="N264" s="305"/>
      <c r="O264" s="305"/>
      <c r="P264" s="305"/>
      <c r="Q264" s="305"/>
      <c r="R264" s="305"/>
      <c r="S264" s="305"/>
      <c r="T264" s="305"/>
      <c r="U264" s="305"/>
      <c r="V264" s="305"/>
      <c r="W264" s="305"/>
      <c r="X264" s="305"/>
      <c r="Y264" s="305"/>
      <c r="Z264" s="305"/>
      <c r="AA264" s="305"/>
      <c r="AB264" s="185"/>
      <c r="AC264" s="185"/>
      <c r="AD264" s="185"/>
      <c r="AE264" s="185"/>
      <c r="AF264" s="294" t="s">
        <v>2500</v>
      </c>
      <c r="AG264" s="279"/>
      <c r="AH264" s="180"/>
      <c r="AI264" s="180"/>
      <c r="AJ264" s="179"/>
      <c r="AK264" s="179"/>
    </row>
    <row r="265" spans="1:37" s="178" customFormat="1" ht="9" hidden="1" customHeight="1" outlineLevel="3">
      <c r="B265" s="165" t="str">
        <f t="shared" si="6"/>
        <v>ن</v>
      </c>
      <c r="C265" s="164" t="str">
        <f t="shared" si="6"/>
        <v>ن2</v>
      </c>
      <c r="D265" s="164" t="str">
        <f t="shared" si="6"/>
        <v>ن2-1</v>
      </c>
      <c r="E265" s="164" t="str">
        <f t="shared" si="6"/>
        <v>ن2-1-1</v>
      </c>
      <c r="F265" s="171"/>
      <c r="G265" s="305"/>
      <c r="H265" s="305"/>
      <c r="I265" s="305"/>
      <c r="J265" s="399"/>
      <c r="K265" s="371"/>
      <c r="L265" s="305"/>
      <c r="M265" s="305"/>
      <c r="N265" s="305"/>
      <c r="O265" s="305"/>
      <c r="P265" s="305"/>
      <c r="Q265" s="305"/>
      <c r="R265" s="305"/>
      <c r="S265" s="305"/>
      <c r="T265" s="305"/>
      <c r="U265" s="305"/>
      <c r="V265" s="305"/>
      <c r="W265" s="305"/>
      <c r="X265" s="305"/>
      <c r="Y265" s="305"/>
      <c r="Z265" s="305"/>
      <c r="AA265" s="305"/>
      <c r="AB265" s="185"/>
      <c r="AC265" s="185"/>
      <c r="AD265" s="185"/>
      <c r="AE265" s="185"/>
      <c r="AF265" s="294" t="s">
        <v>2500</v>
      </c>
      <c r="AG265" s="279"/>
      <c r="AH265" s="180"/>
      <c r="AI265" s="180"/>
      <c r="AJ265" s="179"/>
      <c r="AK265" s="179"/>
    </row>
    <row r="266" spans="1:37" s="178" customFormat="1" ht="9" hidden="1" customHeight="1" outlineLevel="2">
      <c r="B266" s="165" t="str">
        <f t="shared" si="6"/>
        <v>ن</v>
      </c>
      <c r="C266" s="164" t="str">
        <f t="shared" si="6"/>
        <v>ن2</v>
      </c>
      <c r="D266" s="164" t="str">
        <f t="shared" si="6"/>
        <v>ن2-1</v>
      </c>
      <c r="E266" s="164" t="str">
        <f t="shared" si="6"/>
        <v>ن2-1-1</v>
      </c>
      <c r="F266" s="171"/>
      <c r="G266" s="305"/>
      <c r="H266" s="305"/>
      <c r="I266" s="305"/>
      <c r="J266" s="305"/>
      <c r="K266" s="305"/>
      <c r="L266" s="305"/>
      <c r="M266" s="305"/>
      <c r="N266" s="305"/>
      <c r="O266" s="305"/>
      <c r="P266" s="305"/>
      <c r="Q266" s="305"/>
      <c r="R266" s="305"/>
      <c r="S266" s="305"/>
      <c r="T266" s="305"/>
      <c r="U266" s="305"/>
      <c r="V266" s="305"/>
      <c r="W266" s="305"/>
      <c r="X266" s="305"/>
      <c r="Y266" s="305"/>
      <c r="Z266" s="305"/>
      <c r="AA266" s="305"/>
      <c r="AB266" s="185"/>
      <c r="AC266" s="185"/>
      <c r="AD266" s="185"/>
      <c r="AE266" s="185"/>
      <c r="AF266" s="294" t="s">
        <v>2500</v>
      </c>
      <c r="AG266" s="279"/>
      <c r="AH266" s="180"/>
      <c r="AI266" s="180"/>
      <c r="AJ266" s="179"/>
      <c r="AK266" s="179"/>
    </row>
    <row r="267" spans="1:37" s="178" customFormat="1" ht="15" hidden="1" customHeight="1" outlineLevel="2" thickBot="1">
      <c r="A267" s="264" t="s">
        <v>188</v>
      </c>
      <c r="B267" s="165" t="str">
        <f t="shared" si="6"/>
        <v>ن</v>
      </c>
      <c r="C267" s="164" t="str">
        <f t="shared" si="6"/>
        <v>ن2</v>
      </c>
      <c r="D267" s="247" t="s">
        <v>2499</v>
      </c>
      <c r="E267" s="189" t="s">
        <v>2499</v>
      </c>
      <c r="F267" s="189" t="s">
        <v>2499</v>
      </c>
      <c r="G267" s="189"/>
      <c r="H267" s="383" t="s">
        <v>2498</v>
      </c>
      <c r="I267" s="383"/>
      <c r="J267" s="383"/>
      <c r="K267" s="383"/>
      <c r="L267" s="383"/>
      <c r="M267" s="383"/>
      <c r="N267" s="383"/>
      <c r="O267" s="383"/>
      <c r="P267" s="383"/>
      <c r="Q267" s="383"/>
      <c r="R267" s="383"/>
      <c r="S267" s="383"/>
      <c r="T267" s="383"/>
      <c r="U267" s="383"/>
      <c r="V267" s="383"/>
      <c r="W267" s="383"/>
      <c r="X267" s="383"/>
      <c r="Y267" s="383"/>
      <c r="Z267" s="383"/>
      <c r="AA267" s="383"/>
      <c r="AB267" s="383"/>
      <c r="AC267" s="188"/>
      <c r="AD267" s="188"/>
      <c r="AE267" s="188"/>
      <c r="AF267" s="188" t="s">
        <v>593</v>
      </c>
      <c r="AG267" s="288" t="s">
        <v>2163</v>
      </c>
      <c r="AH267" s="289" t="s">
        <v>2125</v>
      </c>
      <c r="AI267" s="290" t="s">
        <v>2124</v>
      </c>
      <c r="AJ267" s="290"/>
      <c r="AK267" s="291"/>
    </row>
    <row r="268" spans="1:37" ht="12.6" hidden="1" customHeight="1" outlineLevel="3" thickTop="1" thickBot="1">
      <c r="A268" s="178" t="s">
        <v>189</v>
      </c>
      <c r="B268" s="165" t="str">
        <f t="shared" si="6"/>
        <v>ن</v>
      </c>
      <c r="C268" s="164" t="str">
        <f t="shared" si="6"/>
        <v>ن2</v>
      </c>
      <c r="D268" s="184" t="str">
        <f t="shared" si="6"/>
        <v>ن2-2</v>
      </c>
      <c r="E268" s="183" t="s">
        <v>2497</v>
      </c>
      <c r="F268" s="183" t="s">
        <v>2497</v>
      </c>
      <c r="G268" s="384" t="s">
        <v>2496</v>
      </c>
      <c r="H268" s="384"/>
      <c r="I268" s="384"/>
      <c r="J268" s="384"/>
      <c r="K268" s="384"/>
      <c r="L268" s="384"/>
      <c r="M268" s="384"/>
      <c r="N268" s="384"/>
      <c r="O268" s="384"/>
      <c r="P268" s="384"/>
      <c r="Q268" s="384"/>
      <c r="R268" s="384"/>
      <c r="S268" s="384"/>
      <c r="T268" s="384"/>
      <c r="U268" s="384"/>
      <c r="V268" s="384"/>
      <c r="W268" s="384"/>
      <c r="X268" s="384"/>
      <c r="Y268" s="384"/>
      <c r="Z268" s="384"/>
      <c r="AA268" s="384"/>
      <c r="AB268" s="182" t="s">
        <v>2110</v>
      </c>
      <c r="AC268" s="181"/>
      <c r="AD268" s="181"/>
      <c r="AE268" s="181"/>
      <c r="AF268" s="294" t="s">
        <v>2376</v>
      </c>
      <c r="AG268" s="306" t="s">
        <v>2152</v>
      </c>
      <c r="AH268" s="180"/>
      <c r="AI268" s="180"/>
      <c r="AJ268" s="179"/>
      <c r="AK268" s="179"/>
    </row>
    <row r="269" spans="1:37" ht="15" customHeight="1" outlineLevel="4">
      <c r="A269" s="178" t="s">
        <v>3500</v>
      </c>
      <c r="B269" s="165" t="str">
        <f t="shared" si="6"/>
        <v>ن</v>
      </c>
      <c r="C269" s="164" t="str">
        <f t="shared" si="6"/>
        <v>ن2</v>
      </c>
      <c r="D269" s="164" t="str">
        <f t="shared" si="6"/>
        <v>ن2-2</v>
      </c>
      <c r="E269" s="164" t="str">
        <f>E268</f>
        <v>ن2-2-1</v>
      </c>
      <c r="F269" s="171" t="s">
        <v>2495</v>
      </c>
      <c r="G269" s="386"/>
      <c r="H269" s="386"/>
      <c r="I269" s="386"/>
      <c r="J269" s="386"/>
      <c r="K269" s="386"/>
      <c r="L269" s="386"/>
      <c r="M269" s="386"/>
      <c r="N269" s="386"/>
      <c r="O269" s="386"/>
      <c r="P269" s="386"/>
      <c r="Q269" s="386"/>
      <c r="R269" s="386"/>
      <c r="S269" s="386"/>
      <c r="T269" s="386"/>
      <c r="U269" s="386"/>
      <c r="V269" s="386"/>
      <c r="W269" s="386"/>
      <c r="X269" s="386"/>
      <c r="Y269" s="386"/>
      <c r="Z269" s="386"/>
      <c r="AA269" s="386"/>
      <c r="AF269" s="294" t="s">
        <v>2376</v>
      </c>
      <c r="AG269" s="306"/>
    </row>
    <row r="270" spans="1:37" ht="9" hidden="1" customHeight="1" outlineLevel="3" thickBot="1">
      <c r="B270" s="165" t="str">
        <f t="shared" si="6"/>
        <v>ن</v>
      </c>
      <c r="C270" s="164" t="str">
        <f t="shared" si="6"/>
        <v>ن2</v>
      </c>
      <c r="D270" s="164" t="str">
        <f t="shared" si="6"/>
        <v>ن2-2</v>
      </c>
      <c r="E270" s="164" t="str">
        <f>E269</f>
        <v>ن2-2-1</v>
      </c>
      <c r="F270" s="171"/>
      <c r="G270" s="295"/>
      <c r="H270" s="295"/>
      <c r="I270" s="295"/>
      <c r="J270" s="295"/>
      <c r="K270" s="295"/>
      <c r="L270" s="295"/>
      <c r="M270" s="295"/>
      <c r="N270" s="295"/>
      <c r="O270" s="295"/>
      <c r="P270" s="295"/>
      <c r="Q270" s="295"/>
      <c r="R270" s="295"/>
      <c r="S270" s="295"/>
      <c r="T270" s="295"/>
      <c r="U270" s="295"/>
      <c r="V270" s="295"/>
      <c r="W270" s="295"/>
      <c r="X270" s="295"/>
      <c r="Y270" s="295"/>
      <c r="Z270" s="295"/>
      <c r="AA270" s="295"/>
      <c r="AF270" s="294" t="s">
        <v>2376</v>
      </c>
      <c r="AG270" s="306"/>
    </row>
    <row r="271" spans="1:37" ht="12.6" hidden="1" customHeight="1" outlineLevel="3" thickTop="1" thickBot="1">
      <c r="A271" s="178" t="s">
        <v>189</v>
      </c>
      <c r="B271" s="165" t="str">
        <f t="shared" si="6"/>
        <v>ن</v>
      </c>
      <c r="C271" s="164" t="str">
        <f t="shared" si="6"/>
        <v>ن2</v>
      </c>
      <c r="D271" s="184" t="str">
        <f t="shared" si="6"/>
        <v>ن2-2</v>
      </c>
      <c r="E271" s="183" t="s">
        <v>2494</v>
      </c>
      <c r="F271" s="183" t="s">
        <v>2494</v>
      </c>
      <c r="G271" s="384" t="s">
        <v>2493</v>
      </c>
      <c r="H271" s="384"/>
      <c r="I271" s="384"/>
      <c r="J271" s="384"/>
      <c r="K271" s="384"/>
      <c r="L271" s="384"/>
      <c r="M271" s="384"/>
      <c r="N271" s="384"/>
      <c r="O271" s="384"/>
      <c r="P271" s="384"/>
      <c r="Q271" s="384"/>
      <c r="R271" s="384"/>
      <c r="S271" s="384"/>
      <c r="T271" s="384"/>
      <c r="U271" s="384"/>
      <c r="V271" s="384"/>
      <c r="W271" s="384"/>
      <c r="X271" s="384"/>
      <c r="Y271" s="384"/>
      <c r="Z271" s="384"/>
      <c r="AA271" s="384"/>
      <c r="AB271" s="182" t="s">
        <v>2110</v>
      </c>
      <c r="AC271" s="181"/>
      <c r="AD271" s="181"/>
      <c r="AE271" s="181"/>
      <c r="AF271" s="294" t="s">
        <v>2376</v>
      </c>
      <c r="AG271" s="306" t="s">
        <v>2152</v>
      </c>
      <c r="AH271" s="180"/>
      <c r="AI271" s="180"/>
      <c r="AJ271" s="179"/>
      <c r="AK271" s="179"/>
    </row>
    <row r="272" spans="1:37" ht="15" customHeight="1" outlineLevel="4">
      <c r="A272" s="178" t="s">
        <v>3500</v>
      </c>
      <c r="B272" s="165" t="str">
        <f t="shared" si="6"/>
        <v>ن</v>
      </c>
      <c r="C272" s="164" t="str">
        <f t="shared" si="6"/>
        <v>ن2</v>
      </c>
      <c r="D272" s="164" t="str">
        <f t="shared" si="6"/>
        <v>ن2-2</v>
      </c>
      <c r="E272" s="164" t="str">
        <f>E271</f>
        <v>ن2-2-2</v>
      </c>
      <c r="F272" s="171" t="s">
        <v>2492</v>
      </c>
      <c r="G272" s="245" t="s">
        <v>2247</v>
      </c>
      <c r="H272" s="161" t="s">
        <v>2491</v>
      </c>
      <c r="I272" s="400" t="s">
        <v>2490</v>
      </c>
      <c r="J272" s="367"/>
      <c r="K272" s="367"/>
      <c r="M272" s="401" t="s">
        <v>2489</v>
      </c>
      <c r="N272" s="402"/>
      <c r="O272" s="402"/>
      <c r="P272" s="246"/>
      <c r="Q272" s="246"/>
      <c r="R272" s="246"/>
      <c r="S272" s="246"/>
      <c r="T272" s="246"/>
      <c r="U272" s="246"/>
      <c r="V272" s="246"/>
      <c r="W272" s="246"/>
      <c r="X272" s="246"/>
      <c r="Y272" s="246"/>
      <c r="Z272" s="246"/>
      <c r="AA272" s="245"/>
      <c r="AF272" s="294" t="s">
        <v>2376</v>
      </c>
      <c r="AG272" s="306"/>
    </row>
    <row r="273" spans="1:37" ht="9" hidden="1" customHeight="1" outlineLevel="3" thickBot="1">
      <c r="B273" s="165" t="str">
        <f t="shared" si="6"/>
        <v>ن</v>
      </c>
      <c r="C273" s="164" t="str">
        <f t="shared" si="6"/>
        <v>ن2</v>
      </c>
      <c r="D273" s="164" t="str">
        <f t="shared" si="6"/>
        <v>ن2-2</v>
      </c>
      <c r="E273" s="164" t="str">
        <f>E272</f>
        <v>ن2-2-2</v>
      </c>
      <c r="F273" s="171"/>
      <c r="G273" s="245"/>
      <c r="J273" s="285"/>
      <c r="K273" s="285"/>
      <c r="M273" s="245"/>
      <c r="N273" s="307"/>
      <c r="O273" s="307"/>
      <c r="P273" s="246"/>
      <c r="Q273" s="246"/>
      <c r="R273" s="246"/>
      <c r="S273" s="246"/>
      <c r="T273" s="246"/>
      <c r="U273" s="246"/>
      <c r="V273" s="246"/>
      <c r="W273" s="246"/>
      <c r="X273" s="246"/>
      <c r="Y273" s="246"/>
      <c r="Z273" s="246"/>
      <c r="AA273" s="245"/>
      <c r="AF273" s="294" t="s">
        <v>2376</v>
      </c>
      <c r="AG273" s="306"/>
    </row>
    <row r="274" spans="1:37" ht="12.6" hidden="1" customHeight="1" outlineLevel="3" thickTop="1" thickBot="1">
      <c r="A274" s="178" t="s">
        <v>189</v>
      </c>
      <c r="B274" s="165" t="str">
        <f t="shared" si="6"/>
        <v>ن</v>
      </c>
      <c r="C274" s="164" t="str">
        <f t="shared" si="6"/>
        <v>ن2</v>
      </c>
      <c r="D274" s="184" t="str">
        <f t="shared" si="6"/>
        <v>ن2-2</v>
      </c>
      <c r="E274" s="183" t="s">
        <v>2488</v>
      </c>
      <c r="F274" s="183" t="s">
        <v>2488</v>
      </c>
      <c r="G274" s="384" t="s">
        <v>2487</v>
      </c>
      <c r="H274" s="384"/>
      <c r="I274" s="384"/>
      <c r="J274" s="384"/>
      <c r="K274" s="384"/>
      <c r="L274" s="384"/>
      <c r="M274" s="384"/>
      <c r="N274" s="384"/>
      <c r="O274" s="384"/>
      <c r="P274" s="384"/>
      <c r="Q274" s="384"/>
      <c r="R274" s="384"/>
      <c r="S274" s="384"/>
      <c r="T274" s="384"/>
      <c r="U274" s="384"/>
      <c r="V274" s="384"/>
      <c r="W274" s="384"/>
      <c r="X274" s="384"/>
      <c r="Y274" s="384"/>
      <c r="Z274" s="384"/>
      <c r="AA274" s="384"/>
      <c r="AB274" s="182" t="s">
        <v>2110</v>
      </c>
      <c r="AC274" s="181"/>
      <c r="AD274" s="181"/>
      <c r="AE274" s="181"/>
      <c r="AF274" s="294" t="s">
        <v>2376</v>
      </c>
      <c r="AG274" s="306"/>
      <c r="AH274" s="180"/>
      <c r="AI274" s="180"/>
      <c r="AJ274" s="179"/>
      <c r="AK274" s="179"/>
    </row>
    <row r="275" spans="1:37" ht="26.45" customHeight="1" outlineLevel="4">
      <c r="A275" s="178" t="s">
        <v>3500</v>
      </c>
      <c r="B275" s="165" t="str">
        <f t="shared" si="6"/>
        <v>ن</v>
      </c>
      <c r="C275" s="164" t="str">
        <f t="shared" si="6"/>
        <v>ن2</v>
      </c>
      <c r="D275" s="164" t="str">
        <f t="shared" si="6"/>
        <v>ن2-2</v>
      </c>
      <c r="E275" s="164" t="str">
        <f>E274</f>
        <v>ن2-2-3</v>
      </c>
      <c r="F275" s="171" t="s">
        <v>2486</v>
      </c>
      <c r="G275" s="386" t="s">
        <v>2485</v>
      </c>
      <c r="H275" s="386"/>
      <c r="I275" s="386"/>
      <c r="J275" s="386"/>
      <c r="K275" s="386"/>
      <c r="L275" s="386"/>
      <c r="M275" s="386"/>
      <c r="N275" s="386"/>
      <c r="O275" s="386"/>
      <c r="P275" s="386"/>
      <c r="Q275" s="386"/>
      <c r="R275" s="386"/>
      <c r="S275" s="386"/>
      <c r="T275" s="386"/>
      <c r="U275" s="386"/>
      <c r="V275" s="386"/>
      <c r="W275" s="386"/>
      <c r="X275" s="386"/>
      <c r="Y275" s="386"/>
      <c r="Z275" s="386"/>
      <c r="AA275" s="386"/>
      <c r="AB275" s="308"/>
      <c r="AC275" s="308"/>
      <c r="AD275" s="308"/>
      <c r="AE275" s="308"/>
      <c r="AF275" s="294" t="s">
        <v>2376</v>
      </c>
      <c r="AG275" s="306" t="s">
        <v>2484</v>
      </c>
      <c r="AH275" s="302"/>
      <c r="AI275" s="302"/>
      <c r="AJ275" s="303"/>
      <c r="AK275" s="303"/>
    </row>
    <row r="276" spans="1:37" ht="9" hidden="1" customHeight="1" outlineLevel="3" thickBot="1">
      <c r="B276" s="165" t="str">
        <f t="shared" si="6"/>
        <v>ن</v>
      </c>
      <c r="C276" s="164" t="str">
        <f t="shared" si="6"/>
        <v>ن2</v>
      </c>
      <c r="D276" s="164" t="str">
        <f t="shared" si="6"/>
        <v>ن2-2</v>
      </c>
      <c r="E276" s="164" t="str">
        <f>E275</f>
        <v>ن2-2-3</v>
      </c>
      <c r="F276" s="171"/>
      <c r="G276" s="295"/>
      <c r="H276" s="295"/>
      <c r="I276" s="295"/>
      <c r="J276" s="295"/>
      <c r="K276" s="295"/>
      <c r="L276" s="295"/>
      <c r="M276" s="295"/>
      <c r="N276" s="295"/>
      <c r="O276" s="295"/>
      <c r="P276" s="295"/>
      <c r="Q276" s="295"/>
      <c r="R276" s="295"/>
      <c r="S276" s="295"/>
      <c r="T276" s="295"/>
      <c r="U276" s="295"/>
      <c r="V276" s="295"/>
      <c r="W276" s="295"/>
      <c r="X276" s="295"/>
      <c r="Y276" s="295"/>
      <c r="Z276" s="295"/>
      <c r="AA276" s="295"/>
      <c r="AB276" s="308"/>
      <c r="AC276" s="308"/>
      <c r="AD276" s="308"/>
      <c r="AE276" s="308"/>
      <c r="AF276" s="294" t="s">
        <v>2376</v>
      </c>
      <c r="AG276" s="306"/>
      <c r="AH276" s="302"/>
      <c r="AI276" s="302"/>
      <c r="AJ276" s="303"/>
      <c r="AK276" s="303"/>
    </row>
    <row r="277" spans="1:37" ht="12.6" hidden="1" customHeight="1" outlineLevel="3" thickTop="1" thickBot="1">
      <c r="A277" s="178" t="s">
        <v>189</v>
      </c>
      <c r="B277" s="165" t="str">
        <f t="shared" si="6"/>
        <v>ن</v>
      </c>
      <c r="C277" s="164" t="str">
        <f t="shared" si="6"/>
        <v>ن2</v>
      </c>
      <c r="D277" s="184" t="str">
        <f t="shared" si="6"/>
        <v>ن2-2</v>
      </c>
      <c r="E277" s="183" t="s">
        <v>2483</v>
      </c>
      <c r="F277" s="183" t="s">
        <v>2483</v>
      </c>
      <c r="G277" s="384" t="s">
        <v>2482</v>
      </c>
      <c r="H277" s="384"/>
      <c r="I277" s="384"/>
      <c r="J277" s="384"/>
      <c r="K277" s="384"/>
      <c r="L277" s="384"/>
      <c r="M277" s="384"/>
      <c r="N277" s="384"/>
      <c r="O277" s="384"/>
      <c r="P277" s="384"/>
      <c r="Q277" s="384"/>
      <c r="R277" s="384"/>
      <c r="S277" s="384"/>
      <c r="T277" s="384"/>
      <c r="U277" s="384"/>
      <c r="V277" s="384"/>
      <c r="W277" s="384"/>
      <c r="X277" s="384"/>
      <c r="Y277" s="384"/>
      <c r="Z277" s="384"/>
      <c r="AA277" s="384"/>
      <c r="AB277" s="182" t="s">
        <v>2110</v>
      </c>
      <c r="AC277" s="181"/>
      <c r="AD277" s="181"/>
      <c r="AE277" s="181"/>
      <c r="AF277" s="294" t="s">
        <v>2376</v>
      </c>
      <c r="AG277" s="306"/>
      <c r="AH277" s="180"/>
      <c r="AI277" s="180"/>
      <c r="AJ277" s="179"/>
      <c r="AK277" s="179"/>
    </row>
    <row r="278" spans="1:37" ht="15" customHeight="1" outlineLevel="4">
      <c r="A278" s="178" t="s">
        <v>3500</v>
      </c>
      <c r="B278" s="165" t="str">
        <f t="shared" si="6"/>
        <v>ن</v>
      </c>
      <c r="C278" s="164" t="str">
        <f t="shared" si="6"/>
        <v>ن2</v>
      </c>
      <c r="D278" s="164" t="str">
        <f t="shared" si="6"/>
        <v>ن2-2</v>
      </c>
      <c r="E278" s="164" t="str">
        <f>E277</f>
        <v>ن2-2-4</v>
      </c>
      <c r="F278" s="171" t="s">
        <v>2481</v>
      </c>
      <c r="G278" s="404" t="s">
        <v>2480</v>
      </c>
      <c r="H278" s="404"/>
      <c r="I278" s="404"/>
      <c r="J278" s="404"/>
      <c r="K278" s="404"/>
      <c r="L278" s="404"/>
      <c r="M278" s="404"/>
      <c r="N278" s="404"/>
      <c r="O278" s="404"/>
      <c r="P278" s="404"/>
      <c r="Q278" s="404"/>
      <c r="R278" s="404"/>
      <c r="S278" s="404"/>
      <c r="T278" s="404"/>
      <c r="U278" s="404"/>
      <c r="V278" s="404"/>
      <c r="W278" s="404"/>
      <c r="X278" s="404"/>
      <c r="Y278" s="404"/>
      <c r="Z278" s="404"/>
      <c r="AA278" s="404"/>
      <c r="AB278" s="396"/>
      <c r="AC278" s="299"/>
      <c r="AD278" s="299"/>
      <c r="AE278" s="299"/>
      <c r="AF278" s="294" t="s">
        <v>2376</v>
      </c>
      <c r="AG278" s="306"/>
      <c r="AH278" s="302"/>
      <c r="AI278" s="302"/>
      <c r="AJ278" s="303"/>
      <c r="AK278" s="303"/>
    </row>
    <row r="279" spans="1:37" ht="9" hidden="1" customHeight="1" outlineLevel="3" thickBot="1">
      <c r="B279" s="165" t="str">
        <f t="shared" si="6"/>
        <v>ن</v>
      </c>
      <c r="C279" s="164" t="str">
        <f t="shared" si="6"/>
        <v>ن2</v>
      </c>
      <c r="D279" s="164" t="str">
        <f t="shared" si="6"/>
        <v>ن2-2</v>
      </c>
      <c r="E279" s="164" t="str">
        <f>E278</f>
        <v>ن2-2-4</v>
      </c>
      <c r="F279" s="171"/>
      <c r="G279" s="295"/>
      <c r="H279" s="295"/>
      <c r="I279" s="295"/>
      <c r="J279" s="295"/>
      <c r="K279" s="295"/>
      <c r="L279" s="295"/>
      <c r="M279" s="295"/>
      <c r="N279" s="295"/>
      <c r="O279" s="295"/>
      <c r="P279" s="295"/>
      <c r="Q279" s="295"/>
      <c r="R279" s="295"/>
      <c r="S279" s="295"/>
      <c r="T279" s="295"/>
      <c r="U279" s="295"/>
      <c r="V279" s="295"/>
      <c r="W279" s="295"/>
      <c r="X279" s="295"/>
      <c r="Y279" s="295"/>
      <c r="Z279" s="295"/>
      <c r="AA279" s="295"/>
      <c r="AB279" s="308"/>
      <c r="AC279" s="308"/>
      <c r="AD279" s="308"/>
      <c r="AE279" s="308"/>
      <c r="AF279" s="294" t="s">
        <v>2376</v>
      </c>
      <c r="AG279" s="306"/>
      <c r="AH279" s="302"/>
      <c r="AI279" s="302"/>
      <c r="AJ279" s="303"/>
      <c r="AK279" s="303"/>
    </row>
    <row r="280" spans="1:37" ht="12.6" hidden="1" customHeight="1" outlineLevel="3" thickTop="1" thickBot="1">
      <c r="A280" s="178" t="s">
        <v>189</v>
      </c>
      <c r="B280" s="165" t="str">
        <f t="shared" si="6"/>
        <v>ن</v>
      </c>
      <c r="C280" s="164" t="str">
        <f t="shared" si="6"/>
        <v>ن2</v>
      </c>
      <c r="D280" s="184" t="str">
        <f t="shared" si="6"/>
        <v>ن2-2</v>
      </c>
      <c r="E280" s="183" t="s">
        <v>2479</v>
      </c>
      <c r="F280" s="183" t="s">
        <v>2479</v>
      </c>
      <c r="G280" s="384" t="s">
        <v>2478</v>
      </c>
      <c r="H280" s="384"/>
      <c r="I280" s="384"/>
      <c r="J280" s="384"/>
      <c r="K280" s="384"/>
      <c r="L280" s="384"/>
      <c r="M280" s="384"/>
      <c r="N280" s="384"/>
      <c r="O280" s="384"/>
      <c r="P280" s="384"/>
      <c r="Q280" s="384"/>
      <c r="R280" s="384"/>
      <c r="S280" s="384"/>
      <c r="T280" s="384"/>
      <c r="U280" s="384"/>
      <c r="V280" s="384"/>
      <c r="W280" s="384"/>
      <c r="X280" s="384"/>
      <c r="Y280" s="384"/>
      <c r="Z280" s="384"/>
      <c r="AA280" s="384"/>
      <c r="AB280" s="182" t="s">
        <v>2110</v>
      </c>
      <c r="AC280" s="181"/>
      <c r="AD280" s="181"/>
      <c r="AE280" s="181"/>
      <c r="AF280" s="294" t="s">
        <v>2376</v>
      </c>
      <c r="AG280" s="306"/>
      <c r="AH280" s="180"/>
      <c r="AI280" s="180"/>
      <c r="AJ280" s="179"/>
      <c r="AK280" s="179"/>
    </row>
    <row r="281" spans="1:37" ht="15" customHeight="1" outlineLevel="4">
      <c r="A281" s="178" t="s">
        <v>3500</v>
      </c>
      <c r="B281" s="165" t="str">
        <f t="shared" si="6"/>
        <v>ن</v>
      </c>
      <c r="C281" s="164" t="str">
        <f t="shared" si="6"/>
        <v>ن2</v>
      </c>
      <c r="D281" s="164" t="str">
        <f t="shared" si="6"/>
        <v>ن2-2</v>
      </c>
      <c r="E281" s="164" t="str">
        <f>E280</f>
        <v>ن2-2-5</v>
      </c>
      <c r="F281" s="171" t="s">
        <v>2476</v>
      </c>
      <c r="G281" s="386" t="s">
        <v>2477</v>
      </c>
      <c r="H281" s="386"/>
      <c r="I281" s="386"/>
      <c r="J281" s="386"/>
      <c r="K281" s="386"/>
      <c r="L281" s="386"/>
      <c r="M281" s="386"/>
      <c r="N281" s="386"/>
      <c r="O281" s="386"/>
      <c r="P281" s="386"/>
      <c r="Q281" s="386"/>
      <c r="R281" s="386"/>
      <c r="S281" s="386"/>
      <c r="T281" s="386"/>
      <c r="U281" s="386"/>
      <c r="V281" s="386"/>
      <c r="W281" s="386"/>
      <c r="X281" s="386"/>
      <c r="Y281" s="386"/>
      <c r="Z281" s="386"/>
      <c r="AA281" s="386"/>
      <c r="AB281" s="308"/>
      <c r="AC281" s="308"/>
      <c r="AD281" s="308"/>
      <c r="AE281" s="308"/>
      <c r="AF281" s="294" t="s">
        <v>2376</v>
      </c>
      <c r="AG281" s="306"/>
      <c r="AH281" s="302"/>
      <c r="AI281" s="302"/>
      <c r="AJ281" s="303"/>
      <c r="AK281" s="303"/>
    </row>
    <row r="282" spans="1:37" ht="30.75" customHeight="1" outlineLevel="4">
      <c r="A282" s="178" t="s">
        <v>3500</v>
      </c>
      <c r="B282" s="165" t="str">
        <f t="shared" ref="B282:E345" si="7">B281</f>
        <v>ن</v>
      </c>
      <c r="C282" s="164" t="str">
        <f t="shared" si="7"/>
        <v>ن2</v>
      </c>
      <c r="D282" s="164" t="str">
        <f t="shared" si="7"/>
        <v>ن2-2</v>
      </c>
      <c r="E282" s="164" t="str">
        <f>E281</f>
        <v>ن2-2-5</v>
      </c>
      <c r="F282" s="171" t="s">
        <v>2476</v>
      </c>
      <c r="G282" s="386" t="s">
        <v>2475</v>
      </c>
      <c r="H282" s="386"/>
      <c r="I282" s="386"/>
      <c r="J282" s="386"/>
      <c r="K282" s="386"/>
      <c r="L282" s="386"/>
      <c r="M282" s="386"/>
      <c r="N282" s="386"/>
      <c r="O282" s="386"/>
      <c r="P282" s="386"/>
      <c r="Q282" s="386"/>
      <c r="R282" s="386"/>
      <c r="S282" s="386"/>
      <c r="T282" s="386"/>
      <c r="U282" s="386"/>
      <c r="V282" s="386"/>
      <c r="W282" s="386"/>
      <c r="X282" s="386"/>
      <c r="Y282" s="386"/>
      <c r="Z282" s="386"/>
      <c r="AA282" s="386"/>
      <c r="AB282" s="308"/>
      <c r="AC282" s="308"/>
      <c r="AD282" s="308"/>
      <c r="AE282" s="308"/>
      <c r="AF282" s="294" t="s">
        <v>2376</v>
      </c>
      <c r="AG282" s="306" t="s">
        <v>2152</v>
      </c>
      <c r="AH282" s="302"/>
      <c r="AI282" s="302"/>
      <c r="AJ282" s="303"/>
      <c r="AK282" s="303"/>
    </row>
    <row r="283" spans="1:37" ht="15" customHeight="1" outlineLevel="4">
      <c r="A283" s="178" t="s">
        <v>3500</v>
      </c>
      <c r="B283" s="165" t="str">
        <f t="shared" si="7"/>
        <v>ن</v>
      </c>
      <c r="C283" s="164" t="str">
        <f t="shared" si="7"/>
        <v>ن2</v>
      </c>
      <c r="D283" s="164" t="str">
        <f t="shared" si="7"/>
        <v>ن2-2</v>
      </c>
      <c r="E283" s="164" t="str">
        <f>E282</f>
        <v>ن2-2-5</v>
      </c>
      <c r="F283" s="171" t="s">
        <v>2474</v>
      </c>
      <c r="G283" s="386" t="s">
        <v>2473</v>
      </c>
      <c r="H283" s="386"/>
      <c r="I283" s="386"/>
      <c r="J283" s="386"/>
      <c r="K283" s="386"/>
      <c r="L283" s="386"/>
      <c r="M283" s="386"/>
      <c r="N283" s="386"/>
      <c r="O283" s="386"/>
      <c r="P283" s="386"/>
      <c r="Q283" s="386"/>
      <c r="R283" s="386"/>
      <c r="S283" s="386"/>
      <c r="T283" s="386"/>
      <c r="U283" s="386"/>
      <c r="V283" s="386"/>
      <c r="W283" s="386"/>
      <c r="X283" s="386"/>
      <c r="Y283" s="386"/>
      <c r="Z283" s="386"/>
      <c r="AA283" s="386"/>
      <c r="AB283" s="308"/>
      <c r="AC283" s="308"/>
      <c r="AD283" s="308"/>
      <c r="AE283" s="308"/>
      <c r="AF283" s="294" t="s">
        <v>2376</v>
      </c>
      <c r="AG283" s="306" t="s">
        <v>2152</v>
      </c>
      <c r="AH283" s="302"/>
      <c r="AI283" s="302"/>
      <c r="AJ283" s="303"/>
      <c r="AK283" s="303"/>
    </row>
    <row r="284" spans="1:37" ht="15" customHeight="1" outlineLevel="4">
      <c r="A284" s="178" t="s">
        <v>3500</v>
      </c>
      <c r="B284" s="165" t="str">
        <f t="shared" si="7"/>
        <v>ن</v>
      </c>
      <c r="C284" s="164" t="str">
        <f t="shared" si="7"/>
        <v>ن2</v>
      </c>
      <c r="D284" s="164" t="str">
        <f t="shared" si="7"/>
        <v>ن2-2</v>
      </c>
      <c r="E284" s="164" t="str">
        <f>E283</f>
        <v>ن2-2-5</v>
      </c>
      <c r="F284" s="171" t="s">
        <v>2472</v>
      </c>
      <c r="G284" s="386" t="s">
        <v>2471</v>
      </c>
      <c r="H284" s="386"/>
      <c r="I284" s="386"/>
      <c r="J284" s="386"/>
      <c r="K284" s="386"/>
      <c r="L284" s="386"/>
      <c r="M284" s="386"/>
      <c r="N284" s="386"/>
      <c r="O284" s="386"/>
      <c r="P284" s="386"/>
      <c r="Q284" s="386"/>
      <c r="R284" s="386"/>
      <c r="S284" s="386"/>
      <c r="T284" s="386"/>
      <c r="U284" s="386"/>
      <c r="V284" s="386"/>
      <c r="W284" s="386"/>
      <c r="X284" s="386"/>
      <c r="Y284" s="386"/>
      <c r="Z284" s="386"/>
      <c r="AA284" s="386"/>
      <c r="AB284" s="308"/>
      <c r="AC284" s="308"/>
      <c r="AD284" s="308"/>
      <c r="AE284" s="308"/>
      <c r="AF284" s="294" t="s">
        <v>2376</v>
      </c>
      <c r="AG284" s="306" t="s">
        <v>2152</v>
      </c>
      <c r="AH284" s="302"/>
      <c r="AI284" s="302"/>
      <c r="AJ284" s="303"/>
      <c r="AK284" s="303"/>
    </row>
    <row r="285" spans="1:37" ht="9" hidden="1" customHeight="1" outlineLevel="3" thickBot="1">
      <c r="B285" s="165" t="str">
        <f t="shared" si="7"/>
        <v>ن</v>
      </c>
      <c r="C285" s="164" t="str">
        <f t="shared" si="7"/>
        <v>ن2</v>
      </c>
      <c r="D285" s="164" t="str">
        <f t="shared" si="7"/>
        <v>ن2-2</v>
      </c>
      <c r="E285" s="164" t="str">
        <f>E284</f>
        <v>ن2-2-5</v>
      </c>
      <c r="F285" s="171"/>
      <c r="G285" s="295"/>
      <c r="H285" s="295"/>
      <c r="I285" s="295"/>
      <c r="J285" s="295"/>
      <c r="K285" s="295"/>
      <c r="L285" s="295"/>
      <c r="M285" s="295"/>
      <c r="N285" s="295"/>
      <c r="O285" s="295"/>
      <c r="P285" s="295"/>
      <c r="Q285" s="295"/>
      <c r="R285" s="295"/>
      <c r="S285" s="295"/>
      <c r="T285" s="295"/>
      <c r="U285" s="295"/>
      <c r="V285" s="295"/>
      <c r="W285" s="295"/>
      <c r="X285" s="295"/>
      <c r="Y285" s="295"/>
      <c r="Z285" s="295"/>
      <c r="AA285" s="295"/>
      <c r="AB285" s="308"/>
      <c r="AC285" s="308"/>
      <c r="AD285" s="308"/>
      <c r="AE285" s="308"/>
      <c r="AF285" s="294" t="s">
        <v>2376</v>
      </c>
      <c r="AG285" s="306"/>
      <c r="AH285" s="302"/>
      <c r="AI285" s="302"/>
      <c r="AJ285" s="303"/>
      <c r="AK285" s="303"/>
    </row>
    <row r="286" spans="1:37" ht="12.6" hidden="1" customHeight="1" outlineLevel="3" thickTop="1" thickBot="1">
      <c r="A286" s="178" t="s">
        <v>189</v>
      </c>
      <c r="B286" s="165" t="str">
        <f t="shared" si="7"/>
        <v>ن</v>
      </c>
      <c r="C286" s="164" t="str">
        <f t="shared" si="7"/>
        <v>ن2</v>
      </c>
      <c r="D286" s="184" t="str">
        <f t="shared" si="7"/>
        <v>ن2-2</v>
      </c>
      <c r="E286" s="183" t="s">
        <v>2470</v>
      </c>
      <c r="F286" s="183" t="s">
        <v>2470</v>
      </c>
      <c r="G286" s="384" t="s">
        <v>2469</v>
      </c>
      <c r="H286" s="384"/>
      <c r="I286" s="384"/>
      <c r="J286" s="384"/>
      <c r="K286" s="384"/>
      <c r="L286" s="384"/>
      <c r="M286" s="384"/>
      <c r="N286" s="384"/>
      <c r="O286" s="384"/>
      <c r="P286" s="384"/>
      <c r="Q286" s="384"/>
      <c r="R286" s="384"/>
      <c r="S286" s="384"/>
      <c r="T286" s="384"/>
      <c r="U286" s="384"/>
      <c r="V286" s="384"/>
      <c r="W286" s="384"/>
      <c r="X286" s="384"/>
      <c r="Y286" s="384"/>
      <c r="Z286" s="384"/>
      <c r="AA286" s="384"/>
      <c r="AB286" s="182" t="s">
        <v>2110</v>
      </c>
      <c r="AC286" s="181"/>
      <c r="AD286" s="181"/>
      <c r="AE286" s="181"/>
      <c r="AF286" s="294" t="s">
        <v>2376</v>
      </c>
      <c r="AG286" s="306"/>
      <c r="AH286" s="180"/>
      <c r="AI286" s="180"/>
      <c r="AJ286" s="179"/>
      <c r="AK286" s="179"/>
    </row>
    <row r="287" spans="1:37" ht="15" customHeight="1" outlineLevel="4">
      <c r="A287" s="178" t="s">
        <v>3500</v>
      </c>
      <c r="B287" s="165" t="str">
        <f t="shared" si="7"/>
        <v>ن</v>
      </c>
      <c r="C287" s="164" t="str">
        <f t="shared" si="7"/>
        <v>ن2</v>
      </c>
      <c r="D287" s="164" t="str">
        <f t="shared" si="7"/>
        <v>ن2-2</v>
      </c>
      <c r="E287" s="164" t="str">
        <f t="shared" si="7"/>
        <v>ن2-2-6</v>
      </c>
      <c r="F287" s="171" t="s">
        <v>2468</v>
      </c>
      <c r="G287" s="386" t="s">
        <v>2467</v>
      </c>
      <c r="H287" s="403"/>
      <c r="I287" s="403"/>
      <c r="J287" s="295"/>
      <c r="K287" s="295"/>
      <c r="L287" s="295"/>
      <c r="M287" s="295"/>
      <c r="N287" s="295"/>
      <c r="O287" s="295"/>
      <c r="P287" s="295"/>
      <c r="Q287" s="295"/>
      <c r="R287" s="295"/>
      <c r="S287" s="295"/>
      <c r="T287" s="295"/>
      <c r="U287" s="295"/>
      <c r="V287" s="295"/>
      <c r="W287" s="295"/>
      <c r="X287" s="295"/>
      <c r="Y287" s="295"/>
      <c r="Z287" s="295"/>
      <c r="AA287" s="295"/>
      <c r="AB287" s="308"/>
      <c r="AC287" s="308"/>
      <c r="AD287" s="308"/>
      <c r="AE287" s="308"/>
      <c r="AF287" s="294" t="s">
        <v>2376</v>
      </c>
      <c r="AG287" s="306" t="s">
        <v>2152</v>
      </c>
      <c r="AH287" s="302"/>
      <c r="AI287" s="302"/>
      <c r="AJ287" s="303"/>
      <c r="AK287" s="303"/>
    </row>
    <row r="288" spans="1:37" ht="15" customHeight="1" outlineLevel="4">
      <c r="A288" s="178" t="s">
        <v>3500</v>
      </c>
      <c r="B288" s="165" t="str">
        <f t="shared" si="7"/>
        <v>ن</v>
      </c>
      <c r="C288" s="164" t="str">
        <f t="shared" si="7"/>
        <v>ن2</v>
      </c>
      <c r="D288" s="164" t="str">
        <f t="shared" si="7"/>
        <v>ن2-2</v>
      </c>
      <c r="E288" s="164" t="str">
        <f t="shared" si="7"/>
        <v>ن2-2-6</v>
      </c>
      <c r="F288" s="171" t="s">
        <v>2466</v>
      </c>
      <c r="G288" s="386" t="s">
        <v>2465</v>
      </c>
      <c r="H288" s="403"/>
      <c r="I288" s="403"/>
      <c r="J288" s="295"/>
      <c r="K288" s="295"/>
      <c r="L288" s="295"/>
      <c r="M288" s="295"/>
      <c r="N288" s="295"/>
      <c r="O288" s="295"/>
      <c r="P288" s="295"/>
      <c r="Q288" s="295"/>
      <c r="R288" s="295"/>
      <c r="S288" s="295"/>
      <c r="T288" s="295"/>
      <c r="U288" s="295"/>
      <c r="V288" s="295"/>
      <c r="W288" s="295"/>
      <c r="X288" s="295"/>
      <c r="Y288" s="295"/>
      <c r="Z288" s="295"/>
      <c r="AA288" s="295"/>
      <c r="AB288" s="308"/>
      <c r="AC288" s="308"/>
      <c r="AD288" s="308"/>
      <c r="AE288" s="308"/>
      <c r="AF288" s="294" t="s">
        <v>2376</v>
      </c>
      <c r="AG288" s="306" t="s">
        <v>2163</v>
      </c>
      <c r="AH288" s="302"/>
      <c r="AI288" s="302"/>
      <c r="AJ288" s="303"/>
      <c r="AK288" s="303"/>
    </row>
    <row r="289" spans="1:37" ht="15" customHeight="1" outlineLevel="4">
      <c r="A289" s="178" t="s">
        <v>3500</v>
      </c>
      <c r="B289" s="165" t="str">
        <f t="shared" si="7"/>
        <v>ن</v>
      </c>
      <c r="C289" s="164" t="str">
        <f t="shared" si="7"/>
        <v>ن2</v>
      </c>
      <c r="D289" s="164" t="str">
        <f t="shared" si="7"/>
        <v>ن2-2</v>
      </c>
      <c r="E289" s="164" t="str">
        <f t="shared" si="7"/>
        <v>ن2-2-6</v>
      </c>
      <c r="F289" s="171" t="s">
        <v>2464</v>
      </c>
      <c r="G289" s="386" t="s">
        <v>2463</v>
      </c>
      <c r="H289" s="403"/>
      <c r="I289" s="403"/>
      <c r="J289" s="295"/>
      <c r="K289" s="295"/>
      <c r="L289" s="295"/>
      <c r="M289" s="295"/>
      <c r="N289" s="295"/>
      <c r="O289" s="295"/>
      <c r="P289" s="295"/>
      <c r="Q289" s="295"/>
      <c r="R289" s="295"/>
      <c r="S289" s="295"/>
      <c r="T289" s="295"/>
      <c r="U289" s="295"/>
      <c r="V289" s="295"/>
      <c r="W289" s="295"/>
      <c r="X289" s="295"/>
      <c r="Y289" s="295"/>
      <c r="Z289" s="295"/>
      <c r="AA289" s="295"/>
      <c r="AB289" s="308"/>
      <c r="AC289" s="308"/>
      <c r="AD289" s="308"/>
      <c r="AE289" s="308"/>
      <c r="AF289" s="294" t="s">
        <v>2376</v>
      </c>
      <c r="AG289" s="306" t="s">
        <v>2460</v>
      </c>
      <c r="AH289" s="302"/>
      <c r="AI289" s="302"/>
      <c r="AJ289" s="303"/>
      <c r="AK289" s="303"/>
    </row>
    <row r="290" spans="1:37" ht="15" customHeight="1" outlineLevel="4">
      <c r="A290" s="178" t="s">
        <v>3500</v>
      </c>
      <c r="B290" s="165" t="str">
        <f t="shared" si="7"/>
        <v>ن</v>
      </c>
      <c r="C290" s="164" t="str">
        <f t="shared" si="7"/>
        <v>ن2</v>
      </c>
      <c r="D290" s="164" t="str">
        <f t="shared" si="7"/>
        <v>ن2-2</v>
      </c>
      <c r="E290" s="164" t="str">
        <f t="shared" si="7"/>
        <v>ن2-2-6</v>
      </c>
      <c r="F290" s="171" t="s">
        <v>2462</v>
      </c>
      <c r="G290" s="386" t="s">
        <v>2461</v>
      </c>
      <c r="H290" s="403"/>
      <c r="I290" s="403"/>
      <c r="J290" s="295"/>
      <c r="K290" s="295"/>
      <c r="L290" s="295"/>
      <c r="M290" s="295"/>
      <c r="N290" s="295"/>
      <c r="O290" s="295"/>
      <c r="P290" s="295"/>
      <c r="Q290" s="295"/>
      <c r="R290" s="295"/>
      <c r="S290" s="295"/>
      <c r="T290" s="295"/>
      <c r="U290" s="295"/>
      <c r="V290" s="295"/>
      <c r="W290" s="295"/>
      <c r="X290" s="295"/>
      <c r="Y290" s="295"/>
      <c r="Z290" s="295"/>
      <c r="AA290" s="295"/>
      <c r="AB290" s="308"/>
      <c r="AC290" s="308"/>
      <c r="AD290" s="308"/>
      <c r="AE290" s="308"/>
      <c r="AF290" s="294" t="s">
        <v>2376</v>
      </c>
      <c r="AG290" s="306" t="s">
        <v>2460</v>
      </c>
      <c r="AH290" s="302"/>
      <c r="AI290" s="302"/>
      <c r="AJ290" s="303"/>
      <c r="AK290" s="303"/>
    </row>
    <row r="291" spans="1:37" ht="15" customHeight="1" outlineLevel="4">
      <c r="A291" s="178" t="s">
        <v>3500</v>
      </c>
      <c r="B291" s="165" t="str">
        <f t="shared" si="7"/>
        <v>ن</v>
      </c>
      <c r="C291" s="164" t="str">
        <f t="shared" si="7"/>
        <v>ن2</v>
      </c>
      <c r="D291" s="164" t="str">
        <f t="shared" si="7"/>
        <v>ن2-2</v>
      </c>
      <c r="E291" s="164" t="str">
        <f t="shared" si="7"/>
        <v>ن2-2-6</v>
      </c>
      <c r="F291" s="171" t="s">
        <v>2459</v>
      </c>
      <c r="G291" s="386" t="s">
        <v>2458</v>
      </c>
      <c r="H291" s="403"/>
      <c r="I291" s="403"/>
      <c r="J291" s="295"/>
      <c r="K291" s="295"/>
      <c r="L291" s="295"/>
      <c r="M291" s="295"/>
      <c r="N291" s="295"/>
      <c r="O291" s="295"/>
      <c r="P291" s="295"/>
      <c r="Q291" s="295"/>
      <c r="R291" s="295"/>
      <c r="S291" s="295"/>
      <c r="T291" s="295"/>
      <c r="U291" s="295"/>
      <c r="V291" s="295"/>
      <c r="W291" s="295"/>
      <c r="X291" s="295"/>
      <c r="Y291" s="295"/>
      <c r="Z291" s="295"/>
      <c r="AA291" s="295"/>
      <c r="AB291" s="308"/>
      <c r="AC291" s="308"/>
      <c r="AD291" s="308"/>
      <c r="AE291" s="308"/>
      <c r="AF291" s="294" t="s">
        <v>2376</v>
      </c>
      <c r="AG291" s="306" t="s">
        <v>2126</v>
      </c>
      <c r="AH291" s="302"/>
      <c r="AI291" s="302"/>
      <c r="AJ291" s="303"/>
      <c r="AK291" s="303"/>
    </row>
    <row r="292" spans="1:37" ht="15" customHeight="1" outlineLevel="4">
      <c r="A292" s="178" t="s">
        <v>3500</v>
      </c>
      <c r="B292" s="165" t="str">
        <f t="shared" si="7"/>
        <v>ن</v>
      </c>
      <c r="C292" s="164" t="str">
        <f t="shared" si="7"/>
        <v>ن2</v>
      </c>
      <c r="D292" s="164" t="str">
        <f t="shared" si="7"/>
        <v>ن2-2</v>
      </c>
      <c r="E292" s="164" t="str">
        <f t="shared" si="7"/>
        <v>ن2-2-6</v>
      </c>
      <c r="F292" s="171" t="s">
        <v>2457</v>
      </c>
      <c r="G292" s="386" t="s">
        <v>2456</v>
      </c>
      <c r="H292" s="403"/>
      <c r="I292" s="403"/>
      <c r="J292" s="295"/>
      <c r="K292" s="295"/>
      <c r="L292" s="295"/>
      <c r="M292" s="295"/>
      <c r="N292" s="295"/>
      <c r="O292" s="295"/>
      <c r="P292" s="295"/>
      <c r="Q292" s="295"/>
      <c r="R292" s="295"/>
      <c r="S292" s="295"/>
      <c r="T292" s="295"/>
      <c r="U292" s="295"/>
      <c r="V292" s="295"/>
      <c r="W292" s="295"/>
      <c r="X292" s="295"/>
      <c r="Y292" s="295"/>
      <c r="Z292" s="295"/>
      <c r="AA292" s="295"/>
      <c r="AB292" s="308"/>
      <c r="AC292" s="308"/>
      <c r="AD292" s="308"/>
      <c r="AE292" s="308"/>
      <c r="AF292" s="294" t="s">
        <v>2376</v>
      </c>
      <c r="AG292" s="306" t="s">
        <v>2126</v>
      </c>
      <c r="AH292" s="302"/>
      <c r="AI292" s="302"/>
      <c r="AJ292" s="303"/>
      <c r="AK292" s="303"/>
    </row>
    <row r="293" spans="1:37" ht="9" hidden="1" customHeight="1" outlineLevel="3" thickBot="1">
      <c r="B293" s="165" t="str">
        <f t="shared" si="7"/>
        <v>ن</v>
      </c>
      <c r="C293" s="164" t="str">
        <f t="shared" si="7"/>
        <v>ن2</v>
      </c>
      <c r="D293" s="164" t="str">
        <f t="shared" si="7"/>
        <v>ن2-2</v>
      </c>
      <c r="E293" s="164" t="str">
        <f t="shared" si="7"/>
        <v>ن2-2-6</v>
      </c>
      <c r="F293" s="171"/>
      <c r="G293" s="295"/>
      <c r="H293" s="295"/>
      <c r="I293" s="295"/>
      <c r="J293" s="295"/>
      <c r="K293" s="295"/>
      <c r="L293" s="295"/>
      <c r="M293" s="295"/>
      <c r="N293" s="295"/>
      <c r="O293" s="295"/>
      <c r="P293" s="295"/>
      <c r="Q293" s="295"/>
      <c r="R293" s="295"/>
      <c r="S293" s="295"/>
      <c r="T293" s="295"/>
      <c r="U293" s="295"/>
      <c r="V293" s="295"/>
      <c r="W293" s="295"/>
      <c r="X293" s="295"/>
      <c r="Y293" s="295"/>
      <c r="Z293" s="295"/>
      <c r="AA293" s="295"/>
      <c r="AB293" s="308"/>
      <c r="AC293" s="308"/>
      <c r="AD293" s="308"/>
      <c r="AE293" s="308"/>
      <c r="AF293" s="294" t="s">
        <v>2376</v>
      </c>
      <c r="AG293" s="306"/>
      <c r="AH293" s="302"/>
      <c r="AI293" s="302"/>
      <c r="AJ293" s="303"/>
      <c r="AK293" s="303"/>
    </row>
    <row r="294" spans="1:37" ht="12.6" hidden="1" customHeight="1" outlineLevel="3" thickTop="1" thickBot="1">
      <c r="A294" s="178" t="s">
        <v>189</v>
      </c>
      <c r="B294" s="165" t="str">
        <f t="shared" si="7"/>
        <v>ن</v>
      </c>
      <c r="C294" s="164" t="str">
        <f t="shared" si="7"/>
        <v>ن2</v>
      </c>
      <c r="D294" s="184" t="str">
        <f t="shared" si="7"/>
        <v>ن2-2</v>
      </c>
      <c r="E294" s="183" t="s">
        <v>2455</v>
      </c>
      <c r="F294" s="183" t="s">
        <v>2455</v>
      </c>
      <c r="G294" s="384" t="s">
        <v>2454</v>
      </c>
      <c r="H294" s="384"/>
      <c r="I294" s="384"/>
      <c r="J294" s="384"/>
      <c r="K294" s="384"/>
      <c r="L294" s="384"/>
      <c r="M294" s="384"/>
      <c r="N294" s="384"/>
      <c r="O294" s="384"/>
      <c r="P294" s="384"/>
      <c r="Q294" s="384"/>
      <c r="R294" s="384"/>
      <c r="S294" s="384"/>
      <c r="T294" s="384"/>
      <c r="U294" s="384"/>
      <c r="V294" s="384"/>
      <c r="W294" s="384"/>
      <c r="X294" s="384"/>
      <c r="Y294" s="384"/>
      <c r="Z294" s="384"/>
      <c r="AA294" s="384"/>
      <c r="AB294" s="182" t="s">
        <v>2110</v>
      </c>
      <c r="AC294" s="181"/>
      <c r="AD294" s="181"/>
      <c r="AE294" s="181"/>
      <c r="AF294" s="294" t="s">
        <v>2376</v>
      </c>
      <c r="AG294" s="306" t="s">
        <v>2163</v>
      </c>
      <c r="AH294" s="180"/>
      <c r="AI294" s="180"/>
      <c r="AJ294" s="179"/>
      <c r="AK294" s="179"/>
    </row>
    <row r="295" spans="1:37" ht="15" customHeight="1" outlineLevel="4">
      <c r="A295" s="178" t="s">
        <v>3500</v>
      </c>
      <c r="B295" s="165" t="str">
        <f t="shared" si="7"/>
        <v>ن</v>
      </c>
      <c r="C295" s="164" t="str">
        <f t="shared" si="7"/>
        <v>ن2</v>
      </c>
      <c r="D295" s="164" t="str">
        <f t="shared" si="7"/>
        <v>ن2-2</v>
      </c>
      <c r="E295" s="164" t="str">
        <f t="shared" si="7"/>
        <v>ن2-2-7</v>
      </c>
      <c r="F295" s="171" t="s">
        <v>2453</v>
      </c>
      <c r="G295" s="386" t="s">
        <v>2452</v>
      </c>
      <c r="H295" s="386"/>
      <c r="I295" s="386"/>
      <c r="J295" s="386"/>
      <c r="K295" s="386"/>
      <c r="L295" s="386"/>
      <c r="M295" s="386"/>
      <c r="N295" s="386"/>
      <c r="O295" s="386"/>
      <c r="P295" s="386"/>
      <c r="Q295" s="386"/>
      <c r="R295" s="386"/>
      <c r="S295" s="386"/>
      <c r="T295" s="386"/>
      <c r="U295" s="386"/>
      <c r="V295" s="386"/>
      <c r="W295" s="386"/>
      <c r="X295" s="386"/>
      <c r="Y295" s="386"/>
      <c r="Z295" s="386"/>
      <c r="AA295" s="386"/>
      <c r="AB295" s="308"/>
      <c r="AC295" s="308"/>
      <c r="AD295" s="308"/>
      <c r="AE295" s="308"/>
      <c r="AF295" s="294" t="s">
        <v>2376</v>
      </c>
      <c r="AG295" s="306" t="s">
        <v>2121</v>
      </c>
      <c r="AH295" s="302"/>
      <c r="AI295" s="302"/>
      <c r="AJ295" s="303"/>
      <c r="AK295" s="303"/>
    </row>
    <row r="296" spans="1:37" ht="15" customHeight="1" outlineLevel="4">
      <c r="A296" s="178" t="s">
        <v>3500</v>
      </c>
      <c r="B296" s="165" t="str">
        <f t="shared" si="7"/>
        <v>ن</v>
      </c>
      <c r="C296" s="164" t="str">
        <f t="shared" si="7"/>
        <v>ن2</v>
      </c>
      <c r="D296" s="164" t="str">
        <f t="shared" si="7"/>
        <v>ن2-2</v>
      </c>
      <c r="E296" s="164" t="str">
        <f t="shared" si="7"/>
        <v>ن2-2-7</v>
      </c>
      <c r="F296" s="171" t="s">
        <v>2451</v>
      </c>
      <c r="G296" s="386" t="s">
        <v>2450</v>
      </c>
      <c r="H296" s="386"/>
      <c r="I296" s="386"/>
      <c r="J296" s="386"/>
      <c r="K296" s="386"/>
      <c r="L296" s="386"/>
      <c r="M296" s="386"/>
      <c r="N296" s="386"/>
      <c r="O296" s="386"/>
      <c r="P296" s="386"/>
      <c r="Q296" s="386"/>
      <c r="R296" s="386"/>
      <c r="S296" s="386"/>
      <c r="T296" s="386"/>
      <c r="U296" s="386"/>
      <c r="V296" s="386"/>
      <c r="W296" s="386"/>
      <c r="X296" s="386"/>
      <c r="Y296" s="386"/>
      <c r="Z296" s="386"/>
      <c r="AA296" s="386"/>
      <c r="AB296" s="308"/>
      <c r="AC296" s="308"/>
      <c r="AD296" s="308"/>
      <c r="AE296" s="308"/>
      <c r="AF296" s="294" t="s">
        <v>2376</v>
      </c>
      <c r="AG296" s="306" t="s">
        <v>2121</v>
      </c>
      <c r="AH296" s="302"/>
      <c r="AI296" s="302"/>
      <c r="AJ296" s="303"/>
      <c r="AK296" s="303"/>
    </row>
    <row r="297" spans="1:37" ht="15" customHeight="1" outlineLevel="4">
      <c r="A297" s="178" t="s">
        <v>3500</v>
      </c>
      <c r="B297" s="165" t="str">
        <f t="shared" si="7"/>
        <v>ن</v>
      </c>
      <c r="C297" s="164" t="str">
        <f t="shared" si="7"/>
        <v>ن2</v>
      </c>
      <c r="D297" s="164" t="str">
        <f t="shared" si="7"/>
        <v>ن2-2</v>
      </c>
      <c r="E297" s="164" t="str">
        <f t="shared" si="7"/>
        <v>ن2-2-7</v>
      </c>
      <c r="F297" s="171" t="s">
        <v>2449</v>
      </c>
      <c r="G297" s="386" t="s">
        <v>2448</v>
      </c>
      <c r="H297" s="386"/>
      <c r="I297" s="386"/>
      <c r="J297" s="386"/>
      <c r="K297" s="386"/>
      <c r="L297" s="386"/>
      <c r="M297" s="386"/>
      <c r="N297" s="386"/>
      <c r="O297" s="386"/>
      <c r="P297" s="386"/>
      <c r="Q297" s="386"/>
      <c r="R297" s="386"/>
      <c r="S297" s="386"/>
      <c r="T297" s="386"/>
      <c r="U297" s="386"/>
      <c r="V297" s="386"/>
      <c r="W297" s="386"/>
      <c r="X297" s="386"/>
      <c r="Y297" s="386"/>
      <c r="Z297" s="386"/>
      <c r="AA297" s="386"/>
      <c r="AB297" s="308"/>
      <c r="AC297" s="308"/>
      <c r="AD297" s="308"/>
      <c r="AE297" s="308"/>
      <c r="AF297" s="294" t="s">
        <v>2376</v>
      </c>
      <c r="AG297" s="306"/>
      <c r="AH297" s="302"/>
      <c r="AI297" s="302"/>
      <c r="AJ297" s="303"/>
      <c r="AK297" s="303"/>
    </row>
    <row r="298" spans="1:37" ht="15" customHeight="1" outlineLevel="4">
      <c r="A298" s="178" t="s">
        <v>3500</v>
      </c>
      <c r="B298" s="165" t="str">
        <f t="shared" si="7"/>
        <v>ن</v>
      </c>
      <c r="C298" s="164" t="str">
        <f t="shared" si="7"/>
        <v>ن2</v>
      </c>
      <c r="D298" s="164" t="str">
        <f t="shared" si="7"/>
        <v>ن2-2</v>
      </c>
      <c r="E298" s="164" t="str">
        <f t="shared" si="7"/>
        <v>ن2-2-7</v>
      </c>
      <c r="F298" s="171" t="s">
        <v>2447</v>
      </c>
      <c r="G298" s="386" t="s">
        <v>2446</v>
      </c>
      <c r="H298" s="386"/>
      <c r="I298" s="386"/>
      <c r="J298" s="386"/>
      <c r="K298" s="386"/>
      <c r="L298" s="386"/>
      <c r="M298" s="386"/>
      <c r="N298" s="386"/>
      <c r="O298" s="386"/>
      <c r="P298" s="386"/>
      <c r="Q298" s="386"/>
      <c r="R298" s="386"/>
      <c r="S298" s="386"/>
      <c r="T298" s="386"/>
      <c r="U298" s="386"/>
      <c r="V298" s="386"/>
      <c r="W298" s="386"/>
      <c r="X298" s="386"/>
      <c r="Y298" s="386"/>
      <c r="Z298" s="386"/>
      <c r="AA298" s="386"/>
      <c r="AB298" s="308"/>
      <c r="AC298" s="308"/>
      <c r="AD298" s="308"/>
      <c r="AE298" s="308"/>
      <c r="AF298" s="294" t="s">
        <v>2376</v>
      </c>
      <c r="AG298" s="306" t="s">
        <v>2152</v>
      </c>
      <c r="AH298" s="302"/>
      <c r="AI298" s="302"/>
      <c r="AJ298" s="303"/>
      <c r="AK298" s="303"/>
    </row>
    <row r="299" spans="1:37" ht="15" customHeight="1" outlineLevel="4">
      <c r="A299" s="178" t="s">
        <v>3500</v>
      </c>
      <c r="B299" s="165" t="str">
        <f t="shared" si="7"/>
        <v>ن</v>
      </c>
      <c r="C299" s="164" t="str">
        <f t="shared" si="7"/>
        <v>ن2</v>
      </c>
      <c r="D299" s="164" t="str">
        <f t="shared" si="7"/>
        <v>ن2-2</v>
      </c>
      <c r="E299" s="164" t="str">
        <f t="shared" si="7"/>
        <v>ن2-2-7</v>
      </c>
      <c r="F299" s="171" t="s">
        <v>2445</v>
      </c>
      <c r="G299" s="386" t="s">
        <v>2444</v>
      </c>
      <c r="H299" s="386"/>
      <c r="I299" s="386"/>
      <c r="J299" s="386"/>
      <c r="K299" s="386"/>
      <c r="L299" s="386"/>
      <c r="M299" s="386"/>
      <c r="N299" s="386"/>
      <c r="O299" s="386"/>
      <c r="P299" s="386"/>
      <c r="Q299" s="386"/>
      <c r="R299" s="386"/>
      <c r="S299" s="386"/>
      <c r="T299" s="386"/>
      <c r="U299" s="386"/>
      <c r="V299" s="386"/>
      <c r="W299" s="386"/>
      <c r="X299" s="386"/>
      <c r="Y299" s="386"/>
      <c r="Z299" s="386"/>
      <c r="AA299" s="386"/>
      <c r="AB299" s="308"/>
      <c r="AC299" s="308"/>
      <c r="AD299" s="308"/>
      <c r="AE299" s="308"/>
      <c r="AF299" s="294" t="s">
        <v>2376</v>
      </c>
      <c r="AG299" s="306" t="s">
        <v>2152</v>
      </c>
      <c r="AH299" s="302"/>
      <c r="AI299" s="302"/>
      <c r="AJ299" s="303"/>
      <c r="AK299" s="303"/>
    </row>
    <row r="300" spans="1:37" ht="15" customHeight="1" outlineLevel="4">
      <c r="A300" s="178" t="s">
        <v>3500</v>
      </c>
      <c r="B300" s="165" t="str">
        <f t="shared" si="7"/>
        <v>ن</v>
      </c>
      <c r="C300" s="164" t="str">
        <f t="shared" si="7"/>
        <v>ن2</v>
      </c>
      <c r="D300" s="164" t="str">
        <f t="shared" si="7"/>
        <v>ن2-2</v>
      </c>
      <c r="E300" s="164" t="str">
        <f t="shared" si="7"/>
        <v>ن2-2-7</v>
      </c>
      <c r="F300" s="171" t="s">
        <v>2443</v>
      </c>
      <c r="G300" s="386" t="s">
        <v>2442</v>
      </c>
      <c r="H300" s="386"/>
      <c r="I300" s="386"/>
      <c r="J300" s="386"/>
      <c r="K300" s="386"/>
      <c r="L300" s="386"/>
      <c r="M300" s="386"/>
      <c r="N300" s="386"/>
      <c r="O300" s="386"/>
      <c r="P300" s="386"/>
      <c r="Q300" s="386"/>
      <c r="R300" s="386"/>
      <c r="S300" s="386"/>
      <c r="T300" s="386"/>
      <c r="U300" s="386"/>
      <c r="V300" s="386"/>
      <c r="W300" s="386"/>
      <c r="X300" s="386"/>
      <c r="Y300" s="386"/>
      <c r="Z300" s="386"/>
      <c r="AA300" s="386"/>
      <c r="AB300" s="308"/>
      <c r="AC300" s="308"/>
      <c r="AD300" s="308"/>
      <c r="AE300" s="308"/>
      <c r="AF300" s="294" t="s">
        <v>2376</v>
      </c>
      <c r="AG300" s="306" t="s">
        <v>2152</v>
      </c>
      <c r="AH300" s="302"/>
      <c r="AI300" s="302"/>
      <c r="AJ300" s="303"/>
      <c r="AK300" s="303"/>
    </row>
    <row r="301" spans="1:37" ht="15" customHeight="1" outlineLevel="4">
      <c r="A301" s="178" t="s">
        <v>3500</v>
      </c>
      <c r="B301" s="165" t="str">
        <f t="shared" si="7"/>
        <v>ن</v>
      </c>
      <c r="C301" s="164" t="str">
        <f t="shared" si="7"/>
        <v>ن2</v>
      </c>
      <c r="D301" s="164" t="str">
        <f t="shared" si="7"/>
        <v>ن2-2</v>
      </c>
      <c r="E301" s="164" t="str">
        <f t="shared" si="7"/>
        <v>ن2-2-7</v>
      </c>
      <c r="F301" s="171" t="s">
        <v>2441</v>
      </c>
      <c r="G301" s="386" t="s">
        <v>2440</v>
      </c>
      <c r="H301" s="386"/>
      <c r="I301" s="386"/>
      <c r="J301" s="386"/>
      <c r="K301" s="386"/>
      <c r="L301" s="386"/>
      <c r="M301" s="386"/>
      <c r="N301" s="386"/>
      <c r="O301" s="386"/>
      <c r="P301" s="386"/>
      <c r="Q301" s="386"/>
      <c r="R301" s="386"/>
      <c r="S301" s="386"/>
      <c r="T301" s="386"/>
      <c r="U301" s="386"/>
      <c r="V301" s="386"/>
      <c r="W301" s="386"/>
      <c r="X301" s="386"/>
      <c r="Y301" s="386"/>
      <c r="Z301" s="386"/>
      <c r="AA301" s="386"/>
      <c r="AB301" s="308"/>
      <c r="AC301" s="308"/>
      <c r="AD301" s="308"/>
      <c r="AE301" s="308"/>
      <c r="AF301" s="294" t="s">
        <v>2376</v>
      </c>
      <c r="AG301" s="306" t="s">
        <v>2152</v>
      </c>
      <c r="AH301" s="302"/>
      <c r="AI301" s="302"/>
      <c r="AJ301" s="303"/>
      <c r="AK301" s="303"/>
    </row>
    <row r="302" spans="1:37" ht="15" customHeight="1" outlineLevel="4">
      <c r="A302" s="178" t="s">
        <v>3500</v>
      </c>
      <c r="B302" s="165" t="str">
        <f t="shared" si="7"/>
        <v>ن</v>
      </c>
      <c r="C302" s="164" t="str">
        <f t="shared" si="7"/>
        <v>ن2</v>
      </c>
      <c r="D302" s="164" t="str">
        <f t="shared" si="7"/>
        <v>ن2-2</v>
      </c>
      <c r="E302" s="164" t="str">
        <f t="shared" si="7"/>
        <v>ن2-2-7</v>
      </c>
      <c r="F302" s="171" t="s">
        <v>2439</v>
      </c>
      <c r="G302" s="386" t="s">
        <v>2438</v>
      </c>
      <c r="H302" s="386"/>
      <c r="I302" s="386"/>
      <c r="J302" s="386"/>
      <c r="K302" s="386"/>
      <c r="L302" s="386"/>
      <c r="M302" s="386"/>
      <c r="N302" s="386"/>
      <c r="O302" s="386"/>
      <c r="P302" s="386"/>
      <c r="Q302" s="386"/>
      <c r="R302" s="386"/>
      <c r="S302" s="386"/>
      <c r="T302" s="386"/>
      <c r="U302" s="386"/>
      <c r="V302" s="386"/>
      <c r="W302" s="386"/>
      <c r="X302" s="386"/>
      <c r="Y302" s="386"/>
      <c r="Z302" s="386"/>
      <c r="AA302" s="386"/>
      <c r="AB302" s="308"/>
      <c r="AC302" s="308"/>
      <c r="AD302" s="308"/>
      <c r="AE302" s="308"/>
      <c r="AF302" s="294" t="s">
        <v>2376</v>
      </c>
      <c r="AG302" s="306"/>
      <c r="AH302" s="302"/>
      <c r="AI302" s="302"/>
      <c r="AJ302" s="303"/>
      <c r="AK302" s="303"/>
    </row>
    <row r="303" spans="1:37" ht="15" customHeight="1" outlineLevel="4">
      <c r="A303" s="178" t="s">
        <v>3500</v>
      </c>
      <c r="B303" s="165" t="str">
        <f t="shared" si="7"/>
        <v>ن</v>
      </c>
      <c r="C303" s="164" t="str">
        <f t="shared" si="7"/>
        <v>ن2</v>
      </c>
      <c r="D303" s="164" t="str">
        <f t="shared" si="7"/>
        <v>ن2-2</v>
      </c>
      <c r="E303" s="164" t="str">
        <f t="shared" si="7"/>
        <v>ن2-2-7</v>
      </c>
      <c r="F303" s="171" t="s">
        <v>2437</v>
      </c>
      <c r="G303" s="386" t="s">
        <v>2436</v>
      </c>
      <c r="H303" s="386"/>
      <c r="I303" s="386"/>
      <c r="J303" s="386"/>
      <c r="K303" s="386"/>
      <c r="L303" s="386"/>
      <c r="M303" s="386"/>
      <c r="N303" s="386"/>
      <c r="O303" s="386"/>
      <c r="P303" s="386"/>
      <c r="Q303" s="386"/>
      <c r="R303" s="386"/>
      <c r="S303" s="386"/>
      <c r="T303" s="386"/>
      <c r="U303" s="386"/>
      <c r="V303" s="386"/>
      <c r="W303" s="386"/>
      <c r="X303" s="386"/>
      <c r="Y303" s="386"/>
      <c r="Z303" s="386"/>
      <c r="AA303" s="386"/>
      <c r="AB303" s="308"/>
      <c r="AC303" s="308"/>
      <c r="AD303" s="308"/>
      <c r="AE303" s="308"/>
      <c r="AF303" s="294" t="s">
        <v>2376</v>
      </c>
      <c r="AG303" s="306" t="s">
        <v>2121</v>
      </c>
      <c r="AH303" s="302"/>
      <c r="AI303" s="302"/>
      <c r="AJ303" s="303"/>
      <c r="AK303" s="303"/>
    </row>
    <row r="304" spans="1:37" ht="9" hidden="1" customHeight="1" outlineLevel="3" thickBot="1">
      <c r="B304" s="165" t="str">
        <f t="shared" si="7"/>
        <v>ن</v>
      </c>
      <c r="C304" s="164" t="str">
        <f t="shared" si="7"/>
        <v>ن2</v>
      </c>
      <c r="D304" s="164" t="str">
        <f t="shared" si="7"/>
        <v>ن2-2</v>
      </c>
      <c r="E304" s="164" t="str">
        <f t="shared" si="7"/>
        <v>ن2-2-7</v>
      </c>
      <c r="F304" s="171"/>
      <c r="G304" s="295"/>
      <c r="H304" s="295"/>
      <c r="I304" s="295"/>
      <c r="J304" s="295"/>
      <c r="K304" s="295"/>
      <c r="L304" s="295"/>
      <c r="M304" s="295"/>
      <c r="N304" s="295"/>
      <c r="O304" s="295"/>
      <c r="P304" s="295"/>
      <c r="Q304" s="295"/>
      <c r="R304" s="295"/>
      <c r="S304" s="295"/>
      <c r="T304" s="295"/>
      <c r="U304" s="295"/>
      <c r="V304" s="295"/>
      <c r="W304" s="295"/>
      <c r="X304" s="295"/>
      <c r="Y304" s="295"/>
      <c r="Z304" s="295"/>
      <c r="AA304" s="295"/>
      <c r="AB304" s="308"/>
      <c r="AC304" s="308"/>
      <c r="AD304" s="308"/>
      <c r="AE304" s="308"/>
      <c r="AF304" s="294" t="s">
        <v>2376</v>
      </c>
      <c r="AG304" s="306"/>
      <c r="AH304" s="302"/>
      <c r="AI304" s="302"/>
      <c r="AJ304" s="303"/>
      <c r="AK304" s="303"/>
    </row>
    <row r="305" spans="1:37" ht="12.6" hidden="1" customHeight="1" outlineLevel="3" thickTop="1" thickBot="1">
      <c r="A305" s="178" t="s">
        <v>189</v>
      </c>
      <c r="B305" s="165" t="str">
        <f t="shared" si="7"/>
        <v>ن</v>
      </c>
      <c r="C305" s="164" t="str">
        <f t="shared" si="7"/>
        <v>ن2</v>
      </c>
      <c r="D305" s="184" t="str">
        <f t="shared" si="7"/>
        <v>ن2-2</v>
      </c>
      <c r="E305" s="183" t="s">
        <v>2435</v>
      </c>
      <c r="F305" s="183" t="s">
        <v>2435</v>
      </c>
      <c r="G305" s="384" t="s">
        <v>478</v>
      </c>
      <c r="H305" s="384"/>
      <c r="I305" s="384"/>
      <c r="J305" s="384"/>
      <c r="K305" s="384"/>
      <c r="L305" s="384"/>
      <c r="M305" s="384"/>
      <c r="N305" s="384"/>
      <c r="O305" s="384"/>
      <c r="P305" s="384"/>
      <c r="Q305" s="384"/>
      <c r="R305" s="384"/>
      <c r="S305" s="384"/>
      <c r="T305" s="384"/>
      <c r="U305" s="384"/>
      <c r="V305" s="384"/>
      <c r="W305" s="384"/>
      <c r="X305" s="384"/>
      <c r="Y305" s="384"/>
      <c r="Z305" s="384"/>
      <c r="AA305" s="384"/>
      <c r="AB305" s="182" t="s">
        <v>2110</v>
      </c>
      <c r="AC305" s="181"/>
      <c r="AD305" s="181"/>
      <c r="AE305" s="181"/>
      <c r="AF305" s="294" t="s">
        <v>2376</v>
      </c>
      <c r="AG305" s="306" t="s">
        <v>2336</v>
      </c>
      <c r="AH305" s="180"/>
      <c r="AI305" s="180"/>
      <c r="AJ305" s="179"/>
      <c r="AK305" s="179"/>
    </row>
    <row r="306" spans="1:37" ht="34.5" customHeight="1" outlineLevel="4">
      <c r="A306" s="178" t="s">
        <v>3500</v>
      </c>
      <c r="B306" s="165" t="str">
        <f t="shared" si="7"/>
        <v>ن</v>
      </c>
      <c r="C306" s="164" t="str">
        <f t="shared" si="7"/>
        <v>ن2</v>
      </c>
      <c r="D306" s="164" t="str">
        <f t="shared" si="7"/>
        <v>ن2-2</v>
      </c>
      <c r="E306" s="164" t="str">
        <f t="shared" si="7"/>
        <v>ن2-2-8</v>
      </c>
      <c r="F306" s="171" t="s">
        <v>2434</v>
      </c>
      <c r="G306" s="386" t="s">
        <v>2433</v>
      </c>
      <c r="H306" s="386"/>
      <c r="I306" s="386"/>
      <c r="J306" s="386"/>
      <c r="K306" s="386"/>
      <c r="L306" s="386"/>
      <c r="M306" s="386"/>
      <c r="N306" s="386"/>
      <c r="O306" s="386"/>
      <c r="P306" s="285"/>
      <c r="Q306" s="244" t="s">
        <v>2432</v>
      </c>
      <c r="R306" s="309"/>
      <c r="S306" s="244" t="s">
        <v>2431</v>
      </c>
      <c r="T306" s="309"/>
      <c r="U306" s="244" t="s">
        <v>2430</v>
      </c>
      <c r="V306" s="244"/>
      <c r="W306" s="244"/>
      <c r="X306" s="244"/>
      <c r="Y306" s="244"/>
      <c r="Z306" s="243" t="s">
        <v>2429</v>
      </c>
      <c r="AA306" s="243" t="s">
        <v>2428</v>
      </c>
      <c r="AF306" s="294" t="s">
        <v>2376</v>
      </c>
      <c r="AG306" s="306" t="s">
        <v>2336</v>
      </c>
    </row>
    <row r="307" spans="1:37" ht="15" customHeight="1" outlineLevel="4">
      <c r="A307" s="178" t="s">
        <v>3500</v>
      </c>
      <c r="B307" s="165" t="str">
        <f t="shared" si="7"/>
        <v>ن</v>
      </c>
      <c r="C307" s="164" t="str">
        <f t="shared" si="7"/>
        <v>ن2</v>
      </c>
      <c r="D307" s="164" t="str">
        <f t="shared" si="7"/>
        <v>ن2-2</v>
      </c>
      <c r="E307" s="164" t="str">
        <f t="shared" si="7"/>
        <v>ن2-2-8</v>
      </c>
      <c r="F307" s="171" t="s">
        <v>2427</v>
      </c>
      <c r="G307" s="405" t="s">
        <v>2426</v>
      </c>
      <c r="H307" s="405"/>
      <c r="I307" s="405"/>
      <c r="J307" s="405"/>
      <c r="K307" s="405"/>
      <c r="L307" s="405"/>
      <c r="M307" s="405"/>
      <c r="N307" s="405"/>
      <c r="O307" s="405"/>
      <c r="P307" s="405"/>
      <c r="Q307" s="405"/>
      <c r="R307" s="405"/>
      <c r="S307" s="405"/>
      <c r="T307" s="405"/>
      <c r="U307" s="405"/>
      <c r="V307" s="405"/>
      <c r="W307" s="405"/>
      <c r="X307" s="405"/>
      <c r="Y307" s="405"/>
      <c r="Z307" s="405"/>
      <c r="AA307" s="405"/>
      <c r="AB307" s="308"/>
      <c r="AC307" s="308"/>
      <c r="AD307" s="308"/>
      <c r="AE307" s="308"/>
      <c r="AF307" s="294" t="s">
        <v>2376</v>
      </c>
      <c r="AG307" s="306"/>
      <c r="AH307" s="302"/>
      <c r="AI307" s="302"/>
      <c r="AJ307" s="303"/>
      <c r="AK307" s="303"/>
    </row>
    <row r="308" spans="1:37" ht="15" customHeight="1" outlineLevel="4">
      <c r="A308" s="178" t="s">
        <v>3500</v>
      </c>
      <c r="B308" s="165" t="str">
        <f t="shared" si="7"/>
        <v>ن</v>
      </c>
      <c r="C308" s="164" t="str">
        <f t="shared" si="7"/>
        <v>ن2</v>
      </c>
      <c r="D308" s="164" t="str">
        <f t="shared" si="7"/>
        <v>ن2-2</v>
      </c>
      <c r="E308" s="164" t="str">
        <f t="shared" si="7"/>
        <v>ن2-2-8</v>
      </c>
      <c r="F308" s="171" t="s">
        <v>2425</v>
      </c>
      <c r="G308" s="386" t="s">
        <v>2424</v>
      </c>
      <c r="H308" s="386"/>
      <c r="I308" s="386"/>
      <c r="J308" s="386"/>
      <c r="K308" s="386"/>
      <c r="L308" s="386"/>
      <c r="M308" s="386"/>
      <c r="N308" s="386"/>
      <c r="O308" s="386"/>
      <c r="P308" s="386"/>
      <c r="Q308" s="386" t="e">
        <f>'[1]الاصول الثابتة2'!#REF!</f>
        <v>#REF!</v>
      </c>
      <c r="R308" s="386"/>
      <c r="S308" s="386" t="e">
        <f>AVERAGE('[1]الاصول الثابتة2'!#REF!,'[1]القوائم المالية'!#REF!,'[1]الاصول الثابتة2'!#REF!,'[1]الاصول الثابتة2'!#REF!)</f>
        <v>#REF!</v>
      </c>
      <c r="T308" s="386"/>
      <c r="U308" s="386"/>
      <c r="V308" s="386"/>
      <c r="W308" s="386"/>
      <c r="X308" s="386"/>
      <c r="Y308" s="386"/>
      <c r="Z308" s="386" t="e">
        <f>MIN(Q308,S308)</f>
        <v>#REF!</v>
      </c>
      <c r="AA308" s="386" t="e">
        <f>MAX(Q308,S308)</f>
        <v>#REF!</v>
      </c>
      <c r="AB308" s="308"/>
      <c r="AC308" s="308"/>
      <c r="AD308" s="308"/>
      <c r="AE308" s="308"/>
      <c r="AF308" s="294" t="s">
        <v>2376</v>
      </c>
      <c r="AG308" s="306"/>
      <c r="AH308" s="302"/>
      <c r="AI308" s="302"/>
      <c r="AJ308" s="303"/>
      <c r="AK308" s="303"/>
    </row>
    <row r="309" spans="1:37" ht="15" customHeight="1" outlineLevel="4">
      <c r="A309" s="178" t="s">
        <v>3500</v>
      </c>
      <c r="B309" s="165" t="str">
        <f t="shared" si="7"/>
        <v>ن</v>
      </c>
      <c r="C309" s="164" t="str">
        <f t="shared" si="7"/>
        <v>ن2</v>
      </c>
      <c r="D309" s="164" t="str">
        <f t="shared" si="7"/>
        <v>ن2-2</v>
      </c>
      <c r="E309" s="164" t="str">
        <f t="shared" si="7"/>
        <v>ن2-2-8</v>
      </c>
      <c r="F309" s="171" t="s">
        <v>2423</v>
      </c>
      <c r="G309" s="386" t="s">
        <v>2393</v>
      </c>
      <c r="H309" s="386"/>
      <c r="I309" s="386"/>
      <c r="J309" s="386"/>
      <c r="K309" s="386"/>
      <c r="L309" s="386"/>
      <c r="M309" s="386"/>
      <c r="N309" s="386"/>
      <c r="O309" s="386"/>
      <c r="P309" s="386"/>
      <c r="Q309" s="386"/>
      <c r="R309" s="386"/>
      <c r="S309" s="386"/>
      <c r="T309" s="386"/>
      <c r="U309" s="386"/>
      <c r="V309" s="386"/>
      <c r="W309" s="386"/>
      <c r="X309" s="386"/>
      <c r="Y309" s="386"/>
      <c r="Z309" s="386"/>
      <c r="AA309" s="386"/>
      <c r="AB309" s="308"/>
      <c r="AC309" s="308"/>
      <c r="AD309" s="308"/>
      <c r="AE309" s="308"/>
      <c r="AF309" s="294" t="s">
        <v>2376</v>
      </c>
      <c r="AG309" s="306"/>
      <c r="AH309" s="302"/>
      <c r="AI309" s="302"/>
      <c r="AJ309" s="303"/>
      <c r="AK309" s="303"/>
    </row>
    <row r="310" spans="1:37" ht="15" customHeight="1" outlineLevel="4">
      <c r="A310" s="178" t="s">
        <v>3500</v>
      </c>
      <c r="B310" s="165" t="str">
        <f t="shared" si="7"/>
        <v>ن</v>
      </c>
      <c r="C310" s="164" t="str">
        <f t="shared" si="7"/>
        <v>ن2</v>
      </c>
      <c r="D310" s="164" t="str">
        <f t="shared" si="7"/>
        <v>ن2-2</v>
      </c>
      <c r="E310" s="164" t="str">
        <f t="shared" si="7"/>
        <v>ن2-2-8</v>
      </c>
      <c r="F310" s="171" t="s">
        <v>2422</v>
      </c>
      <c r="G310" s="386" t="s">
        <v>2391</v>
      </c>
      <c r="H310" s="386"/>
      <c r="I310" s="386"/>
      <c r="J310" s="386"/>
      <c r="K310" s="386"/>
      <c r="L310" s="386"/>
      <c r="M310" s="386"/>
      <c r="N310" s="386"/>
      <c r="O310" s="386"/>
      <c r="P310" s="386"/>
      <c r="Q310" s="386"/>
      <c r="R310" s="386"/>
      <c r="S310" s="386"/>
      <c r="T310" s="386"/>
      <c r="U310" s="386"/>
      <c r="V310" s="386"/>
      <c r="W310" s="386"/>
      <c r="X310" s="386"/>
      <c r="Y310" s="386"/>
      <c r="Z310" s="386"/>
      <c r="AA310" s="386"/>
      <c r="AB310" s="308"/>
      <c r="AC310" s="308"/>
      <c r="AD310" s="308"/>
      <c r="AE310" s="308"/>
      <c r="AF310" s="294" t="s">
        <v>2376</v>
      </c>
      <c r="AG310" s="306"/>
      <c r="AH310" s="302"/>
      <c r="AI310" s="302"/>
      <c r="AJ310" s="303"/>
      <c r="AK310" s="303"/>
    </row>
    <row r="311" spans="1:37" ht="15" customHeight="1" outlineLevel="4">
      <c r="A311" s="178" t="s">
        <v>3500</v>
      </c>
      <c r="B311" s="165" t="str">
        <f t="shared" si="7"/>
        <v>ن</v>
      </c>
      <c r="C311" s="164" t="str">
        <f t="shared" si="7"/>
        <v>ن2</v>
      </c>
      <c r="D311" s="164" t="str">
        <f t="shared" si="7"/>
        <v>ن2-2</v>
      </c>
      <c r="E311" s="164" t="str">
        <f t="shared" si="7"/>
        <v>ن2-2-8</v>
      </c>
      <c r="F311" s="171" t="s">
        <v>2421</v>
      </c>
      <c r="G311" s="386" t="s">
        <v>2389</v>
      </c>
      <c r="H311" s="386"/>
      <c r="I311" s="386"/>
      <c r="J311" s="386"/>
      <c r="K311" s="386"/>
      <c r="L311" s="386"/>
      <c r="M311" s="386"/>
      <c r="N311" s="386"/>
      <c r="O311" s="386"/>
      <c r="P311" s="386"/>
      <c r="Q311" s="386"/>
      <c r="R311" s="386"/>
      <c r="S311" s="386"/>
      <c r="T311" s="386"/>
      <c r="U311" s="386"/>
      <c r="V311" s="386"/>
      <c r="W311" s="386"/>
      <c r="X311" s="386"/>
      <c r="Y311" s="386"/>
      <c r="Z311" s="386"/>
      <c r="AA311" s="386"/>
      <c r="AB311" s="308"/>
      <c r="AC311" s="308"/>
      <c r="AD311" s="308"/>
      <c r="AE311" s="308"/>
      <c r="AF311" s="294" t="s">
        <v>2376</v>
      </c>
      <c r="AG311" s="306"/>
      <c r="AH311" s="302"/>
      <c r="AI311" s="302"/>
      <c r="AJ311" s="303"/>
      <c r="AK311" s="303"/>
    </row>
    <row r="312" spans="1:37" ht="15" customHeight="1" outlineLevel="4">
      <c r="A312" s="178" t="s">
        <v>3500</v>
      </c>
      <c r="B312" s="165" t="str">
        <f t="shared" si="7"/>
        <v>ن</v>
      </c>
      <c r="C312" s="164" t="str">
        <f t="shared" si="7"/>
        <v>ن2</v>
      </c>
      <c r="D312" s="164" t="str">
        <f t="shared" si="7"/>
        <v>ن2-2</v>
      </c>
      <c r="E312" s="164" t="str">
        <f t="shared" si="7"/>
        <v>ن2-2-8</v>
      </c>
      <c r="F312" s="171" t="s">
        <v>2420</v>
      </c>
      <c r="G312" s="386" t="s">
        <v>2387</v>
      </c>
      <c r="H312" s="386"/>
      <c r="I312" s="386"/>
      <c r="J312" s="386"/>
      <c r="K312" s="386"/>
      <c r="L312" s="386"/>
      <c r="M312" s="386"/>
      <c r="N312" s="386"/>
      <c r="O312" s="386"/>
      <c r="P312" s="386"/>
      <c r="Q312" s="386"/>
      <c r="R312" s="386"/>
      <c r="S312" s="386"/>
      <c r="T312" s="386"/>
      <c r="U312" s="386"/>
      <c r="V312" s="386"/>
      <c r="W312" s="386"/>
      <c r="X312" s="386"/>
      <c r="Y312" s="386"/>
      <c r="Z312" s="386"/>
      <c r="AA312" s="386"/>
      <c r="AB312" s="308"/>
      <c r="AC312" s="308"/>
      <c r="AD312" s="308"/>
      <c r="AE312" s="308"/>
      <c r="AF312" s="294" t="s">
        <v>2376</v>
      </c>
      <c r="AG312" s="306"/>
      <c r="AH312" s="302"/>
      <c r="AI312" s="302"/>
      <c r="AJ312" s="303"/>
      <c r="AK312" s="303"/>
    </row>
    <row r="313" spans="1:37" ht="15" customHeight="1" outlineLevel="4">
      <c r="A313" s="178" t="s">
        <v>3500</v>
      </c>
      <c r="B313" s="165" t="str">
        <f t="shared" si="7"/>
        <v>ن</v>
      </c>
      <c r="C313" s="164" t="str">
        <f t="shared" si="7"/>
        <v>ن2</v>
      </c>
      <c r="D313" s="164" t="str">
        <f t="shared" si="7"/>
        <v>ن2-2</v>
      </c>
      <c r="E313" s="164" t="str">
        <f t="shared" si="7"/>
        <v>ن2-2-8</v>
      </c>
      <c r="F313" s="171" t="s">
        <v>2419</v>
      </c>
      <c r="G313" s="386" t="s">
        <v>2385</v>
      </c>
      <c r="H313" s="386"/>
      <c r="I313" s="386"/>
      <c r="J313" s="386"/>
      <c r="K313" s="386"/>
      <c r="L313" s="386"/>
      <c r="M313" s="386"/>
      <c r="N313" s="386"/>
      <c r="O313" s="386"/>
      <c r="P313" s="386"/>
      <c r="Q313" s="386"/>
      <c r="R313" s="386"/>
      <c r="S313" s="386"/>
      <c r="T313" s="386"/>
      <c r="U313" s="386"/>
      <c r="V313" s="386"/>
      <c r="W313" s="386"/>
      <c r="X313" s="386"/>
      <c r="Y313" s="386"/>
      <c r="Z313" s="386"/>
      <c r="AA313" s="386"/>
      <c r="AB313" s="308"/>
      <c r="AC313" s="308"/>
      <c r="AD313" s="308"/>
      <c r="AE313" s="308"/>
      <c r="AF313" s="294" t="s">
        <v>2376</v>
      </c>
      <c r="AG313" s="306"/>
      <c r="AH313" s="302"/>
      <c r="AI313" s="302"/>
      <c r="AJ313" s="303"/>
      <c r="AK313" s="303"/>
    </row>
    <row r="314" spans="1:37" ht="15" customHeight="1" outlineLevel="4">
      <c r="A314" s="178" t="s">
        <v>3500</v>
      </c>
      <c r="B314" s="165" t="str">
        <f t="shared" si="7"/>
        <v>ن</v>
      </c>
      <c r="C314" s="164" t="str">
        <f t="shared" si="7"/>
        <v>ن2</v>
      </c>
      <c r="D314" s="164" t="str">
        <f t="shared" si="7"/>
        <v>ن2-2</v>
      </c>
      <c r="E314" s="164" t="str">
        <f t="shared" si="7"/>
        <v>ن2-2-8</v>
      </c>
      <c r="F314" s="171" t="s">
        <v>2418</v>
      </c>
      <c r="G314" s="386" t="s">
        <v>2383</v>
      </c>
      <c r="H314" s="386"/>
      <c r="I314" s="386"/>
      <c r="J314" s="386"/>
      <c r="K314" s="386"/>
      <c r="L314" s="386"/>
      <c r="M314" s="386"/>
      <c r="N314" s="386"/>
      <c r="O314" s="386"/>
      <c r="P314" s="386"/>
      <c r="Q314" s="386"/>
      <c r="R314" s="386"/>
      <c r="S314" s="386"/>
      <c r="T314" s="386"/>
      <c r="U314" s="386"/>
      <c r="V314" s="386"/>
      <c r="W314" s="386"/>
      <c r="X314" s="386"/>
      <c r="Y314" s="386"/>
      <c r="Z314" s="386"/>
      <c r="AA314" s="386"/>
      <c r="AB314" s="308"/>
      <c r="AC314" s="308"/>
      <c r="AD314" s="308"/>
      <c r="AE314" s="308"/>
      <c r="AF314" s="294" t="s">
        <v>2376</v>
      </c>
      <c r="AG314" s="306"/>
      <c r="AH314" s="302"/>
      <c r="AI314" s="302"/>
      <c r="AJ314" s="303"/>
      <c r="AK314" s="303"/>
    </row>
    <row r="315" spans="1:37" ht="15" customHeight="1" outlineLevel="4">
      <c r="A315" s="178" t="s">
        <v>3500</v>
      </c>
      <c r="B315" s="165" t="str">
        <f t="shared" si="7"/>
        <v>ن</v>
      </c>
      <c r="C315" s="164" t="str">
        <f t="shared" si="7"/>
        <v>ن2</v>
      </c>
      <c r="D315" s="164" t="str">
        <f t="shared" si="7"/>
        <v>ن2-2</v>
      </c>
      <c r="E315" s="164" t="str">
        <f t="shared" si="7"/>
        <v>ن2-2-8</v>
      </c>
      <c r="F315" s="171" t="s">
        <v>2417</v>
      </c>
      <c r="G315" s="386" t="s">
        <v>2381</v>
      </c>
      <c r="H315" s="386"/>
      <c r="I315" s="386"/>
      <c r="J315" s="386"/>
      <c r="K315" s="386"/>
      <c r="L315" s="386"/>
      <c r="M315" s="386"/>
      <c r="N315" s="386"/>
      <c r="O315" s="386"/>
      <c r="P315" s="386"/>
      <c r="Q315" s="386"/>
      <c r="R315" s="386"/>
      <c r="S315" s="386"/>
      <c r="T315" s="386"/>
      <c r="U315" s="386"/>
      <c r="V315" s="386"/>
      <c r="W315" s="386"/>
      <c r="X315" s="386"/>
      <c r="Y315" s="386"/>
      <c r="Z315" s="386"/>
      <c r="AA315" s="386"/>
      <c r="AB315" s="308"/>
      <c r="AC315" s="308"/>
      <c r="AD315" s="308"/>
      <c r="AE315" s="308"/>
      <c r="AF315" s="294" t="s">
        <v>2376</v>
      </c>
      <c r="AG315" s="306" t="s">
        <v>2126</v>
      </c>
      <c r="AH315" s="302"/>
      <c r="AI315" s="302"/>
      <c r="AJ315" s="303"/>
      <c r="AK315" s="303"/>
    </row>
    <row r="316" spans="1:37" ht="15" customHeight="1" outlineLevel="4">
      <c r="A316" s="178" t="s">
        <v>3500</v>
      </c>
      <c r="B316" s="165" t="str">
        <f t="shared" si="7"/>
        <v>ن</v>
      </c>
      <c r="C316" s="164" t="str">
        <f t="shared" si="7"/>
        <v>ن2</v>
      </c>
      <c r="D316" s="164" t="str">
        <f t="shared" si="7"/>
        <v>ن2-2</v>
      </c>
      <c r="E316" s="164" t="str">
        <f t="shared" si="7"/>
        <v>ن2-2-8</v>
      </c>
      <c r="F316" s="171" t="s">
        <v>2416</v>
      </c>
      <c r="G316" s="386" t="s">
        <v>2379</v>
      </c>
      <c r="H316" s="386"/>
      <c r="I316" s="386"/>
      <c r="J316" s="386"/>
      <c r="K316" s="386"/>
      <c r="L316" s="386"/>
      <c r="M316" s="386"/>
      <c r="N316" s="386"/>
      <c r="O316" s="386"/>
      <c r="P316" s="386"/>
      <c r="Q316" s="386"/>
      <c r="R316" s="386"/>
      <c r="S316" s="386"/>
      <c r="T316" s="386"/>
      <c r="U316" s="386"/>
      <c r="V316" s="386"/>
      <c r="W316" s="386"/>
      <c r="X316" s="386"/>
      <c r="Y316" s="386"/>
      <c r="Z316" s="386"/>
      <c r="AA316" s="386"/>
      <c r="AB316" s="308"/>
      <c r="AC316" s="308"/>
      <c r="AD316" s="308"/>
      <c r="AE316" s="308"/>
      <c r="AF316" s="294" t="s">
        <v>2376</v>
      </c>
      <c r="AG316" s="306" t="s">
        <v>2126</v>
      </c>
      <c r="AH316" s="302"/>
      <c r="AI316" s="302"/>
      <c r="AJ316" s="303"/>
      <c r="AK316" s="303"/>
    </row>
    <row r="317" spans="1:37" ht="15" customHeight="1" outlineLevel="4">
      <c r="A317" s="178" t="s">
        <v>3500</v>
      </c>
      <c r="B317" s="165" t="str">
        <f t="shared" si="7"/>
        <v>ن</v>
      </c>
      <c r="C317" s="164" t="str">
        <f t="shared" si="7"/>
        <v>ن2</v>
      </c>
      <c r="D317" s="164" t="str">
        <f t="shared" si="7"/>
        <v>ن2-2</v>
      </c>
      <c r="E317" s="164" t="str">
        <f t="shared" si="7"/>
        <v>ن2-2-8</v>
      </c>
      <c r="F317" s="171" t="s">
        <v>2415</v>
      </c>
      <c r="G317" s="386" t="s">
        <v>2377</v>
      </c>
      <c r="H317" s="386"/>
      <c r="I317" s="386"/>
      <c r="J317" s="386"/>
      <c r="K317" s="386"/>
      <c r="L317" s="386"/>
      <c r="M317" s="386"/>
      <c r="N317" s="386"/>
      <c r="O317" s="386"/>
      <c r="P317" s="386"/>
      <c r="Q317" s="386"/>
      <c r="R317" s="386"/>
      <c r="S317" s="386"/>
      <c r="T317" s="386"/>
      <c r="U317" s="386"/>
      <c r="V317" s="386"/>
      <c r="W317" s="386"/>
      <c r="X317" s="386"/>
      <c r="Y317" s="386"/>
      <c r="Z317" s="386"/>
      <c r="AA317" s="386"/>
      <c r="AB317" s="308"/>
      <c r="AC317" s="308"/>
      <c r="AD317" s="308"/>
      <c r="AE317" s="308"/>
      <c r="AF317" s="294" t="s">
        <v>2376</v>
      </c>
      <c r="AG317" s="306" t="s">
        <v>2126</v>
      </c>
      <c r="AH317" s="302"/>
      <c r="AI317" s="302"/>
      <c r="AJ317" s="303"/>
      <c r="AK317" s="303"/>
    </row>
    <row r="318" spans="1:37" ht="15" customHeight="1" outlineLevel="4">
      <c r="A318" s="178" t="s">
        <v>3500</v>
      </c>
      <c r="B318" s="165" t="str">
        <f t="shared" si="7"/>
        <v>ن</v>
      </c>
      <c r="C318" s="164" t="str">
        <f t="shared" si="7"/>
        <v>ن2</v>
      </c>
      <c r="D318" s="164" t="str">
        <f t="shared" si="7"/>
        <v>ن2-2</v>
      </c>
      <c r="E318" s="164" t="str">
        <f t="shared" si="7"/>
        <v>ن2-2-8</v>
      </c>
      <c r="F318" s="171" t="s">
        <v>2414</v>
      </c>
      <c r="G318" s="386"/>
      <c r="H318" s="386"/>
      <c r="I318" s="386"/>
      <c r="J318" s="386"/>
      <c r="K318" s="386"/>
      <c r="L318" s="386"/>
      <c r="M318" s="386"/>
      <c r="N318" s="386"/>
      <c r="O318" s="386"/>
      <c r="P318" s="386"/>
      <c r="Q318" s="386"/>
      <c r="R318" s="386"/>
      <c r="S318" s="386"/>
      <c r="T318" s="386"/>
      <c r="U318" s="386"/>
      <c r="V318" s="386"/>
      <c r="W318" s="386"/>
      <c r="X318" s="386"/>
      <c r="Y318" s="386"/>
      <c r="Z318" s="386"/>
      <c r="AA318" s="386"/>
      <c r="AB318" s="308"/>
      <c r="AC318" s="308"/>
      <c r="AD318" s="308"/>
      <c r="AE318" s="308"/>
      <c r="AF318" s="294" t="s">
        <v>2376</v>
      </c>
      <c r="AG318" s="306"/>
      <c r="AH318" s="302"/>
      <c r="AI318" s="302"/>
      <c r="AJ318" s="303"/>
      <c r="AK318" s="303"/>
    </row>
    <row r="319" spans="1:37" ht="15" customHeight="1" outlineLevel="4">
      <c r="A319" s="178" t="s">
        <v>3500</v>
      </c>
      <c r="B319" s="165" t="str">
        <f t="shared" si="7"/>
        <v>ن</v>
      </c>
      <c r="C319" s="164" t="str">
        <f t="shared" si="7"/>
        <v>ن2</v>
      </c>
      <c r="D319" s="164" t="str">
        <f t="shared" si="7"/>
        <v>ن2-2</v>
      </c>
      <c r="E319" s="164" t="str">
        <f t="shared" si="7"/>
        <v>ن2-2-8</v>
      </c>
      <c r="F319" s="171" t="s">
        <v>2413</v>
      </c>
      <c r="G319" s="405" t="s">
        <v>2412</v>
      </c>
      <c r="H319" s="405"/>
      <c r="I319" s="405"/>
      <c r="J319" s="405"/>
      <c r="K319" s="405"/>
      <c r="L319" s="405"/>
      <c r="M319" s="405"/>
      <c r="N319" s="405"/>
      <c r="O319" s="405"/>
      <c r="P319" s="405"/>
      <c r="Q319" s="405"/>
      <c r="R319" s="405"/>
      <c r="S319" s="405"/>
      <c r="T319" s="405"/>
      <c r="U319" s="405"/>
      <c r="V319" s="405"/>
      <c r="W319" s="405"/>
      <c r="X319" s="405"/>
      <c r="Y319" s="405"/>
      <c r="Z319" s="405"/>
      <c r="AA319" s="405"/>
      <c r="AB319" s="308"/>
      <c r="AC319" s="308"/>
      <c r="AD319" s="308"/>
      <c r="AE319" s="308"/>
      <c r="AF319" s="294" t="s">
        <v>2376</v>
      </c>
      <c r="AG319" s="306"/>
      <c r="AH319" s="302"/>
      <c r="AI319" s="302"/>
      <c r="AJ319" s="303"/>
      <c r="AK319" s="303"/>
    </row>
    <row r="320" spans="1:37" ht="15" customHeight="1" outlineLevel="4">
      <c r="A320" s="178" t="s">
        <v>3500</v>
      </c>
      <c r="B320" s="165" t="str">
        <f t="shared" si="7"/>
        <v>ن</v>
      </c>
      <c r="C320" s="164" t="str">
        <f t="shared" si="7"/>
        <v>ن2</v>
      </c>
      <c r="D320" s="164" t="str">
        <f t="shared" si="7"/>
        <v>ن2-2</v>
      </c>
      <c r="E320" s="164" t="str">
        <f t="shared" si="7"/>
        <v>ن2-2-8</v>
      </c>
      <c r="F320" s="171" t="s">
        <v>2411</v>
      </c>
      <c r="G320" s="386" t="s">
        <v>2410</v>
      </c>
      <c r="H320" s="386"/>
      <c r="I320" s="386"/>
      <c r="J320" s="386"/>
      <c r="K320" s="386"/>
      <c r="L320" s="386"/>
      <c r="M320" s="386"/>
      <c r="N320" s="386"/>
      <c r="O320" s="386"/>
      <c r="P320" s="386"/>
      <c r="Q320" s="386"/>
      <c r="R320" s="386"/>
      <c r="S320" s="386"/>
      <c r="T320" s="386" t="e">
        <f>'[1]القوائم المالية'!#REF!</f>
        <v>#REF!</v>
      </c>
      <c r="U320" s="386" t="e">
        <f>'[1]القوائم المالية'!#REF!</f>
        <v>#REF!</v>
      </c>
      <c r="V320" s="386"/>
      <c r="W320" s="386"/>
      <c r="X320" s="386"/>
      <c r="Y320" s="386"/>
      <c r="Z320" s="386" t="e">
        <f>MIN(T320,U320)</f>
        <v>#REF!</v>
      </c>
      <c r="AA320" s="386" t="e">
        <f>MAX(T320,U320)</f>
        <v>#REF!</v>
      </c>
      <c r="AB320" s="308"/>
      <c r="AC320" s="308"/>
      <c r="AD320" s="308"/>
      <c r="AE320" s="308"/>
      <c r="AF320" s="294" t="s">
        <v>2376</v>
      </c>
      <c r="AG320" s="306"/>
      <c r="AH320" s="302"/>
      <c r="AI320" s="302"/>
      <c r="AJ320" s="303"/>
      <c r="AK320" s="303"/>
    </row>
    <row r="321" spans="1:37" ht="15" customHeight="1" outlineLevel="4">
      <c r="A321" s="178" t="s">
        <v>3500</v>
      </c>
      <c r="B321" s="165" t="str">
        <f t="shared" si="7"/>
        <v>ن</v>
      </c>
      <c r="C321" s="164" t="str">
        <f t="shared" si="7"/>
        <v>ن2</v>
      </c>
      <c r="D321" s="164" t="str">
        <f t="shared" si="7"/>
        <v>ن2-2</v>
      </c>
      <c r="E321" s="164" t="str">
        <f t="shared" si="7"/>
        <v>ن2-2-8</v>
      </c>
      <c r="F321" s="171" t="s">
        <v>2409</v>
      </c>
      <c r="G321" s="386" t="s">
        <v>2393</v>
      </c>
      <c r="H321" s="386"/>
      <c r="I321" s="386"/>
      <c r="J321" s="386"/>
      <c r="K321" s="386"/>
      <c r="L321" s="386"/>
      <c r="M321" s="386"/>
      <c r="N321" s="386"/>
      <c r="O321" s="386"/>
      <c r="P321" s="386"/>
      <c r="Q321" s="386"/>
      <c r="R321" s="386"/>
      <c r="S321" s="386"/>
      <c r="T321" s="386"/>
      <c r="U321" s="386"/>
      <c r="V321" s="386"/>
      <c r="W321" s="386"/>
      <c r="X321" s="386"/>
      <c r="Y321" s="386"/>
      <c r="Z321" s="386"/>
      <c r="AA321" s="386"/>
      <c r="AB321" s="308"/>
      <c r="AC321" s="308"/>
      <c r="AD321" s="308"/>
      <c r="AE321" s="308"/>
      <c r="AF321" s="294" t="s">
        <v>2376</v>
      </c>
      <c r="AG321" s="306"/>
      <c r="AH321" s="302"/>
      <c r="AI321" s="302"/>
      <c r="AJ321" s="303"/>
      <c r="AK321" s="303"/>
    </row>
    <row r="322" spans="1:37" ht="15" customHeight="1" outlineLevel="4">
      <c r="A322" s="178" t="s">
        <v>3500</v>
      </c>
      <c r="B322" s="165" t="str">
        <f t="shared" si="7"/>
        <v>ن</v>
      </c>
      <c r="C322" s="164" t="str">
        <f t="shared" si="7"/>
        <v>ن2</v>
      </c>
      <c r="D322" s="164" t="str">
        <f t="shared" si="7"/>
        <v>ن2-2</v>
      </c>
      <c r="E322" s="164" t="str">
        <f t="shared" si="7"/>
        <v>ن2-2-8</v>
      </c>
      <c r="F322" s="171" t="s">
        <v>2408</v>
      </c>
      <c r="G322" s="386" t="s">
        <v>2391</v>
      </c>
      <c r="H322" s="386"/>
      <c r="I322" s="386"/>
      <c r="J322" s="386"/>
      <c r="K322" s="386"/>
      <c r="L322" s="386"/>
      <c r="M322" s="386"/>
      <c r="N322" s="386"/>
      <c r="O322" s="386"/>
      <c r="P322" s="386"/>
      <c r="Q322" s="386"/>
      <c r="R322" s="386"/>
      <c r="S322" s="386"/>
      <c r="T322" s="386"/>
      <c r="U322" s="386"/>
      <c r="V322" s="386"/>
      <c r="W322" s="386"/>
      <c r="X322" s="386"/>
      <c r="Y322" s="386"/>
      <c r="Z322" s="386"/>
      <c r="AA322" s="386"/>
      <c r="AB322" s="308"/>
      <c r="AC322" s="308"/>
      <c r="AD322" s="308"/>
      <c r="AE322" s="308"/>
      <c r="AF322" s="294" t="s">
        <v>2376</v>
      </c>
      <c r="AG322" s="306"/>
      <c r="AH322" s="302"/>
      <c r="AI322" s="302"/>
      <c r="AJ322" s="303"/>
      <c r="AK322" s="303"/>
    </row>
    <row r="323" spans="1:37" ht="15" customHeight="1" outlineLevel="4">
      <c r="A323" s="178" t="s">
        <v>3500</v>
      </c>
      <c r="B323" s="165" t="str">
        <f t="shared" si="7"/>
        <v>ن</v>
      </c>
      <c r="C323" s="164" t="str">
        <f t="shared" si="7"/>
        <v>ن2</v>
      </c>
      <c r="D323" s="164" t="str">
        <f t="shared" si="7"/>
        <v>ن2-2</v>
      </c>
      <c r="E323" s="164" t="str">
        <f t="shared" si="7"/>
        <v>ن2-2-8</v>
      </c>
      <c r="F323" s="171" t="s">
        <v>2407</v>
      </c>
      <c r="G323" s="386" t="s">
        <v>2389</v>
      </c>
      <c r="H323" s="386"/>
      <c r="I323" s="386"/>
      <c r="J323" s="386"/>
      <c r="K323" s="386"/>
      <c r="L323" s="386"/>
      <c r="M323" s="386"/>
      <c r="N323" s="386"/>
      <c r="O323" s="386"/>
      <c r="P323" s="386"/>
      <c r="Q323" s="386"/>
      <c r="R323" s="386"/>
      <c r="S323" s="386"/>
      <c r="T323" s="386"/>
      <c r="U323" s="386"/>
      <c r="V323" s="386"/>
      <c r="W323" s="386"/>
      <c r="X323" s="386"/>
      <c r="Y323" s="386"/>
      <c r="Z323" s="386"/>
      <c r="AA323" s="386"/>
      <c r="AB323" s="308"/>
      <c r="AC323" s="308"/>
      <c r="AD323" s="308"/>
      <c r="AE323" s="308"/>
      <c r="AF323" s="294" t="s">
        <v>2376</v>
      </c>
      <c r="AG323" s="306"/>
      <c r="AH323" s="302"/>
      <c r="AI323" s="302"/>
      <c r="AJ323" s="303"/>
      <c r="AK323" s="303"/>
    </row>
    <row r="324" spans="1:37" ht="15" customHeight="1" outlineLevel="4">
      <c r="A324" s="178" t="s">
        <v>3500</v>
      </c>
      <c r="B324" s="165" t="str">
        <f t="shared" si="7"/>
        <v>ن</v>
      </c>
      <c r="C324" s="164" t="str">
        <f t="shared" si="7"/>
        <v>ن2</v>
      </c>
      <c r="D324" s="164" t="str">
        <f t="shared" si="7"/>
        <v>ن2-2</v>
      </c>
      <c r="E324" s="164" t="str">
        <f t="shared" si="7"/>
        <v>ن2-2-8</v>
      </c>
      <c r="F324" s="171" t="s">
        <v>2406</v>
      </c>
      <c r="G324" s="386" t="s">
        <v>2387</v>
      </c>
      <c r="H324" s="386"/>
      <c r="I324" s="386"/>
      <c r="J324" s="386"/>
      <c r="K324" s="386"/>
      <c r="L324" s="386"/>
      <c r="M324" s="386"/>
      <c r="N324" s="386"/>
      <c r="O324" s="386"/>
      <c r="P324" s="386"/>
      <c r="Q324" s="386"/>
      <c r="R324" s="386"/>
      <c r="S324" s="386"/>
      <c r="T324" s="386"/>
      <c r="U324" s="386"/>
      <c r="V324" s="386"/>
      <c r="W324" s="386"/>
      <c r="X324" s="386"/>
      <c r="Y324" s="386"/>
      <c r="Z324" s="386"/>
      <c r="AA324" s="386"/>
      <c r="AB324" s="308"/>
      <c r="AC324" s="308"/>
      <c r="AD324" s="308"/>
      <c r="AE324" s="308"/>
      <c r="AF324" s="294" t="s">
        <v>2376</v>
      </c>
      <c r="AG324" s="306"/>
      <c r="AH324" s="302"/>
      <c r="AI324" s="302"/>
      <c r="AJ324" s="303"/>
      <c r="AK324" s="303"/>
    </row>
    <row r="325" spans="1:37" ht="15" customHeight="1" outlineLevel="4">
      <c r="A325" s="178" t="s">
        <v>3500</v>
      </c>
      <c r="B325" s="165" t="str">
        <f t="shared" si="7"/>
        <v>ن</v>
      </c>
      <c r="C325" s="164" t="str">
        <f t="shared" si="7"/>
        <v>ن2</v>
      </c>
      <c r="D325" s="164" t="str">
        <f t="shared" si="7"/>
        <v>ن2-2</v>
      </c>
      <c r="E325" s="164" t="str">
        <f t="shared" si="7"/>
        <v>ن2-2-8</v>
      </c>
      <c r="F325" s="171" t="s">
        <v>2405</v>
      </c>
      <c r="G325" s="386" t="s">
        <v>2385</v>
      </c>
      <c r="H325" s="386"/>
      <c r="I325" s="386"/>
      <c r="J325" s="386"/>
      <c r="K325" s="386"/>
      <c r="L325" s="386"/>
      <c r="M325" s="386"/>
      <c r="N325" s="386"/>
      <c r="O325" s="386"/>
      <c r="P325" s="386"/>
      <c r="Q325" s="386"/>
      <c r="R325" s="386"/>
      <c r="S325" s="386"/>
      <c r="T325" s="386"/>
      <c r="U325" s="386"/>
      <c r="V325" s="386"/>
      <c r="W325" s="386"/>
      <c r="X325" s="386"/>
      <c r="Y325" s="386"/>
      <c r="Z325" s="386"/>
      <c r="AA325" s="386"/>
      <c r="AB325" s="308"/>
      <c r="AC325" s="308"/>
      <c r="AD325" s="308"/>
      <c r="AE325" s="308"/>
      <c r="AF325" s="294" t="s">
        <v>2376</v>
      </c>
      <c r="AG325" s="306"/>
      <c r="AH325" s="302"/>
      <c r="AI325" s="302"/>
      <c r="AJ325" s="303"/>
      <c r="AK325" s="303"/>
    </row>
    <row r="326" spans="1:37" ht="15" customHeight="1" outlineLevel="4">
      <c r="A326" s="178" t="s">
        <v>3500</v>
      </c>
      <c r="B326" s="165" t="str">
        <f t="shared" si="7"/>
        <v>ن</v>
      </c>
      <c r="C326" s="164" t="str">
        <f t="shared" si="7"/>
        <v>ن2</v>
      </c>
      <c r="D326" s="164" t="str">
        <f t="shared" si="7"/>
        <v>ن2-2</v>
      </c>
      <c r="E326" s="164" t="str">
        <f t="shared" si="7"/>
        <v>ن2-2-8</v>
      </c>
      <c r="F326" s="171" t="s">
        <v>2404</v>
      </c>
      <c r="G326" s="386" t="s">
        <v>2383</v>
      </c>
      <c r="H326" s="386"/>
      <c r="I326" s="386"/>
      <c r="J326" s="386"/>
      <c r="K326" s="386"/>
      <c r="L326" s="386"/>
      <c r="M326" s="386"/>
      <c r="N326" s="386"/>
      <c r="O326" s="386"/>
      <c r="P326" s="386"/>
      <c r="Q326" s="386"/>
      <c r="R326" s="386"/>
      <c r="S326" s="386"/>
      <c r="T326" s="386"/>
      <c r="U326" s="386"/>
      <c r="V326" s="386"/>
      <c r="W326" s="386"/>
      <c r="X326" s="386"/>
      <c r="Y326" s="386"/>
      <c r="Z326" s="386"/>
      <c r="AA326" s="386"/>
      <c r="AB326" s="308"/>
      <c r="AC326" s="308"/>
      <c r="AD326" s="308"/>
      <c r="AE326" s="308"/>
      <c r="AF326" s="294" t="s">
        <v>2376</v>
      </c>
      <c r="AG326" s="306"/>
      <c r="AH326" s="302"/>
      <c r="AI326" s="302"/>
      <c r="AJ326" s="303"/>
      <c r="AK326" s="303"/>
    </row>
    <row r="327" spans="1:37" ht="15" customHeight="1" outlineLevel="4">
      <c r="A327" s="178" t="s">
        <v>3500</v>
      </c>
      <c r="B327" s="165" t="str">
        <f t="shared" si="7"/>
        <v>ن</v>
      </c>
      <c r="C327" s="164" t="str">
        <f t="shared" si="7"/>
        <v>ن2</v>
      </c>
      <c r="D327" s="164" t="str">
        <f t="shared" si="7"/>
        <v>ن2-2</v>
      </c>
      <c r="E327" s="164" t="str">
        <f t="shared" si="7"/>
        <v>ن2-2-8</v>
      </c>
      <c r="F327" s="171" t="s">
        <v>2403</v>
      </c>
      <c r="G327" s="386" t="s">
        <v>2381</v>
      </c>
      <c r="H327" s="386"/>
      <c r="I327" s="386"/>
      <c r="J327" s="386"/>
      <c r="K327" s="386"/>
      <c r="L327" s="386"/>
      <c r="M327" s="386"/>
      <c r="N327" s="386"/>
      <c r="O327" s="386"/>
      <c r="P327" s="386"/>
      <c r="Q327" s="386"/>
      <c r="R327" s="386"/>
      <c r="S327" s="386"/>
      <c r="T327" s="386"/>
      <c r="U327" s="386"/>
      <c r="V327" s="386"/>
      <c r="W327" s="386"/>
      <c r="X327" s="386"/>
      <c r="Y327" s="386"/>
      <c r="Z327" s="386"/>
      <c r="AA327" s="386"/>
      <c r="AB327" s="308"/>
      <c r="AC327" s="308"/>
      <c r="AD327" s="308"/>
      <c r="AE327" s="308"/>
      <c r="AF327" s="294" t="s">
        <v>2376</v>
      </c>
      <c r="AG327" s="306" t="s">
        <v>2126</v>
      </c>
      <c r="AH327" s="302"/>
      <c r="AI327" s="302"/>
      <c r="AJ327" s="303"/>
      <c r="AK327" s="303"/>
    </row>
    <row r="328" spans="1:37" ht="15" customHeight="1" outlineLevel="4">
      <c r="A328" s="178" t="s">
        <v>3500</v>
      </c>
      <c r="B328" s="165" t="str">
        <f t="shared" si="7"/>
        <v>ن</v>
      </c>
      <c r="C328" s="164" t="str">
        <f t="shared" si="7"/>
        <v>ن2</v>
      </c>
      <c r="D328" s="164" t="str">
        <f t="shared" si="7"/>
        <v>ن2-2</v>
      </c>
      <c r="E328" s="164" t="str">
        <f t="shared" si="7"/>
        <v>ن2-2-8</v>
      </c>
      <c r="F328" s="171" t="s">
        <v>2402</v>
      </c>
      <c r="G328" s="386" t="s">
        <v>2379</v>
      </c>
      <c r="H328" s="386"/>
      <c r="I328" s="386"/>
      <c r="J328" s="386"/>
      <c r="K328" s="386"/>
      <c r="L328" s="386"/>
      <c r="M328" s="386"/>
      <c r="N328" s="386"/>
      <c r="O328" s="386"/>
      <c r="P328" s="386"/>
      <c r="Q328" s="386"/>
      <c r="R328" s="386"/>
      <c r="S328" s="386"/>
      <c r="T328" s="386"/>
      <c r="U328" s="386"/>
      <c r="V328" s="386"/>
      <c r="W328" s="386"/>
      <c r="X328" s="386"/>
      <c r="Y328" s="386"/>
      <c r="Z328" s="386"/>
      <c r="AA328" s="386"/>
      <c r="AB328" s="308"/>
      <c r="AC328" s="308"/>
      <c r="AD328" s="308"/>
      <c r="AE328" s="308"/>
      <c r="AF328" s="294" t="s">
        <v>2376</v>
      </c>
      <c r="AG328" s="306" t="s">
        <v>2126</v>
      </c>
      <c r="AH328" s="302"/>
      <c r="AI328" s="302"/>
      <c r="AJ328" s="303"/>
      <c r="AK328" s="303"/>
    </row>
    <row r="329" spans="1:37" ht="15" customHeight="1" outlineLevel="4">
      <c r="A329" s="178" t="s">
        <v>3500</v>
      </c>
      <c r="B329" s="165" t="str">
        <f t="shared" si="7"/>
        <v>ن</v>
      </c>
      <c r="C329" s="164" t="str">
        <f t="shared" si="7"/>
        <v>ن2</v>
      </c>
      <c r="D329" s="164" t="str">
        <f t="shared" si="7"/>
        <v>ن2-2</v>
      </c>
      <c r="E329" s="164" t="str">
        <f t="shared" si="7"/>
        <v>ن2-2-8</v>
      </c>
      <c r="F329" s="171" t="s">
        <v>2401</v>
      </c>
      <c r="G329" s="386" t="s">
        <v>2377</v>
      </c>
      <c r="H329" s="386"/>
      <c r="I329" s="386"/>
      <c r="J329" s="386"/>
      <c r="K329" s="386"/>
      <c r="L329" s="386"/>
      <c r="M329" s="386"/>
      <c r="N329" s="386"/>
      <c r="O329" s="386"/>
      <c r="P329" s="386"/>
      <c r="Q329" s="386"/>
      <c r="R329" s="386"/>
      <c r="S329" s="386"/>
      <c r="T329" s="386"/>
      <c r="U329" s="386"/>
      <c r="V329" s="386"/>
      <c r="W329" s="386"/>
      <c r="X329" s="386"/>
      <c r="Y329" s="386"/>
      <c r="Z329" s="386"/>
      <c r="AA329" s="386"/>
      <c r="AB329" s="308"/>
      <c r="AC329" s="308"/>
      <c r="AD329" s="308"/>
      <c r="AE329" s="308"/>
      <c r="AF329" s="294" t="s">
        <v>2376</v>
      </c>
      <c r="AG329" s="306" t="s">
        <v>2126</v>
      </c>
      <c r="AH329" s="302"/>
      <c r="AI329" s="302"/>
      <c r="AJ329" s="303"/>
      <c r="AK329" s="303"/>
    </row>
    <row r="330" spans="1:37" ht="15" customHeight="1" outlineLevel="4">
      <c r="A330" s="178" t="s">
        <v>3500</v>
      </c>
      <c r="B330" s="165" t="str">
        <f t="shared" si="7"/>
        <v>ن</v>
      </c>
      <c r="C330" s="164" t="str">
        <f t="shared" si="7"/>
        <v>ن2</v>
      </c>
      <c r="D330" s="164" t="str">
        <f t="shared" si="7"/>
        <v>ن2-2</v>
      </c>
      <c r="E330" s="164" t="str">
        <f t="shared" si="7"/>
        <v>ن2-2-8</v>
      </c>
      <c r="F330" s="171" t="s">
        <v>2400</v>
      </c>
      <c r="G330" s="405" t="s">
        <v>2399</v>
      </c>
      <c r="H330" s="405"/>
      <c r="I330" s="405"/>
      <c r="J330" s="405"/>
      <c r="K330" s="405"/>
      <c r="L330" s="405"/>
      <c r="M330" s="405"/>
      <c r="N330" s="405"/>
      <c r="O330" s="405"/>
      <c r="P330" s="405"/>
      <c r="Q330" s="405"/>
      <c r="R330" s="405"/>
      <c r="S330" s="405"/>
      <c r="T330" s="405"/>
      <c r="U330" s="405"/>
      <c r="V330" s="405"/>
      <c r="W330" s="405"/>
      <c r="X330" s="405"/>
      <c r="Y330" s="405"/>
      <c r="Z330" s="405"/>
      <c r="AA330" s="405"/>
      <c r="AB330" s="308"/>
      <c r="AC330" s="308"/>
      <c r="AD330" s="308"/>
      <c r="AE330" s="308"/>
      <c r="AF330" s="294" t="s">
        <v>2376</v>
      </c>
      <c r="AG330" s="306"/>
      <c r="AH330" s="302"/>
      <c r="AI330" s="302"/>
      <c r="AJ330" s="303"/>
      <c r="AK330" s="303"/>
    </row>
    <row r="331" spans="1:37" ht="15" customHeight="1" outlineLevel="4">
      <c r="A331" s="178" t="s">
        <v>3500</v>
      </c>
      <c r="B331" s="165" t="str">
        <f t="shared" si="7"/>
        <v>ن</v>
      </c>
      <c r="C331" s="164" t="str">
        <f t="shared" si="7"/>
        <v>ن2</v>
      </c>
      <c r="D331" s="164" t="str">
        <f t="shared" si="7"/>
        <v>ن2-2</v>
      </c>
      <c r="E331" s="164" t="str">
        <f t="shared" si="7"/>
        <v>ن2-2-8</v>
      </c>
      <c r="F331" s="171" t="s">
        <v>2398</v>
      </c>
      <c r="G331" s="386" t="s">
        <v>2397</v>
      </c>
      <c r="H331" s="386"/>
      <c r="I331" s="386"/>
      <c r="J331" s="386"/>
      <c r="K331" s="386"/>
      <c r="L331" s="386"/>
      <c r="M331" s="386"/>
      <c r="N331" s="386"/>
      <c r="O331" s="386"/>
      <c r="P331" s="386"/>
      <c r="Q331" s="386"/>
      <c r="R331" s="386"/>
      <c r="S331" s="386"/>
      <c r="T331" s="386" t="e">
        <v>#REF!</v>
      </c>
      <c r="U331" s="386" t="e">
        <v>#REF!</v>
      </c>
      <c r="V331" s="386"/>
      <c r="W331" s="386"/>
      <c r="X331" s="386"/>
      <c r="Y331" s="386"/>
      <c r="Z331" s="386" t="e">
        <f>MIN(T331,U331)</f>
        <v>#REF!</v>
      </c>
      <c r="AA331" s="386" t="e">
        <f>MAX(T331,U331)</f>
        <v>#REF!</v>
      </c>
      <c r="AB331" s="308"/>
      <c r="AC331" s="308"/>
      <c r="AD331" s="308"/>
      <c r="AE331" s="308"/>
      <c r="AF331" s="294" t="s">
        <v>2376</v>
      </c>
      <c r="AG331" s="306"/>
      <c r="AH331" s="302"/>
      <c r="AI331" s="302"/>
      <c r="AJ331" s="303"/>
      <c r="AK331" s="303"/>
    </row>
    <row r="332" spans="1:37" ht="15" customHeight="1" outlineLevel="4">
      <c r="A332" s="178" t="s">
        <v>3500</v>
      </c>
      <c r="B332" s="165" t="str">
        <f t="shared" si="7"/>
        <v>ن</v>
      </c>
      <c r="C332" s="164" t="str">
        <f t="shared" si="7"/>
        <v>ن2</v>
      </c>
      <c r="D332" s="164" t="str">
        <f t="shared" si="7"/>
        <v>ن2-2</v>
      </c>
      <c r="E332" s="164" t="str">
        <f t="shared" si="7"/>
        <v>ن2-2-8</v>
      </c>
      <c r="F332" s="171" t="s">
        <v>2396</v>
      </c>
      <c r="G332" s="386" t="s">
        <v>2395</v>
      </c>
      <c r="H332" s="386"/>
      <c r="I332" s="386"/>
      <c r="J332" s="386"/>
      <c r="K332" s="386"/>
      <c r="L332" s="386"/>
      <c r="M332" s="386"/>
      <c r="N332" s="386"/>
      <c r="O332" s="386"/>
      <c r="P332" s="386"/>
      <c r="Q332" s="386"/>
      <c r="R332" s="386"/>
      <c r="S332" s="386"/>
      <c r="T332" s="386" t="e">
        <f>'[1]القوائم المالية'!#REF!</f>
        <v>#REF!</v>
      </c>
      <c r="U332" s="386" t="e">
        <f>'[1]القوائم المالية'!#REF!</f>
        <v>#REF!</v>
      </c>
      <c r="V332" s="386"/>
      <c r="W332" s="386"/>
      <c r="X332" s="386"/>
      <c r="Y332" s="386"/>
      <c r="Z332" s="386" t="e">
        <f>MIN(T332,U332)</f>
        <v>#REF!</v>
      </c>
      <c r="AA332" s="386" t="e">
        <f>MAX(T332,U332)</f>
        <v>#REF!</v>
      </c>
      <c r="AB332" s="308"/>
      <c r="AC332" s="308"/>
      <c r="AD332" s="308"/>
      <c r="AE332" s="308"/>
      <c r="AF332" s="294" t="s">
        <v>2376</v>
      </c>
      <c r="AG332" s="306"/>
      <c r="AH332" s="302"/>
      <c r="AI332" s="302"/>
      <c r="AJ332" s="303"/>
      <c r="AK332" s="303"/>
    </row>
    <row r="333" spans="1:37" ht="15" customHeight="1" outlineLevel="4">
      <c r="A333" s="178" t="s">
        <v>3500</v>
      </c>
      <c r="B333" s="165" t="str">
        <f t="shared" si="7"/>
        <v>ن</v>
      </c>
      <c r="C333" s="164" t="str">
        <f t="shared" si="7"/>
        <v>ن2</v>
      </c>
      <c r="D333" s="164" t="str">
        <f t="shared" si="7"/>
        <v>ن2-2</v>
      </c>
      <c r="E333" s="164" t="str">
        <f t="shared" si="7"/>
        <v>ن2-2-8</v>
      </c>
      <c r="F333" s="171" t="s">
        <v>2394</v>
      </c>
      <c r="G333" s="386" t="s">
        <v>2393</v>
      </c>
      <c r="H333" s="386"/>
      <c r="I333" s="386"/>
      <c r="J333" s="386"/>
      <c r="K333" s="386"/>
      <c r="L333" s="386"/>
      <c r="M333" s="386"/>
      <c r="N333" s="386"/>
      <c r="O333" s="386"/>
      <c r="P333" s="386"/>
      <c r="Q333" s="386"/>
      <c r="R333" s="386"/>
      <c r="S333" s="386"/>
      <c r="T333" s="386"/>
      <c r="U333" s="386"/>
      <c r="V333" s="386"/>
      <c r="W333" s="386"/>
      <c r="X333" s="386"/>
      <c r="Y333" s="386"/>
      <c r="Z333" s="386"/>
      <c r="AA333" s="386"/>
      <c r="AB333" s="308"/>
      <c r="AC333" s="308"/>
      <c r="AD333" s="308"/>
      <c r="AE333" s="308"/>
      <c r="AF333" s="294" t="s">
        <v>2376</v>
      </c>
      <c r="AG333" s="306"/>
      <c r="AH333" s="302"/>
      <c r="AI333" s="302"/>
      <c r="AJ333" s="303"/>
      <c r="AK333" s="303"/>
    </row>
    <row r="334" spans="1:37" ht="15" customHeight="1" outlineLevel="4">
      <c r="A334" s="178" t="s">
        <v>3500</v>
      </c>
      <c r="B334" s="165" t="str">
        <f t="shared" si="7"/>
        <v>ن</v>
      </c>
      <c r="C334" s="164" t="str">
        <f t="shared" si="7"/>
        <v>ن2</v>
      </c>
      <c r="D334" s="164" t="str">
        <f t="shared" si="7"/>
        <v>ن2-2</v>
      </c>
      <c r="E334" s="164" t="str">
        <f t="shared" si="7"/>
        <v>ن2-2-8</v>
      </c>
      <c r="F334" s="171" t="s">
        <v>2392</v>
      </c>
      <c r="G334" s="386" t="s">
        <v>2391</v>
      </c>
      <c r="H334" s="386"/>
      <c r="I334" s="386"/>
      <c r="J334" s="386"/>
      <c r="K334" s="386"/>
      <c r="L334" s="386"/>
      <c r="M334" s="386"/>
      <c r="N334" s="386"/>
      <c r="O334" s="386"/>
      <c r="P334" s="386"/>
      <c r="Q334" s="386"/>
      <c r="R334" s="386"/>
      <c r="S334" s="386"/>
      <c r="T334" s="386"/>
      <c r="U334" s="386"/>
      <c r="V334" s="386"/>
      <c r="W334" s="386"/>
      <c r="X334" s="386"/>
      <c r="Y334" s="386"/>
      <c r="Z334" s="386"/>
      <c r="AA334" s="386"/>
      <c r="AB334" s="308"/>
      <c r="AC334" s="308"/>
      <c r="AD334" s="308"/>
      <c r="AE334" s="308"/>
      <c r="AF334" s="294" t="s">
        <v>2376</v>
      </c>
      <c r="AG334" s="306"/>
      <c r="AH334" s="302"/>
      <c r="AI334" s="302"/>
      <c r="AJ334" s="303"/>
      <c r="AK334" s="303"/>
    </row>
    <row r="335" spans="1:37" ht="15" customHeight="1" outlineLevel="4">
      <c r="A335" s="178" t="s">
        <v>3500</v>
      </c>
      <c r="B335" s="165" t="str">
        <f t="shared" si="7"/>
        <v>ن</v>
      </c>
      <c r="C335" s="164" t="str">
        <f t="shared" si="7"/>
        <v>ن2</v>
      </c>
      <c r="D335" s="164" t="str">
        <f t="shared" si="7"/>
        <v>ن2-2</v>
      </c>
      <c r="E335" s="164" t="str">
        <f t="shared" si="7"/>
        <v>ن2-2-8</v>
      </c>
      <c r="F335" s="171" t="s">
        <v>2390</v>
      </c>
      <c r="G335" s="386" t="s">
        <v>2389</v>
      </c>
      <c r="H335" s="386"/>
      <c r="I335" s="386"/>
      <c r="J335" s="386"/>
      <c r="K335" s="386"/>
      <c r="L335" s="386"/>
      <c r="M335" s="386"/>
      <c r="N335" s="386"/>
      <c r="O335" s="386"/>
      <c r="P335" s="386"/>
      <c r="Q335" s="386"/>
      <c r="R335" s="386"/>
      <c r="S335" s="386"/>
      <c r="T335" s="386"/>
      <c r="U335" s="386"/>
      <c r="V335" s="386"/>
      <c r="W335" s="386"/>
      <c r="X335" s="386"/>
      <c r="Y335" s="386"/>
      <c r="Z335" s="386"/>
      <c r="AA335" s="386"/>
      <c r="AB335" s="308"/>
      <c r="AC335" s="308"/>
      <c r="AD335" s="308"/>
      <c r="AE335" s="308"/>
      <c r="AF335" s="294" t="s">
        <v>2376</v>
      </c>
      <c r="AG335" s="306"/>
      <c r="AH335" s="302"/>
      <c r="AI335" s="302"/>
      <c r="AJ335" s="303"/>
      <c r="AK335" s="303"/>
    </row>
    <row r="336" spans="1:37" ht="15" customHeight="1" outlineLevel="4">
      <c r="A336" s="178" t="s">
        <v>3500</v>
      </c>
      <c r="B336" s="165" t="str">
        <f t="shared" si="7"/>
        <v>ن</v>
      </c>
      <c r="C336" s="164" t="str">
        <f t="shared" si="7"/>
        <v>ن2</v>
      </c>
      <c r="D336" s="164" t="str">
        <f t="shared" si="7"/>
        <v>ن2-2</v>
      </c>
      <c r="E336" s="164" t="str">
        <f t="shared" si="7"/>
        <v>ن2-2-8</v>
      </c>
      <c r="F336" s="171" t="s">
        <v>2388</v>
      </c>
      <c r="G336" s="386" t="s">
        <v>2387</v>
      </c>
      <c r="H336" s="386"/>
      <c r="I336" s="386"/>
      <c r="J336" s="386"/>
      <c r="K336" s="386"/>
      <c r="L336" s="386"/>
      <c r="M336" s="386"/>
      <c r="N336" s="386"/>
      <c r="O336" s="386"/>
      <c r="P336" s="386"/>
      <c r="Q336" s="386"/>
      <c r="R336" s="386"/>
      <c r="S336" s="386"/>
      <c r="T336" s="386"/>
      <c r="U336" s="386"/>
      <c r="V336" s="386"/>
      <c r="W336" s="386"/>
      <c r="X336" s="386"/>
      <c r="Y336" s="386"/>
      <c r="Z336" s="386"/>
      <c r="AA336" s="386"/>
      <c r="AB336" s="308"/>
      <c r="AC336" s="308"/>
      <c r="AD336" s="308"/>
      <c r="AE336" s="308"/>
      <c r="AF336" s="294" t="s">
        <v>2376</v>
      </c>
      <c r="AG336" s="306"/>
      <c r="AH336" s="302"/>
      <c r="AI336" s="302"/>
      <c r="AJ336" s="303"/>
      <c r="AK336" s="303"/>
    </row>
    <row r="337" spans="1:37" ht="15" customHeight="1" outlineLevel="4">
      <c r="A337" s="178" t="s">
        <v>3500</v>
      </c>
      <c r="B337" s="165" t="str">
        <f t="shared" si="7"/>
        <v>ن</v>
      </c>
      <c r="C337" s="164" t="str">
        <f t="shared" si="7"/>
        <v>ن2</v>
      </c>
      <c r="D337" s="164" t="str">
        <f t="shared" si="7"/>
        <v>ن2-2</v>
      </c>
      <c r="E337" s="164" t="str">
        <f t="shared" si="7"/>
        <v>ن2-2-8</v>
      </c>
      <c r="F337" s="171" t="s">
        <v>2386</v>
      </c>
      <c r="G337" s="386" t="s">
        <v>2385</v>
      </c>
      <c r="H337" s="386"/>
      <c r="I337" s="386"/>
      <c r="J337" s="386"/>
      <c r="K337" s="386"/>
      <c r="L337" s="386"/>
      <c r="M337" s="386"/>
      <c r="N337" s="386"/>
      <c r="O337" s="386"/>
      <c r="P337" s="386"/>
      <c r="Q337" s="386"/>
      <c r="R337" s="386"/>
      <c r="S337" s="386"/>
      <c r="T337" s="386"/>
      <c r="U337" s="386"/>
      <c r="V337" s="386"/>
      <c r="W337" s="386"/>
      <c r="X337" s="386"/>
      <c r="Y337" s="386"/>
      <c r="Z337" s="386"/>
      <c r="AA337" s="386"/>
      <c r="AB337" s="308"/>
      <c r="AC337" s="308"/>
      <c r="AD337" s="308"/>
      <c r="AE337" s="308"/>
      <c r="AF337" s="294" t="s">
        <v>2376</v>
      </c>
      <c r="AG337" s="306"/>
      <c r="AH337" s="302"/>
      <c r="AI337" s="302"/>
      <c r="AJ337" s="303"/>
      <c r="AK337" s="303"/>
    </row>
    <row r="338" spans="1:37" ht="15" customHeight="1" outlineLevel="4">
      <c r="A338" s="178" t="s">
        <v>3500</v>
      </c>
      <c r="B338" s="165" t="str">
        <f t="shared" si="7"/>
        <v>ن</v>
      </c>
      <c r="C338" s="164" t="str">
        <f t="shared" si="7"/>
        <v>ن2</v>
      </c>
      <c r="D338" s="164" t="str">
        <f t="shared" si="7"/>
        <v>ن2-2</v>
      </c>
      <c r="E338" s="164" t="str">
        <f t="shared" si="7"/>
        <v>ن2-2-8</v>
      </c>
      <c r="F338" s="171" t="s">
        <v>2384</v>
      </c>
      <c r="G338" s="386" t="s">
        <v>2383</v>
      </c>
      <c r="H338" s="386"/>
      <c r="I338" s="386"/>
      <c r="J338" s="386"/>
      <c r="K338" s="386"/>
      <c r="L338" s="386"/>
      <c r="M338" s="386"/>
      <c r="N338" s="386"/>
      <c r="O338" s="386"/>
      <c r="P338" s="386"/>
      <c r="Q338" s="386"/>
      <c r="R338" s="386"/>
      <c r="S338" s="386"/>
      <c r="T338" s="386"/>
      <c r="U338" s="386"/>
      <c r="V338" s="386"/>
      <c r="W338" s="386"/>
      <c r="X338" s="386"/>
      <c r="Y338" s="386"/>
      <c r="Z338" s="386"/>
      <c r="AA338" s="386"/>
      <c r="AB338" s="308"/>
      <c r="AC338" s="308"/>
      <c r="AD338" s="308"/>
      <c r="AE338" s="308"/>
      <c r="AF338" s="294" t="s">
        <v>2376</v>
      </c>
      <c r="AG338" s="306"/>
      <c r="AH338" s="302"/>
      <c r="AI338" s="302"/>
      <c r="AJ338" s="303"/>
      <c r="AK338" s="303"/>
    </row>
    <row r="339" spans="1:37" ht="15" customHeight="1" outlineLevel="4">
      <c r="A339" s="178" t="s">
        <v>3500</v>
      </c>
      <c r="B339" s="165" t="str">
        <f t="shared" si="7"/>
        <v>ن</v>
      </c>
      <c r="C339" s="164" t="str">
        <f t="shared" si="7"/>
        <v>ن2</v>
      </c>
      <c r="D339" s="164" t="str">
        <f t="shared" si="7"/>
        <v>ن2-2</v>
      </c>
      <c r="E339" s="164" t="str">
        <f t="shared" si="7"/>
        <v>ن2-2-8</v>
      </c>
      <c r="F339" s="171" t="s">
        <v>2382</v>
      </c>
      <c r="G339" s="386" t="s">
        <v>2381</v>
      </c>
      <c r="H339" s="386"/>
      <c r="I339" s="386"/>
      <c r="J339" s="386"/>
      <c r="K339" s="386"/>
      <c r="L339" s="386"/>
      <c r="M339" s="386"/>
      <c r="N339" s="386"/>
      <c r="O339" s="386"/>
      <c r="P339" s="386"/>
      <c r="Q339" s="386"/>
      <c r="R339" s="386"/>
      <c r="S339" s="386"/>
      <c r="T339" s="386"/>
      <c r="U339" s="386"/>
      <c r="V339" s="386"/>
      <c r="W339" s="386"/>
      <c r="X339" s="386"/>
      <c r="Y339" s="386"/>
      <c r="Z339" s="386"/>
      <c r="AA339" s="386"/>
      <c r="AB339" s="308"/>
      <c r="AC339" s="308"/>
      <c r="AD339" s="308"/>
      <c r="AE339" s="308"/>
      <c r="AF339" s="294" t="s">
        <v>2376</v>
      </c>
      <c r="AG339" s="306" t="s">
        <v>2126</v>
      </c>
      <c r="AH339" s="302"/>
      <c r="AI339" s="302"/>
      <c r="AJ339" s="303"/>
      <c r="AK339" s="303"/>
    </row>
    <row r="340" spans="1:37" ht="15" customHeight="1" outlineLevel="4">
      <c r="A340" s="178" t="s">
        <v>3500</v>
      </c>
      <c r="B340" s="165" t="str">
        <f t="shared" si="7"/>
        <v>ن</v>
      </c>
      <c r="C340" s="164" t="str">
        <f t="shared" si="7"/>
        <v>ن2</v>
      </c>
      <c r="D340" s="164" t="str">
        <f t="shared" si="7"/>
        <v>ن2-2</v>
      </c>
      <c r="E340" s="164" t="str">
        <f t="shared" si="7"/>
        <v>ن2-2-8</v>
      </c>
      <c r="F340" s="171" t="s">
        <v>2380</v>
      </c>
      <c r="G340" s="386" t="s">
        <v>2379</v>
      </c>
      <c r="H340" s="386"/>
      <c r="I340" s="386"/>
      <c r="J340" s="386"/>
      <c r="K340" s="386"/>
      <c r="L340" s="386"/>
      <c r="M340" s="386"/>
      <c r="N340" s="386"/>
      <c r="O340" s="386"/>
      <c r="P340" s="386"/>
      <c r="Q340" s="386"/>
      <c r="R340" s="386"/>
      <c r="S340" s="386"/>
      <c r="T340" s="386"/>
      <c r="U340" s="386"/>
      <c r="V340" s="386"/>
      <c r="W340" s="386"/>
      <c r="X340" s="386"/>
      <c r="Y340" s="386"/>
      <c r="Z340" s="386"/>
      <c r="AA340" s="386"/>
      <c r="AB340" s="308"/>
      <c r="AC340" s="308"/>
      <c r="AD340" s="308"/>
      <c r="AE340" s="308"/>
      <c r="AF340" s="294" t="s">
        <v>2376</v>
      </c>
      <c r="AG340" s="306" t="s">
        <v>2126</v>
      </c>
      <c r="AH340" s="302"/>
      <c r="AI340" s="302"/>
      <c r="AJ340" s="303"/>
      <c r="AK340" s="303"/>
    </row>
    <row r="341" spans="1:37" ht="15" customHeight="1" outlineLevel="4">
      <c r="A341" s="178" t="s">
        <v>3500</v>
      </c>
      <c r="B341" s="165" t="str">
        <f t="shared" si="7"/>
        <v>ن</v>
      </c>
      <c r="C341" s="164" t="str">
        <f t="shared" si="7"/>
        <v>ن2</v>
      </c>
      <c r="D341" s="164" t="str">
        <f t="shared" si="7"/>
        <v>ن2-2</v>
      </c>
      <c r="E341" s="164" t="str">
        <f t="shared" si="7"/>
        <v>ن2-2-8</v>
      </c>
      <c r="F341" s="171" t="s">
        <v>2378</v>
      </c>
      <c r="G341" s="386" t="s">
        <v>2377</v>
      </c>
      <c r="H341" s="386"/>
      <c r="I341" s="386"/>
      <c r="J341" s="386"/>
      <c r="K341" s="386"/>
      <c r="L341" s="386"/>
      <c r="M341" s="386"/>
      <c r="N341" s="386"/>
      <c r="O341" s="386"/>
      <c r="P341" s="386"/>
      <c r="Q341" s="386"/>
      <c r="R341" s="386"/>
      <c r="S341" s="386"/>
      <c r="T341" s="386"/>
      <c r="U341" s="386"/>
      <c r="V341" s="386"/>
      <c r="W341" s="386"/>
      <c r="X341" s="386"/>
      <c r="Y341" s="386"/>
      <c r="Z341" s="386"/>
      <c r="AA341" s="386"/>
      <c r="AB341" s="308"/>
      <c r="AC341" s="308"/>
      <c r="AD341" s="308"/>
      <c r="AE341" s="308"/>
      <c r="AF341" s="294" t="s">
        <v>2376</v>
      </c>
      <c r="AG341" s="306" t="s">
        <v>2126</v>
      </c>
      <c r="AH341" s="302"/>
      <c r="AI341" s="302"/>
      <c r="AJ341" s="303"/>
      <c r="AK341" s="303"/>
    </row>
    <row r="342" spans="1:37" ht="15" customHeight="1" outlineLevel="4">
      <c r="A342" s="178" t="s">
        <v>3500</v>
      </c>
      <c r="B342" s="165" t="str">
        <f t="shared" si="7"/>
        <v>ن</v>
      </c>
      <c r="C342" s="164" t="str">
        <f t="shared" si="7"/>
        <v>ن2</v>
      </c>
      <c r="D342" s="164" t="str">
        <f t="shared" si="7"/>
        <v>ن2-2</v>
      </c>
      <c r="E342" s="164" t="str">
        <f t="shared" si="7"/>
        <v>ن2-2-8</v>
      </c>
      <c r="F342" s="171" t="s">
        <v>2375</v>
      </c>
      <c r="G342" s="406" t="s">
        <v>2374</v>
      </c>
      <c r="H342" s="406"/>
      <c r="I342" s="406"/>
      <c r="J342" s="406"/>
      <c r="K342" s="406"/>
      <c r="L342" s="406"/>
      <c r="M342" s="406"/>
      <c r="N342" s="406"/>
      <c r="O342" s="406"/>
      <c r="P342" s="406"/>
      <c r="Q342" s="406"/>
      <c r="R342" s="406"/>
      <c r="S342" s="406"/>
      <c r="T342" s="406"/>
      <c r="U342" s="406"/>
      <c r="V342" s="406"/>
      <c r="W342" s="406"/>
      <c r="X342" s="406"/>
      <c r="Y342" s="406"/>
      <c r="Z342" s="406"/>
      <c r="AA342" s="406"/>
      <c r="AB342" s="308"/>
      <c r="AC342" s="308"/>
      <c r="AD342" s="308"/>
      <c r="AE342" s="308"/>
      <c r="AF342" s="294" t="s">
        <v>2334</v>
      </c>
      <c r="AG342" s="306" t="s">
        <v>2336</v>
      </c>
      <c r="AH342" s="302"/>
      <c r="AI342" s="302"/>
      <c r="AJ342" s="303"/>
      <c r="AK342" s="303"/>
    </row>
    <row r="343" spans="1:37" ht="15" customHeight="1" outlineLevel="4">
      <c r="A343" s="178" t="s">
        <v>3500</v>
      </c>
      <c r="B343" s="165" t="str">
        <f t="shared" si="7"/>
        <v>ن</v>
      </c>
      <c r="C343" s="164" t="str">
        <f t="shared" si="7"/>
        <v>ن2</v>
      </c>
      <c r="D343" s="164" t="str">
        <f t="shared" si="7"/>
        <v>ن2-2</v>
      </c>
      <c r="E343" s="164" t="str">
        <f t="shared" si="7"/>
        <v>ن2-2-8</v>
      </c>
      <c r="F343" s="171" t="s">
        <v>2373</v>
      </c>
      <c r="G343" s="407" t="s">
        <v>2372</v>
      </c>
      <c r="H343" s="408"/>
      <c r="I343" s="305"/>
      <c r="J343" s="242">
        <v>0.05</v>
      </c>
      <c r="K343" s="241">
        <v>0.1</v>
      </c>
      <c r="L343" s="310">
        <v>1</v>
      </c>
      <c r="M343" s="409">
        <f>'[1]القوائم المالية'!E108</f>
        <v>0</v>
      </c>
      <c r="N343" s="410"/>
      <c r="O343" s="410"/>
      <c r="P343" s="311"/>
      <c r="Q343" s="409">
        <f t="shared" ref="Q343:Q349" si="8">M343*J343</f>
        <v>0</v>
      </c>
      <c r="R343" s="410"/>
      <c r="S343" s="410"/>
      <c r="T343" s="311"/>
      <c r="U343" s="409">
        <f t="shared" ref="U343:U349" si="9">M343*K343</f>
        <v>0</v>
      </c>
      <c r="V343" s="410"/>
      <c r="W343" s="410"/>
      <c r="X343" s="311"/>
      <c r="Y343" s="311"/>
      <c r="Z343" s="311"/>
      <c r="AA343" s="311"/>
      <c r="AB343" s="308"/>
      <c r="AC343" s="308"/>
      <c r="AD343" s="308"/>
      <c r="AE343" s="308"/>
      <c r="AF343" s="294" t="s">
        <v>2334</v>
      </c>
      <c r="AG343" s="306"/>
      <c r="AH343" s="302"/>
      <c r="AI343" s="302"/>
      <c r="AJ343" s="303"/>
      <c r="AK343" s="303"/>
    </row>
    <row r="344" spans="1:37" ht="15" hidden="1" customHeight="1" outlineLevel="4">
      <c r="B344" s="165" t="str">
        <f t="shared" si="7"/>
        <v>ن</v>
      </c>
      <c r="C344" s="164" t="str">
        <f t="shared" si="7"/>
        <v>ن2</v>
      </c>
      <c r="D344" s="164" t="str">
        <f t="shared" si="7"/>
        <v>ن2-2</v>
      </c>
      <c r="E344" s="164" t="str">
        <f t="shared" si="7"/>
        <v>ن2-2-8</v>
      </c>
      <c r="F344" s="171" t="s">
        <v>2371</v>
      </c>
      <c r="G344" s="411" t="s">
        <v>2370</v>
      </c>
      <c r="H344" s="408"/>
      <c r="I344" s="305"/>
      <c r="J344" s="242">
        <v>0.05</v>
      </c>
      <c r="K344" s="241">
        <v>0.1</v>
      </c>
      <c r="L344" s="310">
        <v>2</v>
      </c>
      <c r="M344" s="409">
        <f>('[1]القوائم المالية'!E108+'[1]القوائم المالية'!G108+'[1]القوائم المالية'!I108+'[1]القوائم المالية'!K108+'[1]القوائم المالية'!M108)/5</f>
        <v>0</v>
      </c>
      <c r="N344" s="410"/>
      <c r="O344" s="410"/>
      <c r="P344" s="311"/>
      <c r="Q344" s="409">
        <f t="shared" si="8"/>
        <v>0</v>
      </c>
      <c r="R344" s="410"/>
      <c r="S344" s="410"/>
      <c r="T344" s="311"/>
      <c r="U344" s="409">
        <f t="shared" si="9"/>
        <v>0</v>
      </c>
      <c r="V344" s="410"/>
      <c r="W344" s="410"/>
      <c r="X344" s="311"/>
      <c r="Y344" s="311"/>
      <c r="Z344" s="311"/>
      <c r="AA344" s="311"/>
      <c r="AB344" s="308"/>
      <c r="AC344" s="308"/>
      <c r="AD344" s="308"/>
      <c r="AE344" s="308"/>
      <c r="AF344" s="294" t="s">
        <v>2334</v>
      </c>
      <c r="AG344" s="306"/>
      <c r="AH344" s="302"/>
      <c r="AI344" s="302"/>
      <c r="AJ344" s="303"/>
      <c r="AK344" s="303"/>
    </row>
    <row r="345" spans="1:37" ht="15" hidden="1" customHeight="1" outlineLevel="4">
      <c r="B345" s="165" t="str">
        <f t="shared" si="7"/>
        <v>ن</v>
      </c>
      <c r="C345" s="164" t="str">
        <f t="shared" si="7"/>
        <v>ن2</v>
      </c>
      <c r="D345" s="164" t="str">
        <f t="shared" si="7"/>
        <v>ن2-2</v>
      </c>
      <c r="E345" s="164" t="str">
        <f t="shared" si="7"/>
        <v>ن2-2-8</v>
      </c>
      <c r="F345" s="171" t="s">
        <v>2369</v>
      </c>
      <c r="G345" s="411" t="s">
        <v>2368</v>
      </c>
      <c r="H345" s="408"/>
      <c r="I345" s="305"/>
      <c r="J345" s="242">
        <v>0.01</v>
      </c>
      <c r="K345" s="241">
        <v>0.02</v>
      </c>
      <c r="L345" s="310">
        <v>3</v>
      </c>
      <c r="M345" s="409">
        <f>'[1]القوائم المالية'!E95</f>
        <v>0</v>
      </c>
      <c r="N345" s="410"/>
      <c r="O345" s="410"/>
      <c r="P345" s="311"/>
      <c r="Q345" s="409">
        <f t="shared" si="8"/>
        <v>0</v>
      </c>
      <c r="R345" s="410"/>
      <c r="S345" s="410"/>
      <c r="T345" s="311"/>
      <c r="U345" s="409">
        <f t="shared" si="9"/>
        <v>0</v>
      </c>
      <c r="V345" s="410"/>
      <c r="W345" s="410"/>
      <c r="X345" s="311"/>
      <c r="Y345" s="311"/>
      <c r="Z345" s="311"/>
      <c r="AA345" s="311"/>
      <c r="AB345" s="308"/>
      <c r="AC345" s="308"/>
      <c r="AD345" s="308"/>
      <c r="AE345" s="308"/>
      <c r="AF345" s="294" t="s">
        <v>2334</v>
      </c>
      <c r="AG345" s="306" t="s">
        <v>2152</v>
      </c>
      <c r="AH345" s="302"/>
      <c r="AI345" s="302"/>
      <c r="AJ345" s="303"/>
      <c r="AK345" s="303"/>
    </row>
    <row r="346" spans="1:37" ht="15" hidden="1" customHeight="1" outlineLevel="4">
      <c r="B346" s="165" t="str">
        <f t="shared" ref="B346:E409" si="10">B345</f>
        <v>ن</v>
      </c>
      <c r="C346" s="164" t="str">
        <f t="shared" si="10"/>
        <v>ن2</v>
      </c>
      <c r="D346" s="164" t="str">
        <f t="shared" si="10"/>
        <v>ن2-2</v>
      </c>
      <c r="E346" s="164" t="str">
        <f t="shared" si="10"/>
        <v>ن2-2-8</v>
      </c>
      <c r="F346" s="171" t="s">
        <v>2367</v>
      </c>
      <c r="G346" s="411" t="s">
        <v>2366</v>
      </c>
      <c r="H346" s="408"/>
      <c r="I346" s="305"/>
      <c r="J346" s="242">
        <v>0.01</v>
      </c>
      <c r="K346" s="241">
        <v>0.02</v>
      </c>
      <c r="L346" s="310">
        <v>4</v>
      </c>
      <c r="M346" s="409" t="e">
        <f>'[1]الاصول الثابتة2'!#REF!</f>
        <v>#REF!</v>
      </c>
      <c r="N346" s="410"/>
      <c r="O346" s="410"/>
      <c r="P346" s="311"/>
      <c r="Q346" s="409" t="e">
        <f t="shared" si="8"/>
        <v>#REF!</v>
      </c>
      <c r="R346" s="410"/>
      <c r="S346" s="410"/>
      <c r="T346" s="311"/>
      <c r="U346" s="409" t="e">
        <f t="shared" si="9"/>
        <v>#REF!</v>
      </c>
      <c r="V346" s="410"/>
      <c r="W346" s="410"/>
      <c r="X346" s="311"/>
      <c r="Y346" s="311"/>
      <c r="Z346" s="311"/>
      <c r="AA346" s="311"/>
      <c r="AB346" s="308"/>
      <c r="AC346" s="308"/>
      <c r="AD346" s="308"/>
      <c r="AE346" s="308"/>
      <c r="AF346" s="294" t="s">
        <v>2334</v>
      </c>
      <c r="AG346" s="306"/>
      <c r="AH346" s="302"/>
      <c r="AI346" s="302"/>
      <c r="AJ346" s="303"/>
      <c r="AK346" s="303"/>
    </row>
    <row r="347" spans="1:37" ht="15" customHeight="1" outlineLevel="4">
      <c r="A347" s="178" t="s">
        <v>3500</v>
      </c>
      <c r="B347" s="165" t="str">
        <f t="shared" si="10"/>
        <v>ن</v>
      </c>
      <c r="C347" s="164" t="str">
        <f t="shared" si="10"/>
        <v>ن2</v>
      </c>
      <c r="D347" s="164" t="str">
        <f t="shared" si="10"/>
        <v>ن2-2</v>
      </c>
      <c r="E347" s="164" t="str">
        <f t="shared" si="10"/>
        <v>ن2-2-8</v>
      </c>
      <c r="F347" s="171" t="s">
        <v>2365</v>
      </c>
      <c r="G347" s="411" t="s">
        <v>2364</v>
      </c>
      <c r="H347" s="408"/>
      <c r="I347" s="305"/>
      <c r="J347" s="242">
        <v>0.01</v>
      </c>
      <c r="K347" s="241">
        <v>0.02</v>
      </c>
      <c r="L347" s="310">
        <v>5</v>
      </c>
      <c r="M347" s="409">
        <f>'[1]القوائم المالية'!E107*-1</f>
        <v>0</v>
      </c>
      <c r="N347" s="410"/>
      <c r="O347" s="410"/>
      <c r="P347" s="311"/>
      <c r="Q347" s="409">
        <f t="shared" si="8"/>
        <v>0</v>
      </c>
      <c r="R347" s="410"/>
      <c r="S347" s="410"/>
      <c r="T347" s="311"/>
      <c r="U347" s="409">
        <f t="shared" si="9"/>
        <v>0</v>
      </c>
      <c r="V347" s="410"/>
      <c r="W347" s="410"/>
      <c r="X347" s="311"/>
      <c r="Y347" s="311"/>
      <c r="Z347" s="311"/>
      <c r="AA347" s="311"/>
      <c r="AB347" s="308"/>
      <c r="AC347" s="308"/>
      <c r="AD347" s="308"/>
      <c r="AE347" s="308"/>
      <c r="AF347" s="294" t="s">
        <v>2334</v>
      </c>
      <c r="AG347" s="306"/>
      <c r="AH347" s="302"/>
      <c r="AI347" s="302"/>
      <c r="AJ347" s="303"/>
      <c r="AK347" s="303"/>
    </row>
    <row r="348" spans="1:37" ht="15" customHeight="1" outlineLevel="4">
      <c r="A348" s="178" t="s">
        <v>3500</v>
      </c>
      <c r="B348" s="165" t="str">
        <f t="shared" si="10"/>
        <v>ن</v>
      </c>
      <c r="C348" s="164" t="str">
        <f t="shared" si="10"/>
        <v>ن2</v>
      </c>
      <c r="D348" s="164" t="str">
        <f t="shared" si="10"/>
        <v>ن2-2</v>
      </c>
      <c r="E348" s="164" t="str">
        <f t="shared" si="10"/>
        <v>ن2-2-8</v>
      </c>
      <c r="F348" s="171" t="s">
        <v>2363</v>
      </c>
      <c r="G348" s="411" t="s">
        <v>2362</v>
      </c>
      <c r="H348" s="408"/>
      <c r="I348" s="305"/>
      <c r="J348" s="242">
        <v>0.01</v>
      </c>
      <c r="K348" s="241">
        <v>0.02</v>
      </c>
      <c r="L348" s="310">
        <v>6</v>
      </c>
      <c r="M348" s="409" t="e">
        <f>'[1]الاصول الثابتة2'!#REF!</f>
        <v>#REF!</v>
      </c>
      <c r="N348" s="410"/>
      <c r="O348" s="410"/>
      <c r="P348" s="311"/>
      <c r="Q348" s="409" t="e">
        <f t="shared" si="8"/>
        <v>#REF!</v>
      </c>
      <c r="R348" s="410"/>
      <c r="S348" s="410"/>
      <c r="T348" s="311"/>
      <c r="U348" s="409" t="e">
        <f t="shared" si="9"/>
        <v>#REF!</v>
      </c>
      <c r="V348" s="410"/>
      <c r="W348" s="410"/>
      <c r="X348" s="311"/>
      <c r="Y348" s="311"/>
      <c r="Z348" s="311"/>
      <c r="AA348" s="311"/>
      <c r="AB348" s="308"/>
      <c r="AC348" s="308"/>
      <c r="AD348" s="308"/>
      <c r="AE348" s="308"/>
      <c r="AF348" s="294" t="s">
        <v>2334</v>
      </c>
      <c r="AG348" s="306"/>
      <c r="AH348" s="302"/>
      <c r="AI348" s="302"/>
      <c r="AJ348" s="303"/>
      <c r="AK348" s="303"/>
    </row>
    <row r="349" spans="1:37" ht="15" customHeight="1" outlineLevel="4">
      <c r="A349" s="178" t="s">
        <v>3500</v>
      </c>
      <c r="B349" s="165" t="str">
        <f t="shared" si="10"/>
        <v>ن</v>
      </c>
      <c r="C349" s="164" t="str">
        <f t="shared" si="10"/>
        <v>ن2</v>
      </c>
      <c r="D349" s="164" t="str">
        <f t="shared" si="10"/>
        <v>ن2-2</v>
      </c>
      <c r="E349" s="164" t="str">
        <f t="shared" si="10"/>
        <v>ن2-2-8</v>
      </c>
      <c r="F349" s="171" t="s">
        <v>2361</v>
      </c>
      <c r="G349" s="411" t="s">
        <v>2360</v>
      </c>
      <c r="H349" s="408"/>
      <c r="I349" s="305"/>
      <c r="J349" s="242">
        <v>0.01</v>
      </c>
      <c r="K349" s="241">
        <v>0.01</v>
      </c>
      <c r="L349" s="310">
        <v>7</v>
      </c>
      <c r="M349" s="409">
        <f>'[1]القوائم المالية'!E88</f>
        <v>0</v>
      </c>
      <c r="N349" s="410"/>
      <c r="O349" s="410"/>
      <c r="P349" s="311"/>
      <c r="Q349" s="409">
        <f t="shared" si="8"/>
        <v>0</v>
      </c>
      <c r="R349" s="410"/>
      <c r="S349" s="410"/>
      <c r="T349" s="311"/>
      <c r="U349" s="409">
        <f t="shared" si="9"/>
        <v>0</v>
      </c>
      <c r="V349" s="410"/>
      <c r="W349" s="410"/>
      <c r="X349" s="311"/>
      <c r="Y349" s="311"/>
      <c r="Z349" s="311"/>
      <c r="AA349" s="311"/>
      <c r="AB349" s="308"/>
      <c r="AC349" s="308"/>
      <c r="AD349" s="308"/>
      <c r="AE349" s="308"/>
      <c r="AF349" s="294" t="s">
        <v>2334</v>
      </c>
      <c r="AG349" s="306"/>
      <c r="AH349" s="302"/>
      <c r="AI349" s="302"/>
      <c r="AJ349" s="303"/>
      <c r="AK349" s="303"/>
    </row>
    <row r="350" spans="1:37" ht="15" customHeight="1" outlineLevel="4">
      <c r="A350" s="178" t="s">
        <v>3500</v>
      </c>
      <c r="B350" s="165" t="str">
        <f t="shared" si="10"/>
        <v>ن</v>
      </c>
      <c r="C350" s="164" t="str">
        <f t="shared" si="10"/>
        <v>ن2</v>
      </c>
      <c r="D350" s="164" t="str">
        <f t="shared" si="10"/>
        <v>ن2-2</v>
      </c>
      <c r="E350" s="164" t="str">
        <f t="shared" si="10"/>
        <v>ن2-2-8</v>
      </c>
      <c r="F350" s="171" t="s">
        <v>2359</v>
      </c>
      <c r="G350" s="406" t="s">
        <v>2358</v>
      </c>
      <c r="H350" s="406"/>
      <c r="I350" s="406"/>
      <c r="J350" s="406"/>
      <c r="K350" s="406"/>
      <c r="L350" s="406"/>
      <c r="M350" s="406"/>
      <c r="N350" s="406"/>
      <c r="O350" s="406"/>
      <c r="P350" s="406"/>
      <c r="Q350" s="406"/>
      <c r="R350" s="406"/>
      <c r="S350" s="406"/>
      <c r="T350" s="406"/>
      <c r="U350" s="406"/>
      <c r="V350" s="406"/>
      <c r="W350" s="406"/>
      <c r="X350" s="406"/>
      <c r="Y350" s="406"/>
      <c r="Z350" s="406"/>
      <c r="AA350" s="406"/>
      <c r="AB350" s="308"/>
      <c r="AC350" s="308"/>
      <c r="AD350" s="308"/>
      <c r="AE350" s="308"/>
      <c r="AF350" s="294" t="s">
        <v>2334</v>
      </c>
      <c r="AG350" s="306"/>
      <c r="AH350" s="302"/>
      <c r="AI350" s="302"/>
      <c r="AJ350" s="303"/>
      <c r="AK350" s="303"/>
    </row>
    <row r="351" spans="1:37" ht="15" customHeight="1" outlineLevel="4">
      <c r="A351" s="178" t="s">
        <v>3500</v>
      </c>
      <c r="B351" s="165" t="str">
        <f t="shared" si="10"/>
        <v>ن</v>
      </c>
      <c r="C351" s="164" t="str">
        <f t="shared" si="10"/>
        <v>ن2</v>
      </c>
      <c r="D351" s="164" t="str">
        <f t="shared" si="10"/>
        <v>ن2-2</v>
      </c>
      <c r="E351" s="164" t="str">
        <f t="shared" si="10"/>
        <v>ن2-2-8</v>
      </c>
      <c r="F351" s="171" t="s">
        <v>2357</v>
      </c>
      <c r="G351" s="386" t="s">
        <v>2356</v>
      </c>
      <c r="H351" s="386"/>
      <c r="I351" s="386"/>
      <c r="J351" s="386"/>
      <c r="K351" s="386"/>
      <c r="L351" s="386"/>
      <c r="M351" s="386"/>
      <c r="N351" s="386"/>
      <c r="O351" s="386"/>
      <c r="P351" s="386"/>
      <c r="Q351" s="386"/>
      <c r="R351" s="386"/>
      <c r="S351" s="386"/>
      <c r="T351" s="386"/>
      <c r="U351" s="386"/>
      <c r="V351" s="386"/>
      <c r="W351" s="386"/>
      <c r="X351" s="386"/>
      <c r="Y351" s="386"/>
      <c r="Z351" s="386"/>
      <c r="AA351" s="386"/>
      <c r="AB351" s="308"/>
      <c r="AC351" s="308"/>
      <c r="AD351" s="308"/>
      <c r="AE351" s="308"/>
      <c r="AF351" s="294" t="s">
        <v>2334</v>
      </c>
      <c r="AG351" s="306"/>
      <c r="AH351" s="302"/>
      <c r="AI351" s="302"/>
      <c r="AJ351" s="303"/>
      <c r="AK351" s="303"/>
    </row>
    <row r="352" spans="1:37" ht="15" customHeight="1" outlineLevel="4">
      <c r="A352" s="178" t="s">
        <v>3500</v>
      </c>
      <c r="B352" s="165" t="str">
        <f t="shared" si="10"/>
        <v>ن</v>
      </c>
      <c r="C352" s="164" t="str">
        <f t="shared" si="10"/>
        <v>ن2</v>
      </c>
      <c r="D352" s="164" t="str">
        <f t="shared" si="10"/>
        <v>ن2-2</v>
      </c>
      <c r="E352" s="164" t="str">
        <f t="shared" si="10"/>
        <v>ن2-2-8</v>
      </c>
      <c r="F352" s="171" t="s">
        <v>2355</v>
      </c>
      <c r="G352" s="412" t="s">
        <v>2354</v>
      </c>
      <c r="H352" s="412"/>
      <c r="I352" s="412"/>
      <c r="J352" s="412"/>
      <c r="K352" s="412"/>
      <c r="L352" s="412"/>
      <c r="M352" s="412"/>
      <c r="N352" s="412"/>
      <c r="O352" s="412"/>
      <c r="P352" s="412"/>
      <c r="Q352" s="412"/>
      <c r="R352" s="412"/>
      <c r="S352" s="412"/>
      <c r="T352" s="412"/>
      <c r="U352" s="412"/>
      <c r="V352" s="412"/>
      <c r="W352" s="412"/>
      <c r="X352" s="412"/>
      <c r="Y352" s="412"/>
      <c r="Z352" s="412"/>
      <c r="AA352" s="412"/>
      <c r="AB352" s="308"/>
      <c r="AC352" s="308"/>
      <c r="AD352" s="308"/>
      <c r="AE352" s="308"/>
      <c r="AF352" s="294" t="s">
        <v>2334</v>
      </c>
      <c r="AG352" s="306" t="s">
        <v>2152</v>
      </c>
      <c r="AH352" s="302"/>
      <c r="AI352" s="302"/>
      <c r="AJ352" s="303"/>
      <c r="AK352" s="303"/>
    </row>
    <row r="353" spans="1:37" ht="15" customHeight="1" outlineLevel="4">
      <c r="A353" s="178" t="s">
        <v>3500</v>
      </c>
      <c r="B353" s="165" t="str">
        <f t="shared" si="10"/>
        <v>ن</v>
      </c>
      <c r="C353" s="164" t="str">
        <f t="shared" si="10"/>
        <v>ن2</v>
      </c>
      <c r="D353" s="164" t="str">
        <f t="shared" si="10"/>
        <v>ن2-2</v>
      </c>
      <c r="E353" s="164" t="str">
        <f t="shared" si="10"/>
        <v>ن2-2-8</v>
      </c>
      <c r="F353" s="171" t="s">
        <v>2353</v>
      </c>
      <c r="G353" s="386" t="s">
        <v>2352</v>
      </c>
      <c r="H353" s="386"/>
      <c r="I353" s="386"/>
      <c r="J353" s="386"/>
      <c r="K353" s="386"/>
      <c r="L353" s="386"/>
      <c r="M353" s="386"/>
      <c r="N353" s="386"/>
      <c r="O353" s="386"/>
      <c r="P353" s="386"/>
      <c r="Q353" s="386"/>
      <c r="R353" s="386"/>
      <c r="S353" s="386"/>
      <c r="T353" s="386"/>
      <c r="U353" s="386"/>
      <c r="V353" s="386"/>
      <c r="W353" s="386"/>
      <c r="X353" s="386"/>
      <c r="Y353" s="386"/>
      <c r="Z353" s="386"/>
      <c r="AA353" s="386"/>
      <c r="AB353" s="308"/>
      <c r="AC353" s="308"/>
      <c r="AD353" s="308"/>
      <c r="AE353" s="308"/>
      <c r="AF353" s="294" t="s">
        <v>2334</v>
      </c>
      <c r="AG353" s="306"/>
      <c r="AH353" s="302"/>
      <c r="AI353" s="302"/>
      <c r="AJ353" s="303"/>
      <c r="AK353" s="303"/>
    </row>
    <row r="354" spans="1:37" ht="15" customHeight="1" outlineLevel="4">
      <c r="A354" s="178" t="s">
        <v>3500</v>
      </c>
      <c r="B354" s="165" t="str">
        <f t="shared" si="10"/>
        <v>ن</v>
      </c>
      <c r="C354" s="164" t="str">
        <f t="shared" si="10"/>
        <v>ن2</v>
      </c>
      <c r="D354" s="164" t="str">
        <f t="shared" si="10"/>
        <v>ن2-2</v>
      </c>
      <c r="E354" s="164" t="str">
        <f t="shared" si="10"/>
        <v>ن2-2-8</v>
      </c>
      <c r="F354" s="171" t="s">
        <v>2351</v>
      </c>
      <c r="G354" s="386" t="s">
        <v>2350</v>
      </c>
      <c r="H354" s="386"/>
      <c r="I354" s="386"/>
      <c r="J354" s="386"/>
      <c r="K354" s="386"/>
      <c r="L354" s="386"/>
      <c r="M354" s="386"/>
      <c r="N354" s="386"/>
      <c r="O354" s="386"/>
      <c r="P354" s="386"/>
      <c r="Q354" s="386"/>
      <c r="R354" s="386"/>
      <c r="S354" s="386"/>
      <c r="T354" s="386"/>
      <c r="U354" s="386"/>
      <c r="V354" s="386"/>
      <c r="W354" s="386"/>
      <c r="X354" s="386"/>
      <c r="Y354" s="386"/>
      <c r="Z354" s="386"/>
      <c r="AA354" s="386"/>
      <c r="AB354" s="308"/>
      <c r="AC354" s="308"/>
      <c r="AD354" s="308"/>
      <c r="AE354" s="308"/>
      <c r="AF354" s="294" t="s">
        <v>2334</v>
      </c>
      <c r="AG354" s="306"/>
      <c r="AH354" s="302"/>
      <c r="AI354" s="302"/>
      <c r="AJ354" s="303"/>
      <c r="AK354" s="303"/>
    </row>
    <row r="355" spans="1:37" ht="15" customHeight="1" outlineLevel="4">
      <c r="A355" s="178" t="s">
        <v>3500</v>
      </c>
      <c r="B355" s="165" t="str">
        <f t="shared" si="10"/>
        <v>ن</v>
      </c>
      <c r="C355" s="164" t="str">
        <f t="shared" si="10"/>
        <v>ن2</v>
      </c>
      <c r="D355" s="164" t="str">
        <f t="shared" si="10"/>
        <v>ن2-2</v>
      </c>
      <c r="E355" s="164" t="str">
        <f t="shared" si="10"/>
        <v>ن2-2-8</v>
      </c>
      <c r="F355" s="171" t="s">
        <v>2349</v>
      </c>
      <c r="G355" s="386" t="s">
        <v>2348</v>
      </c>
      <c r="H355" s="386"/>
      <c r="I355" s="386"/>
      <c r="J355" s="386"/>
      <c r="K355" s="386"/>
      <c r="L355" s="386"/>
      <c r="M355" s="386"/>
      <c r="N355" s="386"/>
      <c r="O355" s="386"/>
      <c r="P355" s="386"/>
      <c r="Q355" s="386"/>
      <c r="R355" s="386"/>
      <c r="S355" s="386"/>
      <c r="T355" s="386"/>
      <c r="U355" s="386"/>
      <c r="V355" s="386"/>
      <c r="W355" s="386"/>
      <c r="X355" s="386"/>
      <c r="Y355" s="386"/>
      <c r="Z355" s="386"/>
      <c r="AA355" s="386"/>
      <c r="AB355" s="308"/>
      <c r="AC355" s="308"/>
      <c r="AD355" s="308"/>
      <c r="AE355" s="308"/>
      <c r="AF355" s="294" t="s">
        <v>2334</v>
      </c>
      <c r="AG355" s="306" t="s">
        <v>2152</v>
      </c>
      <c r="AH355" s="302"/>
      <c r="AI355" s="302"/>
      <c r="AJ355" s="303"/>
      <c r="AK355" s="303"/>
    </row>
    <row r="356" spans="1:37" ht="15" hidden="1" customHeight="1" outlineLevel="4">
      <c r="B356" s="165" t="str">
        <f t="shared" si="10"/>
        <v>ن</v>
      </c>
      <c r="C356" s="164" t="str">
        <f t="shared" si="10"/>
        <v>ن2</v>
      </c>
      <c r="D356" s="164" t="str">
        <f t="shared" si="10"/>
        <v>ن2-2</v>
      </c>
      <c r="E356" s="164" t="str">
        <f t="shared" si="10"/>
        <v>ن2-2-8</v>
      </c>
      <c r="F356" s="171" t="s">
        <v>2347</v>
      </c>
      <c r="G356" s="295"/>
      <c r="H356" s="295"/>
      <c r="I356" s="295"/>
      <c r="J356" s="295"/>
      <c r="K356" s="295"/>
      <c r="L356" s="295"/>
      <c r="M356" s="295"/>
      <c r="N356" s="295"/>
      <c r="O356" s="295"/>
      <c r="P356" s="295"/>
      <c r="Q356" s="295"/>
      <c r="R356" s="295"/>
      <c r="S356" s="295"/>
      <c r="T356" s="295"/>
      <c r="U356" s="295"/>
      <c r="V356" s="295"/>
      <c r="W356" s="295"/>
      <c r="X356" s="295"/>
      <c r="Y356" s="295"/>
      <c r="Z356" s="295"/>
      <c r="AA356" s="295"/>
      <c r="AB356" s="308"/>
      <c r="AC356" s="308"/>
      <c r="AD356" s="308"/>
      <c r="AE356" s="308"/>
      <c r="AF356" s="294" t="s">
        <v>2334</v>
      </c>
      <c r="AG356" s="306"/>
      <c r="AH356" s="302"/>
      <c r="AI356" s="302"/>
      <c r="AJ356" s="303"/>
      <c r="AK356" s="303"/>
    </row>
    <row r="357" spans="1:37" ht="15" hidden="1" customHeight="1" outlineLevel="4">
      <c r="B357" s="165" t="str">
        <f t="shared" si="10"/>
        <v>ن</v>
      </c>
      <c r="C357" s="164" t="str">
        <f t="shared" si="10"/>
        <v>ن2</v>
      </c>
      <c r="D357" s="164" t="str">
        <f t="shared" si="10"/>
        <v>ن2-2</v>
      </c>
      <c r="E357" s="164" t="str">
        <f t="shared" si="10"/>
        <v>ن2-2-8</v>
      </c>
      <c r="F357" s="171" t="s">
        <v>2346</v>
      </c>
      <c r="G357" s="295"/>
      <c r="H357" s="295"/>
      <c r="I357" s="295"/>
      <c r="J357" s="295"/>
      <c r="K357" s="295"/>
      <c r="L357" s="295"/>
      <c r="M357" s="295"/>
      <c r="N357" s="295"/>
      <c r="O357" s="295"/>
      <c r="P357" s="295"/>
      <c r="Q357" s="295"/>
      <c r="R357" s="295"/>
      <c r="S357" s="295"/>
      <c r="T357" s="295"/>
      <c r="U357" s="295"/>
      <c r="V357" s="295"/>
      <c r="W357" s="295"/>
      <c r="X357" s="295"/>
      <c r="Y357" s="295"/>
      <c r="Z357" s="295"/>
      <c r="AA357" s="295"/>
      <c r="AB357" s="308"/>
      <c r="AC357" s="308"/>
      <c r="AD357" s="308"/>
      <c r="AE357" s="308"/>
      <c r="AF357" s="294" t="s">
        <v>2334</v>
      </c>
      <c r="AG357" s="306"/>
      <c r="AH357" s="302"/>
      <c r="AI357" s="302"/>
      <c r="AJ357" s="303"/>
      <c r="AK357" s="303"/>
    </row>
    <row r="358" spans="1:37" ht="15" hidden="1" customHeight="1" outlineLevel="4">
      <c r="B358" s="165" t="str">
        <f t="shared" si="10"/>
        <v>ن</v>
      </c>
      <c r="C358" s="164" t="str">
        <f t="shared" si="10"/>
        <v>ن2</v>
      </c>
      <c r="D358" s="164" t="str">
        <f t="shared" si="10"/>
        <v>ن2-2</v>
      </c>
      <c r="E358" s="164" t="str">
        <f t="shared" si="10"/>
        <v>ن2-2-8</v>
      </c>
      <c r="F358" s="171" t="s">
        <v>2345</v>
      </c>
      <c r="G358" s="295"/>
      <c r="H358" s="295"/>
      <c r="I358" s="295"/>
      <c r="J358" s="295"/>
      <c r="K358" s="295"/>
      <c r="L358" s="295"/>
      <c r="M358" s="295"/>
      <c r="N358" s="295"/>
      <c r="O358" s="295"/>
      <c r="P358" s="295"/>
      <c r="Q358" s="295"/>
      <c r="R358" s="295"/>
      <c r="S358" s="295"/>
      <c r="T358" s="295"/>
      <c r="U358" s="295"/>
      <c r="V358" s="295"/>
      <c r="W358" s="295"/>
      <c r="X358" s="295"/>
      <c r="Y358" s="295"/>
      <c r="Z358" s="295"/>
      <c r="AA358" s="295"/>
      <c r="AB358" s="308"/>
      <c r="AC358" s="308"/>
      <c r="AD358" s="308"/>
      <c r="AE358" s="308"/>
      <c r="AF358" s="294" t="s">
        <v>2334</v>
      </c>
      <c r="AG358" s="306"/>
      <c r="AH358" s="302"/>
      <c r="AI358" s="302"/>
      <c r="AJ358" s="303"/>
      <c r="AK358" s="303"/>
    </row>
    <row r="359" spans="1:37" ht="15" hidden="1" customHeight="1" outlineLevel="4">
      <c r="B359" s="165" t="str">
        <f t="shared" si="10"/>
        <v>ن</v>
      </c>
      <c r="C359" s="164" t="str">
        <f t="shared" si="10"/>
        <v>ن2</v>
      </c>
      <c r="D359" s="164" t="str">
        <f t="shared" si="10"/>
        <v>ن2-2</v>
      </c>
      <c r="E359" s="164" t="str">
        <f t="shared" si="10"/>
        <v>ن2-2-8</v>
      </c>
      <c r="F359" s="171" t="s">
        <v>2344</v>
      </c>
      <c r="G359" s="295"/>
      <c r="H359" s="295"/>
      <c r="I359" s="295"/>
      <c r="J359" s="295"/>
      <c r="K359" s="295"/>
      <c r="L359" s="295"/>
      <c r="M359" s="295"/>
      <c r="N359" s="295"/>
      <c r="O359" s="295"/>
      <c r="P359" s="295"/>
      <c r="Q359" s="295"/>
      <c r="R359" s="295"/>
      <c r="S359" s="295"/>
      <c r="T359" s="295"/>
      <c r="U359" s="295"/>
      <c r="V359" s="295"/>
      <c r="W359" s="295"/>
      <c r="X359" s="295"/>
      <c r="Y359" s="295"/>
      <c r="Z359" s="295"/>
      <c r="AA359" s="295"/>
      <c r="AB359" s="308"/>
      <c r="AC359" s="308"/>
      <c r="AD359" s="308"/>
      <c r="AE359" s="308"/>
      <c r="AF359" s="294" t="s">
        <v>2334</v>
      </c>
      <c r="AG359" s="306"/>
      <c r="AH359" s="302"/>
      <c r="AI359" s="302"/>
      <c r="AJ359" s="303"/>
      <c r="AK359" s="303"/>
    </row>
    <row r="360" spans="1:37" ht="15" hidden="1" customHeight="1" outlineLevel="4">
      <c r="B360" s="165" t="str">
        <f t="shared" si="10"/>
        <v>ن</v>
      </c>
      <c r="C360" s="164" t="str">
        <f t="shared" si="10"/>
        <v>ن2</v>
      </c>
      <c r="D360" s="164" t="str">
        <f t="shared" si="10"/>
        <v>ن2-2</v>
      </c>
      <c r="E360" s="164" t="str">
        <f t="shared" si="10"/>
        <v>ن2-2-8</v>
      </c>
      <c r="F360" s="171" t="s">
        <v>2343</v>
      </c>
      <c r="G360" s="295"/>
      <c r="H360" s="295"/>
      <c r="I360" s="295"/>
      <c r="J360" s="295"/>
      <c r="K360" s="295"/>
      <c r="L360" s="295"/>
      <c r="M360" s="295"/>
      <c r="N360" s="295"/>
      <c r="O360" s="295"/>
      <c r="P360" s="295"/>
      <c r="Q360" s="295"/>
      <c r="R360" s="295"/>
      <c r="S360" s="295"/>
      <c r="T360" s="295"/>
      <c r="U360" s="295"/>
      <c r="V360" s="295"/>
      <c r="W360" s="295"/>
      <c r="X360" s="295"/>
      <c r="Y360" s="295"/>
      <c r="Z360" s="295"/>
      <c r="AA360" s="295"/>
      <c r="AB360" s="308"/>
      <c r="AC360" s="308"/>
      <c r="AD360" s="308"/>
      <c r="AE360" s="308"/>
      <c r="AF360" s="294" t="s">
        <v>2334</v>
      </c>
      <c r="AG360" s="306"/>
      <c r="AH360" s="302"/>
      <c r="AI360" s="302"/>
      <c r="AJ360" s="303"/>
      <c r="AK360" s="303"/>
    </row>
    <row r="361" spans="1:37" ht="15" hidden="1" customHeight="1" outlineLevel="4">
      <c r="B361" s="165" t="str">
        <f t="shared" si="10"/>
        <v>ن</v>
      </c>
      <c r="C361" s="164" t="str">
        <f t="shared" si="10"/>
        <v>ن2</v>
      </c>
      <c r="D361" s="164" t="str">
        <f t="shared" si="10"/>
        <v>ن2-2</v>
      </c>
      <c r="E361" s="164" t="str">
        <f t="shared" si="10"/>
        <v>ن2-2-8</v>
      </c>
      <c r="F361" s="171" t="s">
        <v>2342</v>
      </c>
      <c r="G361" s="295"/>
      <c r="H361" s="295"/>
      <c r="I361" s="295"/>
      <c r="J361" s="295"/>
      <c r="K361" s="295"/>
      <c r="L361" s="295"/>
      <c r="M361" s="295"/>
      <c r="N361" s="295"/>
      <c r="O361" s="295"/>
      <c r="P361" s="295"/>
      <c r="Q361" s="295"/>
      <c r="R361" s="295"/>
      <c r="S361" s="295"/>
      <c r="T361" s="295"/>
      <c r="U361" s="295"/>
      <c r="V361" s="295"/>
      <c r="W361" s="295"/>
      <c r="X361" s="295"/>
      <c r="Y361" s="295"/>
      <c r="Z361" s="295"/>
      <c r="AA361" s="295"/>
      <c r="AB361" s="308"/>
      <c r="AC361" s="308"/>
      <c r="AD361" s="308"/>
      <c r="AE361" s="308"/>
      <c r="AF361" s="294" t="s">
        <v>2334</v>
      </c>
      <c r="AG361" s="306"/>
      <c r="AH361" s="302"/>
      <c r="AI361" s="302"/>
      <c r="AJ361" s="303"/>
      <c r="AK361" s="303"/>
    </row>
    <row r="362" spans="1:37" ht="15" hidden="1" customHeight="1" outlineLevel="4">
      <c r="B362" s="165" t="str">
        <f t="shared" si="10"/>
        <v>ن</v>
      </c>
      <c r="C362" s="164" t="str">
        <f t="shared" si="10"/>
        <v>ن2</v>
      </c>
      <c r="D362" s="164" t="str">
        <f t="shared" si="10"/>
        <v>ن2-2</v>
      </c>
      <c r="E362" s="164" t="str">
        <f t="shared" si="10"/>
        <v>ن2-2-8</v>
      </c>
      <c r="F362" s="171" t="s">
        <v>2341</v>
      </c>
      <c r="G362" s="295"/>
      <c r="H362" s="295"/>
      <c r="I362" s="295"/>
      <c r="J362" s="295"/>
      <c r="K362" s="295"/>
      <c r="L362" s="295"/>
      <c r="M362" s="295"/>
      <c r="N362" s="295"/>
      <c r="O362" s="295"/>
      <c r="P362" s="295"/>
      <c r="Q362" s="295"/>
      <c r="R362" s="295"/>
      <c r="S362" s="295"/>
      <c r="T362" s="295"/>
      <c r="U362" s="295"/>
      <c r="V362" s="295"/>
      <c r="W362" s="295"/>
      <c r="X362" s="295"/>
      <c r="Y362" s="295"/>
      <c r="Z362" s="295"/>
      <c r="AA362" s="295"/>
      <c r="AB362" s="308"/>
      <c r="AC362" s="308"/>
      <c r="AD362" s="308"/>
      <c r="AE362" s="308"/>
      <c r="AF362" s="294" t="s">
        <v>2334</v>
      </c>
      <c r="AG362" s="306"/>
      <c r="AH362" s="302"/>
      <c r="AI362" s="302"/>
      <c r="AJ362" s="303"/>
      <c r="AK362" s="303"/>
    </row>
    <row r="363" spans="1:37" ht="15" customHeight="1" outlineLevel="4">
      <c r="A363" s="178" t="s">
        <v>3500</v>
      </c>
      <c r="B363" s="165" t="str">
        <f t="shared" si="10"/>
        <v>ن</v>
      </c>
      <c r="C363" s="164" t="str">
        <f t="shared" si="10"/>
        <v>ن2</v>
      </c>
      <c r="D363" s="164" t="str">
        <f t="shared" si="10"/>
        <v>ن2-2</v>
      </c>
      <c r="E363" s="164" t="str">
        <f t="shared" si="10"/>
        <v>ن2-2-8</v>
      </c>
      <c r="F363" s="171" t="s">
        <v>2340</v>
      </c>
      <c r="G363" s="386" t="s">
        <v>2339</v>
      </c>
      <c r="H363" s="386"/>
      <c r="I363" s="386"/>
      <c r="J363" s="386"/>
      <c r="K363" s="386"/>
      <c r="L363" s="386"/>
      <c r="M363" s="386"/>
      <c r="N363" s="386"/>
      <c r="O363" s="386"/>
      <c r="P363" s="386"/>
      <c r="Q363" s="386"/>
      <c r="R363" s="386"/>
      <c r="S363" s="386"/>
      <c r="T363" s="386"/>
      <c r="U363" s="386"/>
      <c r="V363" s="386"/>
      <c r="W363" s="386"/>
      <c r="X363" s="386"/>
      <c r="Y363" s="386"/>
      <c r="Z363" s="386"/>
      <c r="AA363" s="386"/>
      <c r="AB363" s="308"/>
      <c r="AC363" s="308"/>
      <c r="AD363" s="308"/>
      <c r="AE363" s="308"/>
      <c r="AF363" s="294" t="s">
        <v>2334</v>
      </c>
      <c r="AG363" s="306"/>
      <c r="AH363" s="302"/>
      <c r="AI363" s="302"/>
      <c r="AJ363" s="303"/>
      <c r="AK363" s="303"/>
    </row>
    <row r="364" spans="1:37" ht="39" customHeight="1" outlineLevel="4">
      <c r="A364" s="178" t="s">
        <v>3500</v>
      </c>
      <c r="B364" s="165" t="str">
        <f t="shared" si="10"/>
        <v>ن</v>
      </c>
      <c r="C364" s="164" t="str">
        <f t="shared" si="10"/>
        <v>ن2</v>
      </c>
      <c r="D364" s="164" t="str">
        <f t="shared" si="10"/>
        <v>ن2-2</v>
      </c>
      <c r="E364" s="164" t="str">
        <f t="shared" si="10"/>
        <v>ن2-2-8</v>
      </c>
      <c r="F364" s="171" t="s">
        <v>2338</v>
      </c>
      <c r="G364" s="413" t="s">
        <v>2337</v>
      </c>
      <c r="H364" s="413"/>
      <c r="I364" s="413"/>
      <c r="J364" s="413"/>
      <c r="K364" s="413"/>
      <c r="L364" s="413"/>
      <c r="M364" s="413"/>
      <c r="N364" s="413"/>
      <c r="O364" s="413"/>
      <c r="P364" s="413"/>
      <c r="Q364" s="413"/>
      <c r="R364" s="413"/>
      <c r="S364" s="413"/>
      <c r="T364" s="413"/>
      <c r="U364" s="413"/>
      <c r="V364" s="413"/>
      <c r="W364" s="413"/>
      <c r="X364" s="413"/>
      <c r="Y364" s="413"/>
      <c r="Z364" s="413"/>
      <c r="AA364" s="413"/>
      <c r="AB364" s="308"/>
      <c r="AC364" s="308"/>
      <c r="AD364" s="308"/>
      <c r="AE364" s="308"/>
      <c r="AF364" s="294" t="s">
        <v>2334</v>
      </c>
      <c r="AG364" s="306" t="s">
        <v>2336</v>
      </c>
      <c r="AH364" s="302"/>
      <c r="AI364" s="302"/>
      <c r="AJ364" s="303"/>
      <c r="AK364" s="303"/>
    </row>
    <row r="365" spans="1:37" ht="9" hidden="1" customHeight="1" outlineLevel="3" thickBot="1">
      <c r="B365" s="165" t="str">
        <f t="shared" si="10"/>
        <v>ن</v>
      </c>
      <c r="C365" s="164" t="str">
        <f t="shared" si="10"/>
        <v>ن2</v>
      </c>
      <c r="D365" s="164" t="str">
        <f t="shared" si="10"/>
        <v>ن2-2</v>
      </c>
      <c r="E365" s="164" t="str">
        <f t="shared" si="10"/>
        <v>ن2-2-8</v>
      </c>
      <c r="F365" s="171" t="s">
        <v>2335</v>
      </c>
      <c r="G365" s="295"/>
      <c r="H365" s="295"/>
      <c r="I365" s="295"/>
      <c r="J365" s="295"/>
      <c r="K365" s="295"/>
      <c r="L365" s="295"/>
      <c r="M365" s="295"/>
      <c r="N365" s="295"/>
      <c r="O365" s="295"/>
      <c r="P365" s="295"/>
      <c r="Q365" s="295"/>
      <c r="R365" s="295"/>
      <c r="S365" s="295"/>
      <c r="T365" s="295"/>
      <c r="U365" s="295"/>
      <c r="V365" s="295"/>
      <c r="W365" s="295"/>
      <c r="X365" s="295"/>
      <c r="Y365" s="295"/>
      <c r="Z365" s="295"/>
      <c r="AA365" s="295"/>
      <c r="AB365" s="308"/>
      <c r="AC365" s="308"/>
      <c r="AD365" s="308"/>
      <c r="AE365" s="308"/>
      <c r="AF365" s="294" t="s">
        <v>2334</v>
      </c>
      <c r="AG365" s="306"/>
      <c r="AH365" s="302"/>
      <c r="AI365" s="302"/>
      <c r="AJ365" s="303"/>
      <c r="AK365" s="303"/>
    </row>
    <row r="366" spans="1:37" ht="12.6" hidden="1" customHeight="1" outlineLevel="3" thickTop="1" thickBot="1">
      <c r="A366" s="178" t="s">
        <v>189</v>
      </c>
      <c r="B366" s="165" t="str">
        <f t="shared" si="10"/>
        <v>ن</v>
      </c>
      <c r="C366" s="164" t="str">
        <f t="shared" si="10"/>
        <v>ن2</v>
      </c>
      <c r="D366" s="184" t="str">
        <f t="shared" si="10"/>
        <v>ن2-2</v>
      </c>
      <c r="E366" s="183" t="s">
        <v>2333</v>
      </c>
      <c r="F366" s="183" t="s">
        <v>2333</v>
      </c>
      <c r="G366" s="384" t="s">
        <v>2332</v>
      </c>
      <c r="H366" s="384"/>
      <c r="I366" s="384"/>
      <c r="J366" s="384"/>
      <c r="K366" s="384"/>
      <c r="L366" s="384"/>
      <c r="M366" s="384"/>
      <c r="N366" s="384"/>
      <c r="O366" s="384"/>
      <c r="P366" s="384"/>
      <c r="Q366" s="384"/>
      <c r="R366" s="384"/>
      <c r="S366" s="384"/>
      <c r="T366" s="384"/>
      <c r="U366" s="384"/>
      <c r="V366" s="384"/>
      <c r="W366" s="384"/>
      <c r="X366" s="384"/>
      <c r="Y366" s="384"/>
      <c r="Z366" s="384"/>
      <c r="AA366" s="384"/>
      <c r="AB366" s="182" t="s">
        <v>2110</v>
      </c>
      <c r="AC366" s="181"/>
      <c r="AD366" s="181"/>
      <c r="AE366" s="181"/>
      <c r="AF366" s="179"/>
      <c r="AG366" s="179"/>
      <c r="AH366" s="180"/>
      <c r="AI366" s="180"/>
      <c r="AJ366" s="179"/>
      <c r="AK366" s="179"/>
    </row>
    <row r="367" spans="1:37" ht="15" customHeight="1" outlineLevel="4">
      <c r="A367" s="178" t="s">
        <v>3500</v>
      </c>
      <c r="B367" s="165" t="str">
        <f t="shared" si="10"/>
        <v>ن</v>
      </c>
      <c r="C367" s="164" t="str">
        <f t="shared" si="10"/>
        <v>ن2</v>
      </c>
      <c r="D367" s="164" t="str">
        <f t="shared" si="10"/>
        <v>ن2-2</v>
      </c>
      <c r="E367" s="164" t="str">
        <f t="shared" si="10"/>
        <v>ن2-2-9</v>
      </c>
      <c r="F367" s="171" t="s">
        <v>2331</v>
      </c>
      <c r="G367" s="386" t="s">
        <v>2330</v>
      </c>
      <c r="H367" s="386"/>
      <c r="I367" s="386"/>
      <c r="J367" s="386"/>
      <c r="K367" s="386"/>
      <c r="L367" s="386"/>
      <c r="M367" s="386"/>
      <c r="N367" s="386"/>
      <c r="O367" s="386"/>
      <c r="P367" s="386"/>
      <c r="Q367" s="386"/>
      <c r="R367" s="386"/>
      <c r="S367" s="386"/>
      <c r="T367" s="386"/>
      <c r="U367" s="386"/>
      <c r="V367" s="386"/>
      <c r="W367" s="386"/>
      <c r="X367" s="386"/>
      <c r="Y367" s="386"/>
      <c r="Z367" s="386"/>
      <c r="AA367" s="386"/>
      <c r="AF367" s="158"/>
    </row>
    <row r="368" spans="1:37" ht="15" customHeight="1" outlineLevel="4">
      <c r="A368" s="178" t="s">
        <v>3500</v>
      </c>
      <c r="B368" s="165" t="str">
        <f t="shared" si="10"/>
        <v>ن</v>
      </c>
      <c r="C368" s="164" t="str">
        <f t="shared" si="10"/>
        <v>ن2</v>
      </c>
      <c r="D368" s="164" t="str">
        <f t="shared" si="10"/>
        <v>ن2-2</v>
      </c>
      <c r="E368" s="164" t="str">
        <f t="shared" si="10"/>
        <v>ن2-2-9</v>
      </c>
      <c r="F368" s="171" t="s">
        <v>2329</v>
      </c>
      <c r="G368" s="386" t="e">
        <f>'[1]اوراق العمل'!#REF!</f>
        <v>#REF!</v>
      </c>
      <c r="H368" s="386"/>
      <c r="I368" s="386"/>
      <c r="J368" s="386"/>
      <c r="K368" s="386"/>
      <c r="L368" s="386"/>
      <c r="M368" s="386"/>
      <c r="N368" s="386"/>
      <c r="O368" s="386"/>
      <c r="P368" s="386"/>
      <c r="Q368" s="386"/>
      <c r="R368" s="386"/>
      <c r="S368" s="386"/>
      <c r="T368" s="386"/>
      <c r="U368" s="386"/>
      <c r="V368" s="386"/>
      <c r="W368" s="386"/>
      <c r="X368" s="386"/>
      <c r="Y368" s="386"/>
      <c r="Z368" s="386"/>
      <c r="AA368" s="386"/>
      <c r="AF368" s="158"/>
    </row>
    <row r="369" spans="1:37" ht="15" customHeight="1" outlineLevel="4">
      <c r="A369" s="178" t="s">
        <v>3500</v>
      </c>
      <c r="B369" s="165" t="str">
        <f t="shared" si="10"/>
        <v>ن</v>
      </c>
      <c r="C369" s="164" t="str">
        <f t="shared" si="10"/>
        <v>ن2</v>
      </c>
      <c r="D369" s="164" t="str">
        <f t="shared" si="10"/>
        <v>ن2-2</v>
      </c>
      <c r="E369" s="164" t="str">
        <f t="shared" si="10"/>
        <v>ن2-2-9</v>
      </c>
      <c r="F369" s="171" t="s">
        <v>2328</v>
      </c>
      <c r="G369" s="386" t="e">
        <f>'[1]اوراق العمل'!#REF!</f>
        <v>#REF!</v>
      </c>
      <c r="H369" s="386"/>
      <c r="I369" s="386"/>
      <c r="J369" s="386"/>
      <c r="K369" s="386"/>
      <c r="L369" s="386"/>
      <c r="M369" s="386"/>
      <c r="N369" s="386"/>
      <c r="O369" s="386"/>
      <c r="P369" s="386"/>
      <c r="Q369" s="386"/>
      <c r="R369" s="386"/>
      <c r="S369" s="386"/>
      <c r="T369" s="386"/>
      <c r="U369" s="386"/>
      <c r="V369" s="386"/>
      <c r="W369" s="386"/>
      <c r="X369" s="386"/>
      <c r="Y369" s="386"/>
      <c r="Z369" s="386"/>
      <c r="AA369" s="386"/>
      <c r="AF369" s="158"/>
    </row>
    <row r="370" spans="1:37" ht="15" customHeight="1" outlineLevel="4">
      <c r="A370" s="178" t="s">
        <v>3500</v>
      </c>
      <c r="B370" s="165" t="str">
        <f t="shared" si="10"/>
        <v>ن</v>
      </c>
      <c r="C370" s="164" t="str">
        <f t="shared" si="10"/>
        <v>ن2</v>
      </c>
      <c r="D370" s="164" t="str">
        <f t="shared" si="10"/>
        <v>ن2-2</v>
      </c>
      <c r="E370" s="164" t="str">
        <f t="shared" si="10"/>
        <v>ن2-2-9</v>
      </c>
      <c r="F370" s="171" t="s">
        <v>2327</v>
      </c>
      <c r="G370" s="386" t="e">
        <f>'[1]اوراق العمل'!#REF!</f>
        <v>#REF!</v>
      </c>
      <c r="H370" s="386"/>
      <c r="I370" s="386"/>
      <c r="J370" s="386"/>
      <c r="K370" s="386"/>
      <c r="L370" s="386"/>
      <c r="M370" s="386"/>
      <c r="N370" s="386"/>
      <c r="O370" s="386"/>
      <c r="P370" s="386"/>
      <c r="Q370" s="386"/>
      <c r="R370" s="386"/>
      <c r="S370" s="386"/>
      <c r="T370" s="386"/>
      <c r="U370" s="386"/>
      <c r="V370" s="386"/>
      <c r="W370" s="386"/>
      <c r="X370" s="386"/>
      <c r="Y370" s="386"/>
      <c r="Z370" s="386"/>
      <c r="AA370" s="386"/>
      <c r="AF370" s="158"/>
    </row>
    <row r="371" spans="1:37" ht="15" customHeight="1" outlineLevel="4">
      <c r="A371" s="178" t="s">
        <v>3500</v>
      </c>
      <c r="B371" s="165" t="str">
        <f t="shared" si="10"/>
        <v>ن</v>
      </c>
      <c r="C371" s="164" t="str">
        <f t="shared" si="10"/>
        <v>ن2</v>
      </c>
      <c r="D371" s="164" t="str">
        <f t="shared" si="10"/>
        <v>ن2-2</v>
      </c>
      <c r="E371" s="164" t="str">
        <f t="shared" si="10"/>
        <v>ن2-2-9</v>
      </c>
      <c r="F371" s="171" t="s">
        <v>2326</v>
      </c>
      <c r="G371" s="386">
        <f>'[1]اوراق العمل'!CE2</f>
        <v>0</v>
      </c>
      <c r="H371" s="386"/>
      <c r="I371" s="386"/>
      <c r="J371" s="386"/>
      <c r="K371" s="386"/>
      <c r="L371" s="386"/>
      <c r="M371" s="386"/>
      <c r="N371" s="386"/>
      <c r="O371" s="386"/>
      <c r="P371" s="386"/>
      <c r="Q371" s="386"/>
      <c r="R371" s="386"/>
      <c r="S371" s="386"/>
      <c r="T371" s="386"/>
      <c r="U371" s="386"/>
      <c r="V371" s="386"/>
      <c r="W371" s="386"/>
      <c r="X371" s="386"/>
      <c r="Y371" s="386"/>
      <c r="Z371" s="386"/>
      <c r="AA371" s="386"/>
      <c r="AF371" s="158"/>
    </row>
    <row r="372" spans="1:37" ht="15" customHeight="1" outlineLevel="4">
      <c r="A372" s="178" t="s">
        <v>3500</v>
      </c>
      <c r="B372" s="165" t="str">
        <f t="shared" si="10"/>
        <v>ن</v>
      </c>
      <c r="C372" s="164" t="str">
        <f t="shared" si="10"/>
        <v>ن2</v>
      </c>
      <c r="D372" s="164" t="str">
        <f t="shared" si="10"/>
        <v>ن2-2</v>
      </c>
      <c r="E372" s="164" t="str">
        <f t="shared" si="10"/>
        <v>ن2-2-9</v>
      </c>
      <c r="F372" s="171" t="s">
        <v>2325</v>
      </c>
      <c r="G372" s="386">
        <f>'[1]اوراق العمل'!CE3</f>
        <v>0</v>
      </c>
      <c r="H372" s="386"/>
      <c r="I372" s="386"/>
      <c r="J372" s="386"/>
      <c r="K372" s="386"/>
      <c r="L372" s="386"/>
      <c r="M372" s="386"/>
      <c r="N372" s="386"/>
      <c r="O372" s="386"/>
      <c r="P372" s="386"/>
      <c r="Q372" s="386"/>
      <c r="R372" s="386"/>
      <c r="S372" s="386"/>
      <c r="T372" s="386"/>
      <c r="U372" s="386"/>
      <c r="V372" s="386"/>
      <c r="W372" s="386"/>
      <c r="X372" s="386"/>
      <c r="Y372" s="386"/>
      <c r="Z372" s="386"/>
      <c r="AA372" s="386"/>
      <c r="AF372" s="158"/>
    </row>
    <row r="373" spans="1:37" ht="15" customHeight="1" outlineLevel="4">
      <c r="A373" s="178" t="s">
        <v>3500</v>
      </c>
      <c r="B373" s="165" t="str">
        <f t="shared" si="10"/>
        <v>ن</v>
      </c>
      <c r="C373" s="164" t="str">
        <f t="shared" si="10"/>
        <v>ن2</v>
      </c>
      <c r="D373" s="164" t="str">
        <f t="shared" si="10"/>
        <v>ن2-2</v>
      </c>
      <c r="E373" s="164" t="str">
        <f t="shared" si="10"/>
        <v>ن2-2-9</v>
      </c>
      <c r="F373" s="171" t="s">
        <v>2324</v>
      </c>
      <c r="G373" s="386">
        <f>'[1]اوراق العمل'!CE4</f>
        <v>0</v>
      </c>
      <c r="H373" s="386"/>
      <c r="I373" s="386"/>
      <c r="J373" s="386"/>
      <c r="K373" s="386"/>
      <c r="L373" s="386"/>
      <c r="M373" s="386"/>
      <c r="N373" s="386"/>
      <c r="O373" s="386"/>
      <c r="P373" s="386"/>
      <c r="Q373" s="386"/>
      <c r="R373" s="386"/>
      <c r="S373" s="386"/>
      <c r="T373" s="386"/>
      <c r="U373" s="386"/>
      <c r="V373" s="386"/>
      <c r="W373" s="386"/>
      <c r="X373" s="386"/>
      <c r="Y373" s="386"/>
      <c r="Z373" s="386"/>
      <c r="AA373" s="386"/>
      <c r="AF373" s="158"/>
    </row>
    <row r="374" spans="1:37" ht="15" customHeight="1" outlineLevel="4">
      <c r="A374" s="178" t="s">
        <v>3500</v>
      </c>
      <c r="B374" s="165" t="str">
        <f t="shared" si="10"/>
        <v>ن</v>
      </c>
      <c r="C374" s="164" t="str">
        <f t="shared" si="10"/>
        <v>ن2</v>
      </c>
      <c r="D374" s="164" t="str">
        <f t="shared" si="10"/>
        <v>ن2-2</v>
      </c>
      <c r="E374" s="164" t="str">
        <f t="shared" si="10"/>
        <v>ن2-2-9</v>
      </c>
      <c r="F374" s="171" t="s">
        <v>2323</v>
      </c>
      <c r="G374" s="386" t="s">
        <v>2322</v>
      </c>
      <c r="H374" s="386"/>
      <c r="I374" s="386"/>
      <c r="J374" s="386"/>
      <c r="K374" s="386"/>
      <c r="L374" s="386"/>
      <c r="M374" s="386"/>
      <c r="N374" s="386"/>
      <c r="O374" s="386"/>
      <c r="P374" s="386"/>
      <c r="Q374" s="386"/>
      <c r="R374" s="386"/>
      <c r="S374" s="386"/>
      <c r="T374" s="386"/>
      <c r="U374" s="386"/>
      <c r="V374" s="386"/>
      <c r="W374" s="386"/>
      <c r="X374" s="386"/>
      <c r="Y374" s="386"/>
      <c r="Z374" s="386"/>
      <c r="AA374" s="386"/>
      <c r="AF374" s="158"/>
      <c r="AG374" s="158" t="s">
        <v>2121</v>
      </c>
    </row>
    <row r="375" spans="1:37" ht="15" customHeight="1" outlineLevel="4">
      <c r="A375" s="178" t="s">
        <v>3500</v>
      </c>
      <c r="B375" s="165" t="str">
        <f t="shared" si="10"/>
        <v>ن</v>
      </c>
      <c r="C375" s="164" t="str">
        <f t="shared" si="10"/>
        <v>ن2</v>
      </c>
      <c r="D375" s="164" t="str">
        <f t="shared" si="10"/>
        <v>ن2-2</v>
      </c>
      <c r="E375" s="164" t="str">
        <f t="shared" si="10"/>
        <v>ن2-2-9</v>
      </c>
      <c r="F375" s="171" t="s">
        <v>2321</v>
      </c>
      <c r="G375" s="386" t="s">
        <v>2320</v>
      </c>
      <c r="H375" s="386"/>
      <c r="I375" s="386"/>
      <c r="J375" s="386"/>
      <c r="K375" s="386"/>
      <c r="L375" s="386"/>
      <c r="M375" s="386"/>
      <c r="N375" s="386"/>
      <c r="O375" s="386"/>
      <c r="P375" s="386"/>
      <c r="Q375" s="386"/>
      <c r="R375" s="386"/>
      <c r="S375" s="386"/>
      <c r="T375" s="386"/>
      <c r="U375" s="386"/>
      <c r="V375" s="386"/>
      <c r="W375" s="386"/>
      <c r="X375" s="386"/>
      <c r="Y375" s="386"/>
      <c r="Z375" s="386"/>
      <c r="AA375" s="386"/>
      <c r="AF375" s="158"/>
    </row>
    <row r="376" spans="1:37" ht="9" hidden="1" customHeight="1" outlineLevel="3" thickBot="1">
      <c r="B376" s="165" t="str">
        <f t="shared" si="10"/>
        <v>ن</v>
      </c>
      <c r="C376" s="164" t="str">
        <f t="shared" si="10"/>
        <v>ن2</v>
      </c>
      <c r="D376" s="164" t="str">
        <f t="shared" si="10"/>
        <v>ن2-2</v>
      </c>
      <c r="E376" s="164" t="str">
        <f t="shared" si="10"/>
        <v>ن2-2-9</v>
      </c>
      <c r="F376" s="171"/>
      <c r="G376" s="295"/>
      <c r="H376" s="295"/>
      <c r="I376" s="295"/>
      <c r="J376" s="295"/>
      <c r="K376" s="295"/>
      <c r="L376" s="295"/>
      <c r="M376" s="295"/>
      <c r="N376" s="295"/>
      <c r="O376" s="295"/>
      <c r="P376" s="295"/>
      <c r="Q376" s="295"/>
      <c r="R376" s="295"/>
      <c r="S376" s="295"/>
      <c r="T376" s="295"/>
      <c r="U376" s="295"/>
      <c r="V376" s="295"/>
      <c r="W376" s="295"/>
      <c r="X376" s="295"/>
      <c r="Y376" s="295"/>
      <c r="Z376" s="295"/>
      <c r="AA376" s="295"/>
      <c r="AF376" s="158"/>
    </row>
    <row r="377" spans="1:37" ht="12.6" hidden="1" customHeight="1" outlineLevel="3" thickTop="1" thickBot="1">
      <c r="A377" s="178" t="s">
        <v>189</v>
      </c>
      <c r="B377" s="165" t="str">
        <f t="shared" si="10"/>
        <v>ن</v>
      </c>
      <c r="C377" s="164" t="str">
        <f t="shared" si="10"/>
        <v>ن2</v>
      </c>
      <c r="D377" s="184" t="str">
        <f t="shared" si="10"/>
        <v>ن2-2</v>
      </c>
      <c r="E377" s="183" t="s">
        <v>2319</v>
      </c>
      <c r="F377" s="183" t="s">
        <v>2319</v>
      </c>
      <c r="G377" s="384" t="s">
        <v>2318</v>
      </c>
      <c r="H377" s="384"/>
      <c r="I377" s="384"/>
      <c r="J377" s="384"/>
      <c r="K377" s="384"/>
      <c r="L377" s="384"/>
      <c r="M377" s="384"/>
      <c r="N377" s="384"/>
      <c r="O377" s="384"/>
      <c r="P377" s="384"/>
      <c r="Q377" s="384"/>
      <c r="R377" s="384"/>
      <c r="S377" s="384"/>
      <c r="T377" s="384"/>
      <c r="U377" s="384"/>
      <c r="V377" s="384"/>
      <c r="W377" s="384"/>
      <c r="X377" s="384"/>
      <c r="Y377" s="384"/>
      <c r="Z377" s="384"/>
      <c r="AA377" s="384"/>
      <c r="AB377" s="182" t="s">
        <v>2110</v>
      </c>
      <c r="AC377" s="181"/>
      <c r="AD377" s="181"/>
      <c r="AE377" s="181"/>
      <c r="AF377" s="179"/>
      <c r="AG377" s="179"/>
      <c r="AH377" s="180"/>
      <c r="AI377" s="180"/>
      <c r="AJ377" s="179"/>
      <c r="AK377" s="179"/>
    </row>
    <row r="378" spans="1:37" ht="15" customHeight="1" outlineLevel="4">
      <c r="A378" s="178" t="s">
        <v>3500</v>
      </c>
      <c r="B378" s="165" t="str">
        <f t="shared" si="10"/>
        <v>ن</v>
      </c>
      <c r="C378" s="164" t="str">
        <f t="shared" si="10"/>
        <v>ن2</v>
      </c>
      <c r="D378" s="164" t="str">
        <f t="shared" si="10"/>
        <v>ن2-2</v>
      </c>
      <c r="E378" s="164" t="str">
        <f>E377</f>
        <v>ن2-2-10</v>
      </c>
      <c r="F378" s="171" t="s">
        <v>2317</v>
      </c>
      <c r="G378" s="386" t="s">
        <v>2316</v>
      </c>
      <c r="H378" s="386"/>
      <c r="I378" s="386"/>
      <c r="J378" s="386"/>
      <c r="K378" s="386"/>
      <c r="L378" s="386"/>
      <c r="M378" s="386"/>
      <c r="N378" s="386"/>
      <c r="O378" s="386"/>
      <c r="P378" s="386"/>
      <c r="Q378" s="386"/>
      <c r="R378" s="386"/>
      <c r="S378" s="386"/>
      <c r="T378" s="386"/>
      <c r="U378" s="386"/>
      <c r="V378" s="386"/>
      <c r="W378" s="386"/>
      <c r="X378" s="386"/>
      <c r="Y378" s="386"/>
      <c r="Z378" s="386"/>
      <c r="AA378" s="386"/>
      <c r="AF378" s="158"/>
    </row>
    <row r="379" spans="1:37" ht="15" customHeight="1" outlineLevel="4">
      <c r="A379" s="178" t="s">
        <v>3500</v>
      </c>
      <c r="B379" s="165" t="str">
        <f t="shared" si="10"/>
        <v>ن</v>
      </c>
      <c r="C379" s="164" t="str">
        <f t="shared" si="10"/>
        <v>ن2</v>
      </c>
      <c r="D379" s="164" t="str">
        <f t="shared" si="10"/>
        <v>ن2-2</v>
      </c>
      <c r="E379" s="164" t="str">
        <f>E378</f>
        <v>ن2-2-10</v>
      </c>
      <c r="F379" s="171" t="s">
        <v>2315</v>
      </c>
      <c r="G379" s="386" t="s">
        <v>2314</v>
      </c>
      <c r="H379" s="386"/>
      <c r="I379" s="386"/>
      <c r="J379" s="386"/>
      <c r="K379" s="386"/>
      <c r="L379" s="386"/>
      <c r="M379" s="386"/>
      <c r="N379" s="386"/>
      <c r="O379" s="386"/>
      <c r="P379" s="386"/>
      <c r="Q379" s="386"/>
      <c r="R379" s="386"/>
      <c r="S379" s="386"/>
      <c r="T379" s="386"/>
      <c r="U379" s="386"/>
      <c r="V379" s="386"/>
      <c r="W379" s="386"/>
      <c r="X379" s="386"/>
      <c r="Y379" s="386"/>
      <c r="Z379" s="386"/>
      <c r="AA379" s="386"/>
      <c r="AF379" s="158"/>
    </row>
    <row r="380" spans="1:37" ht="9" hidden="1" customHeight="1" outlineLevel="3">
      <c r="B380" s="165" t="str">
        <f t="shared" si="10"/>
        <v>ن</v>
      </c>
      <c r="C380" s="164" t="str">
        <f t="shared" si="10"/>
        <v>ن2</v>
      </c>
      <c r="D380" s="164" t="str">
        <f t="shared" si="10"/>
        <v>ن2-2</v>
      </c>
      <c r="E380" s="164" t="str">
        <f>E379</f>
        <v>ن2-2-10</v>
      </c>
      <c r="F380" s="171"/>
      <c r="G380" s="295"/>
      <c r="H380" s="295"/>
      <c r="I380" s="295"/>
      <c r="J380" s="295"/>
      <c r="K380" s="295"/>
      <c r="L380" s="295"/>
      <c r="M380" s="295"/>
      <c r="N380" s="295"/>
      <c r="O380" s="295"/>
      <c r="P380" s="295"/>
      <c r="Q380" s="295"/>
      <c r="R380" s="295"/>
      <c r="S380" s="295"/>
      <c r="T380" s="295"/>
      <c r="U380" s="295"/>
      <c r="V380" s="295"/>
      <c r="W380" s="295"/>
      <c r="X380" s="295"/>
      <c r="Y380" s="295"/>
      <c r="Z380" s="295"/>
      <c r="AA380" s="295"/>
      <c r="AF380" s="158"/>
    </row>
    <row r="381" spans="1:37" ht="9" hidden="1" customHeight="1" outlineLevel="2">
      <c r="B381" s="165" t="str">
        <f t="shared" si="10"/>
        <v>ن</v>
      </c>
      <c r="C381" s="164" t="str">
        <f t="shared" si="10"/>
        <v>ن2</v>
      </c>
      <c r="D381" s="164" t="str">
        <f t="shared" si="10"/>
        <v>ن2-2</v>
      </c>
      <c r="E381" s="164" t="str">
        <f>E380</f>
        <v>ن2-2-10</v>
      </c>
      <c r="F381" s="171"/>
      <c r="G381" s="295"/>
      <c r="H381" s="295"/>
      <c r="I381" s="295"/>
      <c r="J381" s="295"/>
      <c r="K381" s="295"/>
      <c r="L381" s="295"/>
      <c r="M381" s="295"/>
      <c r="N381" s="295"/>
      <c r="O381" s="295"/>
      <c r="P381" s="295"/>
      <c r="Q381" s="295"/>
      <c r="R381" s="295"/>
      <c r="S381" s="295"/>
      <c r="T381" s="295"/>
      <c r="U381" s="295"/>
      <c r="V381" s="295"/>
      <c r="W381" s="295"/>
      <c r="X381" s="295"/>
      <c r="Y381" s="295"/>
      <c r="Z381" s="295"/>
      <c r="AA381" s="295"/>
      <c r="AF381" s="158"/>
    </row>
    <row r="382" spans="1:37" s="178" customFormat="1" ht="15" hidden="1" customHeight="1" outlineLevel="2" thickBot="1">
      <c r="A382" s="264" t="s">
        <v>188</v>
      </c>
      <c r="B382" s="165" t="str">
        <f t="shared" si="10"/>
        <v>ن</v>
      </c>
      <c r="C382" s="164" t="str">
        <f t="shared" si="10"/>
        <v>ن2</v>
      </c>
      <c r="D382" s="189" t="s">
        <v>2313</v>
      </c>
      <c r="E382" s="189" t="s">
        <v>2313</v>
      </c>
      <c r="F382" s="189" t="s">
        <v>2313</v>
      </c>
      <c r="G382" s="383" t="s">
        <v>2312</v>
      </c>
      <c r="H382" s="383"/>
      <c r="I382" s="383"/>
      <c r="J382" s="383"/>
      <c r="K382" s="383"/>
      <c r="L382" s="383"/>
      <c r="M382" s="383"/>
      <c r="N382" s="383"/>
      <c r="O382" s="383"/>
      <c r="P382" s="383"/>
      <c r="Q382" s="383"/>
      <c r="R382" s="383"/>
      <c r="S382" s="383"/>
      <c r="T382" s="383"/>
      <c r="U382" s="383"/>
      <c r="V382" s="383"/>
      <c r="W382" s="383"/>
      <c r="X382" s="383"/>
      <c r="Y382" s="383"/>
      <c r="Z382" s="383"/>
      <c r="AA382" s="383"/>
      <c r="AB382" s="188"/>
      <c r="AC382" s="188"/>
      <c r="AD382" s="188"/>
      <c r="AE382" s="188"/>
      <c r="AF382" s="288" t="s">
        <v>2311</v>
      </c>
      <c r="AG382" s="289"/>
      <c r="AH382" s="290" t="s">
        <v>2125</v>
      </c>
      <c r="AI382" s="290" t="s">
        <v>2124</v>
      </c>
      <c r="AJ382" s="291"/>
      <c r="AK382" s="289"/>
    </row>
    <row r="383" spans="1:37" s="178" customFormat="1" ht="12.6" hidden="1" customHeight="1" outlineLevel="3" thickTop="1" thickBot="1">
      <c r="A383" s="178" t="s">
        <v>189</v>
      </c>
      <c r="B383" s="165" t="str">
        <f t="shared" si="10"/>
        <v>ن</v>
      </c>
      <c r="C383" s="164" t="str">
        <f t="shared" si="10"/>
        <v>ن2</v>
      </c>
      <c r="D383" s="184" t="str">
        <f>D382</f>
        <v>ن2-3</v>
      </c>
      <c r="E383" s="183" t="s">
        <v>2310</v>
      </c>
      <c r="F383" s="183" t="s">
        <v>2310</v>
      </c>
      <c r="G383" s="213" t="s">
        <v>2309</v>
      </c>
      <c r="H383" s="222"/>
      <c r="I383" s="222" t="s">
        <v>2308</v>
      </c>
      <c r="J383" s="419" t="s">
        <v>2307</v>
      </c>
      <c r="K383" s="420"/>
      <c r="L383" s="420"/>
      <c r="M383" s="420"/>
      <c r="N383" s="420"/>
      <c r="O383" s="420"/>
      <c r="P383" s="420"/>
      <c r="Q383" s="420"/>
      <c r="R383" s="420"/>
      <c r="S383" s="420"/>
      <c r="T383" s="420"/>
      <c r="U383" s="420"/>
      <c r="V383" s="420"/>
      <c r="W383" s="420"/>
      <c r="X383" s="420"/>
      <c r="Y383" s="420"/>
      <c r="Z383" s="420"/>
      <c r="AA383" s="420"/>
      <c r="AB383" s="182" t="s">
        <v>2110</v>
      </c>
      <c r="AC383" s="181"/>
      <c r="AD383" s="181"/>
      <c r="AE383" s="181"/>
      <c r="AF383" s="179"/>
      <c r="AG383" s="179"/>
      <c r="AH383" s="180"/>
      <c r="AI383" s="180"/>
      <c r="AJ383" s="179"/>
      <c r="AK383" s="179"/>
    </row>
    <row r="384" spans="1:37" s="178" customFormat="1" ht="39.75" hidden="1" customHeight="1" outlineLevel="3" thickTop="1" thickBot="1">
      <c r="B384" s="165" t="str">
        <f t="shared" si="10"/>
        <v>ن</v>
      </c>
      <c r="C384" s="164" t="str">
        <f t="shared" si="10"/>
        <v>ن2</v>
      </c>
      <c r="D384" s="240"/>
      <c r="E384" s="183"/>
      <c r="F384" s="184"/>
      <c r="G384" s="180"/>
      <c r="H384" s="180"/>
      <c r="I384" s="180"/>
      <c r="J384" s="358" t="s">
        <v>2306</v>
      </c>
      <c r="K384" s="359"/>
      <c r="L384" s="359"/>
      <c r="M384" s="358" t="s">
        <v>142</v>
      </c>
      <c r="N384" s="359"/>
      <c r="O384" s="360" t="s">
        <v>2048</v>
      </c>
      <c r="P384" s="361"/>
      <c r="Q384" s="362" t="s">
        <v>2049</v>
      </c>
      <c r="R384" s="363"/>
      <c r="S384" s="364" t="s">
        <v>2305</v>
      </c>
      <c r="T384" s="365"/>
      <c r="U384" s="239" t="s">
        <v>2304</v>
      </c>
      <c r="V384" s="238"/>
      <c r="W384" s="238" t="s">
        <v>2303</v>
      </c>
      <c r="X384" s="238"/>
      <c r="Y384" s="238" t="s">
        <v>2302</v>
      </c>
      <c r="Z384" s="238" t="s">
        <v>2053</v>
      </c>
      <c r="AA384" s="238" t="s">
        <v>2054</v>
      </c>
      <c r="AB384" s="237" t="s">
        <v>2110</v>
      </c>
      <c r="AC384" s="236"/>
      <c r="AD384" s="236"/>
      <c r="AE384" s="236"/>
      <c r="AF384" s="179"/>
      <c r="AG384" s="179" t="s">
        <v>2149</v>
      </c>
      <c r="AH384" s="180"/>
      <c r="AI384" s="180"/>
      <c r="AJ384" s="179"/>
      <c r="AK384" s="179"/>
    </row>
    <row r="385" spans="1:37" s="228" customFormat="1" ht="14.1" customHeight="1" outlineLevel="4">
      <c r="A385" s="178" t="s">
        <v>3500</v>
      </c>
      <c r="B385" s="165" t="str">
        <f t="shared" si="10"/>
        <v>ن</v>
      </c>
      <c r="C385" s="164" t="str">
        <f t="shared" si="10"/>
        <v>ن2</v>
      </c>
      <c r="D385" s="235" t="str">
        <f t="shared" ref="D385:G386" si="11">D8</f>
        <v>ع</v>
      </c>
      <c r="E385" s="234" t="str">
        <f t="shared" si="11"/>
        <v>ع</v>
      </c>
      <c r="F385" s="234" t="str">
        <f t="shared" si="11"/>
        <v>ع</v>
      </c>
      <c r="G385" s="414" t="str">
        <f t="shared" si="11"/>
        <v>ملف عموميات</v>
      </c>
      <c r="H385" s="415"/>
      <c r="I385" s="229"/>
      <c r="J385" s="416"/>
      <c r="K385" s="417"/>
      <c r="L385" s="233"/>
      <c r="M385" s="232" t="s">
        <v>2301</v>
      </c>
      <c r="N385" s="232"/>
      <c r="O385" s="232" t="s">
        <v>2048</v>
      </c>
      <c r="P385" s="232"/>
      <c r="Q385" s="232" t="s">
        <v>2049</v>
      </c>
      <c r="R385" s="232"/>
      <c r="S385" s="232" t="s">
        <v>2300</v>
      </c>
      <c r="T385" s="232"/>
      <c r="U385" s="232"/>
      <c r="V385" s="232"/>
      <c r="W385" s="232"/>
      <c r="X385" s="232"/>
      <c r="Y385" s="232"/>
      <c r="Z385" s="231"/>
      <c r="AA385" s="231"/>
      <c r="AB385" s="230"/>
      <c r="AC385" s="229"/>
      <c r="AD385" s="229"/>
      <c r="AE385" s="229"/>
      <c r="AF385" s="179"/>
      <c r="AG385" s="179"/>
      <c r="AH385" s="180"/>
      <c r="AI385" s="180"/>
      <c r="AJ385" s="179"/>
      <c r="AK385" s="179"/>
    </row>
    <row r="386" spans="1:37" s="223" customFormat="1" ht="14.1" customHeight="1" outlineLevel="4">
      <c r="A386" s="178" t="s">
        <v>3500</v>
      </c>
      <c r="B386" s="165" t="str">
        <f t="shared" si="10"/>
        <v>ن</v>
      </c>
      <c r="C386" s="164" t="str">
        <f t="shared" si="10"/>
        <v>ن2</v>
      </c>
      <c r="D386" s="227" t="str">
        <f t="shared" si="11"/>
        <v>ع1</v>
      </c>
      <c r="E386" s="226" t="str">
        <f t="shared" si="11"/>
        <v>ع1</v>
      </c>
      <c r="F386" s="226" t="str">
        <f t="shared" si="11"/>
        <v>ع1</v>
      </c>
      <c r="G386" s="382" t="str">
        <f t="shared" si="11"/>
        <v>الملف الدائم (مرحلة استكمال المتطلبات الأساسية</v>
      </c>
      <c r="H386" s="382"/>
      <c r="I386" s="382" t="s">
        <v>2299</v>
      </c>
      <c r="J386" s="382"/>
      <c r="K386" s="382"/>
      <c r="L386" s="382"/>
      <c r="M386" s="382"/>
      <c r="N386" s="382"/>
      <c r="O386" s="382"/>
      <c r="P386" s="382"/>
      <c r="Q386" s="382"/>
      <c r="R386" s="382"/>
      <c r="S386" s="382"/>
      <c r="T386" s="382"/>
      <c r="U386" s="382"/>
      <c r="V386" s="382"/>
      <c r="W386" s="382"/>
      <c r="X386" s="382"/>
      <c r="Y386" s="382"/>
      <c r="Z386" s="382"/>
      <c r="AA386" s="382"/>
      <c r="AB386" s="187"/>
      <c r="AC386" s="185"/>
      <c r="AD386" s="185"/>
      <c r="AE386" s="185"/>
      <c r="AF386" s="179"/>
      <c r="AG386" s="179"/>
      <c r="AH386" s="180"/>
      <c r="AI386" s="180"/>
      <c r="AJ386" s="179"/>
      <c r="AK386" s="179"/>
    </row>
    <row r="387" spans="1:37" s="223" customFormat="1" ht="14.1" hidden="1" customHeight="1" outlineLevel="4">
      <c r="B387" s="165" t="str">
        <f t="shared" si="10"/>
        <v>ن</v>
      </c>
      <c r="C387" s="164" t="str">
        <f t="shared" si="10"/>
        <v>ن2</v>
      </c>
      <c r="D387" s="226">
        <f t="shared" ref="D387:G388" si="12">D552</f>
        <v>0</v>
      </c>
      <c r="E387" s="226" t="str">
        <f t="shared" si="12"/>
        <v>ن4-2-4</v>
      </c>
      <c r="F387" s="226" t="str">
        <f t="shared" si="12"/>
        <v>ن4-2-4</v>
      </c>
      <c r="G387" s="418" t="str">
        <f t="shared" si="12"/>
        <v>سجل إجراءات عملية المراجعة</v>
      </c>
      <c r="H387" s="355"/>
      <c r="I387" s="224"/>
      <c r="J387" s="225"/>
      <c r="K387" s="312"/>
      <c r="L387" s="225"/>
      <c r="M387" s="225"/>
      <c r="N387" s="225"/>
      <c r="O387" s="225"/>
      <c r="P387" s="225"/>
      <c r="Q387" s="225"/>
      <c r="R387" s="225"/>
      <c r="S387" s="225"/>
      <c r="T387" s="225"/>
      <c r="U387" s="225"/>
      <c r="V387" s="225"/>
      <c r="W387" s="225"/>
      <c r="X387" s="225"/>
      <c r="Y387" s="225"/>
      <c r="Z387" s="224"/>
      <c r="AA387" s="180"/>
      <c r="AB387" s="187"/>
      <c r="AC387" s="185"/>
      <c r="AD387" s="185"/>
      <c r="AE387" s="185"/>
      <c r="AF387" s="179"/>
      <c r="AG387" s="179"/>
      <c r="AH387" s="180"/>
      <c r="AI387" s="180"/>
      <c r="AJ387" s="179"/>
      <c r="AK387" s="179"/>
    </row>
    <row r="388" spans="1:37" s="223" customFormat="1" ht="14.1" hidden="1" customHeight="1" outlineLevel="4">
      <c r="B388" s="165" t="str">
        <f t="shared" si="10"/>
        <v>ن</v>
      </c>
      <c r="C388" s="164" t="str">
        <f t="shared" si="10"/>
        <v>ن2</v>
      </c>
      <c r="D388" s="226">
        <f t="shared" si="12"/>
        <v>0</v>
      </c>
      <c r="E388" s="226">
        <f t="shared" si="12"/>
        <v>0</v>
      </c>
      <c r="F388" s="226" t="str">
        <f t="shared" si="12"/>
        <v>ن4-2-4-1</v>
      </c>
      <c r="G388" s="418">
        <f t="shared" si="12"/>
        <v>0</v>
      </c>
      <c r="H388" s="355"/>
      <c r="I388" s="224"/>
      <c r="J388" s="225"/>
      <c r="K388" s="312"/>
      <c r="L388" s="225"/>
      <c r="M388" s="225"/>
      <c r="N388" s="225"/>
      <c r="O388" s="225"/>
      <c r="P388" s="225"/>
      <c r="Q388" s="225"/>
      <c r="R388" s="225"/>
      <c r="S388" s="225"/>
      <c r="T388" s="225"/>
      <c r="U388" s="225"/>
      <c r="V388" s="225"/>
      <c r="W388" s="225"/>
      <c r="X388" s="225"/>
      <c r="Y388" s="225"/>
      <c r="Z388" s="224"/>
      <c r="AA388" s="180"/>
      <c r="AB388" s="187"/>
      <c r="AC388" s="185"/>
      <c r="AD388" s="185"/>
      <c r="AE388" s="185"/>
      <c r="AF388" s="179"/>
      <c r="AG388" s="179"/>
      <c r="AH388" s="180"/>
      <c r="AI388" s="180"/>
      <c r="AJ388" s="179"/>
      <c r="AK388" s="179"/>
    </row>
    <row r="389" spans="1:37" s="223" customFormat="1" ht="14.1" hidden="1" customHeight="1" outlineLevel="3">
      <c r="B389" s="165" t="str">
        <f t="shared" si="10"/>
        <v>ن</v>
      </c>
      <c r="C389" s="164" t="str">
        <f t="shared" si="10"/>
        <v>ن2</v>
      </c>
      <c r="D389" s="226"/>
      <c r="E389" s="226"/>
      <c r="F389" s="226"/>
      <c r="G389" s="418"/>
      <c r="H389" s="355"/>
      <c r="I389" s="224"/>
      <c r="J389" s="225"/>
      <c r="K389" s="312"/>
      <c r="L389" s="225"/>
      <c r="M389" s="225"/>
      <c r="N389" s="225"/>
      <c r="O389" s="225"/>
      <c r="P389" s="225"/>
      <c r="Q389" s="225"/>
      <c r="R389" s="225"/>
      <c r="S389" s="225"/>
      <c r="T389" s="225"/>
      <c r="U389" s="225"/>
      <c r="V389" s="225"/>
      <c r="W389" s="225"/>
      <c r="X389" s="225"/>
      <c r="Y389" s="225"/>
      <c r="Z389" s="224"/>
      <c r="AA389" s="180"/>
      <c r="AB389" s="187"/>
      <c r="AC389" s="185"/>
      <c r="AD389" s="185"/>
      <c r="AE389" s="185"/>
      <c r="AF389" s="179"/>
      <c r="AG389" s="179"/>
      <c r="AH389" s="180"/>
      <c r="AI389" s="180"/>
      <c r="AJ389" s="179"/>
      <c r="AK389" s="179"/>
    </row>
    <row r="390" spans="1:37" s="223" customFormat="1" ht="14.1" hidden="1" customHeight="1" outlineLevel="2">
      <c r="B390" s="165" t="str">
        <f t="shared" si="10"/>
        <v>ن</v>
      </c>
      <c r="C390" s="164" t="str">
        <f t="shared" si="10"/>
        <v>ن2</v>
      </c>
      <c r="D390" s="226"/>
      <c r="E390" s="226"/>
      <c r="F390" s="226"/>
      <c r="G390" s="418"/>
      <c r="H390" s="355"/>
      <c r="I390" s="224"/>
      <c r="J390" s="225"/>
      <c r="K390" s="312"/>
      <c r="L390" s="225"/>
      <c r="M390" s="225"/>
      <c r="N390" s="225"/>
      <c r="O390" s="225"/>
      <c r="P390" s="225"/>
      <c r="Q390" s="225"/>
      <c r="R390" s="225"/>
      <c r="S390" s="225"/>
      <c r="T390" s="225"/>
      <c r="U390" s="225"/>
      <c r="V390" s="225"/>
      <c r="W390" s="225"/>
      <c r="X390" s="225"/>
      <c r="Y390" s="225"/>
      <c r="Z390" s="224"/>
      <c r="AA390" s="180"/>
      <c r="AB390" s="187"/>
      <c r="AC390" s="185"/>
      <c r="AD390" s="185"/>
      <c r="AE390" s="185"/>
      <c r="AF390" s="179"/>
      <c r="AG390" s="179"/>
      <c r="AH390" s="180"/>
      <c r="AI390" s="180"/>
      <c r="AJ390" s="179"/>
      <c r="AK390" s="179"/>
    </row>
    <row r="391" spans="1:37" s="178" customFormat="1" ht="15" hidden="1" customHeight="1" outlineLevel="2" thickBot="1">
      <c r="A391" s="264" t="s">
        <v>188</v>
      </c>
      <c r="B391" s="165" t="str">
        <f t="shared" si="10"/>
        <v>ن</v>
      </c>
      <c r="C391" s="164" t="str">
        <f t="shared" si="10"/>
        <v>ن2</v>
      </c>
      <c r="D391" s="189" t="s">
        <v>2298</v>
      </c>
      <c r="E391" s="189" t="s">
        <v>2298</v>
      </c>
      <c r="F391" s="189" t="s">
        <v>2298</v>
      </c>
      <c r="G391" s="383" t="s">
        <v>2297</v>
      </c>
      <c r="H391" s="383"/>
      <c r="I391" s="383"/>
      <c r="J391" s="383"/>
      <c r="K391" s="383"/>
      <c r="L391" s="383"/>
      <c r="M391" s="383"/>
      <c r="N391" s="383"/>
      <c r="O391" s="383"/>
      <c r="P391" s="383"/>
      <c r="Q391" s="383"/>
      <c r="R391" s="383"/>
      <c r="S391" s="383"/>
      <c r="T391" s="383"/>
      <c r="U391" s="383"/>
      <c r="V391" s="383"/>
      <c r="W391" s="383"/>
      <c r="X391" s="383"/>
      <c r="Y391" s="383"/>
      <c r="Z391" s="383"/>
      <c r="AA391" s="383"/>
      <c r="AB391" s="188"/>
      <c r="AC391" s="188"/>
      <c r="AD391" s="188"/>
      <c r="AE391" s="188"/>
      <c r="AF391" s="288" t="s">
        <v>2296</v>
      </c>
      <c r="AG391" s="289"/>
      <c r="AH391" s="290" t="s">
        <v>2125</v>
      </c>
      <c r="AI391" s="290" t="s">
        <v>2124</v>
      </c>
      <c r="AJ391" s="291"/>
      <c r="AK391" s="289"/>
    </row>
    <row r="392" spans="1:37" s="178" customFormat="1" ht="12.6" hidden="1" customHeight="1" outlineLevel="3" thickTop="1" thickBot="1">
      <c r="A392" s="178" t="s">
        <v>189</v>
      </c>
      <c r="B392" s="165" t="str">
        <f t="shared" si="10"/>
        <v>ن</v>
      </c>
      <c r="C392" s="164" t="str">
        <f t="shared" si="10"/>
        <v>ن2</v>
      </c>
      <c r="D392" s="184" t="str">
        <f t="shared" si="10"/>
        <v>ن2-4</v>
      </c>
      <c r="E392" s="183" t="s">
        <v>2295</v>
      </c>
      <c r="F392" s="183" t="s">
        <v>2295</v>
      </c>
      <c r="G392" s="213" t="s">
        <v>2245</v>
      </c>
      <c r="H392" s="222" t="s">
        <v>2294</v>
      </c>
      <c r="I392" s="429"/>
      <c r="J392" s="429"/>
      <c r="K392" s="429"/>
      <c r="L392" s="429"/>
      <c r="M392" s="429"/>
      <c r="N392" s="429"/>
      <c r="O392" s="429"/>
      <c r="P392" s="429"/>
      <c r="Q392" s="429"/>
      <c r="R392" s="429"/>
      <c r="S392" s="429"/>
      <c r="T392" s="429"/>
      <c r="U392" s="429"/>
      <c r="V392" s="429"/>
      <c r="W392" s="429"/>
      <c r="X392" s="429"/>
      <c r="Y392" s="429"/>
      <c r="Z392" s="429"/>
      <c r="AA392" s="222"/>
      <c r="AB392" s="182" t="s">
        <v>2110</v>
      </c>
      <c r="AC392" s="181"/>
      <c r="AD392" s="181"/>
      <c r="AE392" s="181"/>
      <c r="AF392" s="179" t="s">
        <v>2235</v>
      </c>
      <c r="AG392" s="179"/>
      <c r="AH392" s="180"/>
      <c r="AI392" s="180"/>
      <c r="AJ392" s="179"/>
      <c r="AK392" s="179"/>
    </row>
    <row r="393" spans="1:37" s="178" customFormat="1" ht="15" customHeight="1" outlineLevel="4">
      <c r="A393" s="178" t="s">
        <v>3500</v>
      </c>
      <c r="B393" s="165" t="str">
        <f t="shared" si="10"/>
        <v>ن</v>
      </c>
      <c r="C393" s="164" t="str">
        <f t="shared" si="10"/>
        <v>ن2</v>
      </c>
      <c r="D393" s="164" t="str">
        <f t="shared" si="10"/>
        <v>ن2-4</v>
      </c>
      <c r="E393" s="164" t="str">
        <f t="shared" si="10"/>
        <v>ن2-4-1</v>
      </c>
      <c r="F393" s="171" t="s">
        <v>2293</v>
      </c>
      <c r="G393" s="221" t="s">
        <v>2292</v>
      </c>
      <c r="H393" s="421" t="s">
        <v>2291</v>
      </c>
      <c r="I393" s="422"/>
      <c r="J393" s="422"/>
      <c r="K393" s="423"/>
      <c r="L393" s="423"/>
      <c r="M393" s="423"/>
      <c r="N393" s="423"/>
      <c r="O393" s="423"/>
      <c r="P393" s="423"/>
      <c r="Q393" s="423"/>
      <c r="R393" s="423"/>
      <c r="S393" s="423"/>
      <c r="T393" s="423"/>
      <c r="U393" s="423"/>
      <c r="V393" s="423"/>
      <c r="W393" s="423"/>
      <c r="X393" s="423"/>
      <c r="Y393" s="423"/>
      <c r="Z393" s="424"/>
      <c r="AA393" s="220"/>
      <c r="AB393" s="219"/>
      <c r="AC393" s="214"/>
      <c r="AD393" s="214"/>
      <c r="AE393" s="214"/>
      <c r="AF393" s="179" t="s">
        <v>2235</v>
      </c>
      <c r="AG393" s="179"/>
      <c r="AH393" s="167"/>
      <c r="AI393" s="167"/>
      <c r="AJ393" s="166"/>
      <c r="AK393" s="166"/>
    </row>
    <row r="394" spans="1:37" s="178" customFormat="1" ht="15" customHeight="1" outlineLevel="4">
      <c r="A394" s="178" t="s">
        <v>3500</v>
      </c>
      <c r="B394" s="165" t="str">
        <f t="shared" si="10"/>
        <v>ن</v>
      </c>
      <c r="C394" s="164" t="str">
        <f t="shared" si="10"/>
        <v>ن2</v>
      </c>
      <c r="D394" s="164" t="str">
        <f t="shared" si="10"/>
        <v>ن2-4</v>
      </c>
      <c r="E394" s="164" t="str">
        <f t="shared" si="10"/>
        <v>ن2-4-1</v>
      </c>
      <c r="F394" s="171" t="s">
        <v>2290</v>
      </c>
      <c r="G394" s="218" t="s">
        <v>2289</v>
      </c>
      <c r="H394" s="425" t="s">
        <v>2288</v>
      </c>
      <c r="I394" s="426"/>
      <c r="J394" s="426"/>
      <c r="K394" s="427"/>
      <c r="L394" s="427"/>
      <c r="M394" s="427"/>
      <c r="N394" s="427"/>
      <c r="O394" s="427"/>
      <c r="P394" s="427"/>
      <c r="Q394" s="427"/>
      <c r="R394" s="427"/>
      <c r="S394" s="427"/>
      <c r="T394" s="427"/>
      <c r="U394" s="427"/>
      <c r="V394" s="427"/>
      <c r="W394" s="427"/>
      <c r="X394" s="427"/>
      <c r="Y394" s="427"/>
      <c r="Z394" s="428"/>
      <c r="AA394" s="192"/>
      <c r="AB394" s="217"/>
      <c r="AC394" s="214"/>
      <c r="AD394" s="214"/>
      <c r="AE394" s="214"/>
      <c r="AF394" s="179" t="s">
        <v>2235</v>
      </c>
      <c r="AG394" s="179"/>
      <c r="AH394" s="167"/>
      <c r="AI394" s="167"/>
      <c r="AJ394" s="166"/>
      <c r="AK394" s="166"/>
    </row>
    <row r="395" spans="1:37" s="178" customFormat="1" ht="15" customHeight="1" outlineLevel="4">
      <c r="A395" s="178" t="s">
        <v>3500</v>
      </c>
      <c r="B395" s="165" t="str">
        <f t="shared" si="10"/>
        <v>ن</v>
      </c>
      <c r="C395" s="164" t="str">
        <f t="shared" si="10"/>
        <v>ن2</v>
      </c>
      <c r="D395" s="164" t="str">
        <f t="shared" si="10"/>
        <v>ن2-4</v>
      </c>
      <c r="E395" s="164" t="str">
        <f t="shared" si="10"/>
        <v>ن2-4-1</v>
      </c>
      <c r="F395" s="171" t="s">
        <v>2287</v>
      </c>
      <c r="G395" s="218" t="s">
        <v>2286</v>
      </c>
      <c r="H395" s="425" t="s">
        <v>2285</v>
      </c>
      <c r="I395" s="426"/>
      <c r="J395" s="426"/>
      <c r="K395" s="427"/>
      <c r="L395" s="427"/>
      <c r="M395" s="427"/>
      <c r="N395" s="427"/>
      <c r="O395" s="427"/>
      <c r="P395" s="427"/>
      <c r="Q395" s="427"/>
      <c r="R395" s="427"/>
      <c r="S395" s="427"/>
      <c r="T395" s="427"/>
      <c r="U395" s="427"/>
      <c r="V395" s="427"/>
      <c r="W395" s="427"/>
      <c r="X395" s="427"/>
      <c r="Y395" s="427"/>
      <c r="Z395" s="428"/>
      <c r="AA395" s="192"/>
      <c r="AB395" s="217"/>
      <c r="AC395" s="214"/>
      <c r="AD395" s="214"/>
      <c r="AE395" s="214"/>
      <c r="AF395" s="179" t="s">
        <v>2235</v>
      </c>
      <c r="AG395" s="179"/>
      <c r="AH395" s="167"/>
      <c r="AI395" s="167"/>
      <c r="AJ395" s="166"/>
      <c r="AK395" s="166"/>
    </row>
    <row r="396" spans="1:37" s="178" customFormat="1" ht="15" customHeight="1" outlineLevel="4">
      <c r="A396" s="178" t="s">
        <v>3500</v>
      </c>
      <c r="B396" s="165" t="str">
        <f t="shared" si="10"/>
        <v>ن</v>
      </c>
      <c r="C396" s="164" t="str">
        <f t="shared" si="10"/>
        <v>ن2</v>
      </c>
      <c r="D396" s="164" t="str">
        <f t="shared" si="10"/>
        <v>ن2-4</v>
      </c>
      <c r="E396" s="164" t="str">
        <f t="shared" si="10"/>
        <v>ن2-4-1</v>
      </c>
      <c r="F396" s="171" t="s">
        <v>2284</v>
      </c>
      <c r="G396" s="218" t="s">
        <v>2283</v>
      </c>
      <c r="H396" s="425" t="s">
        <v>2282</v>
      </c>
      <c r="I396" s="426"/>
      <c r="J396" s="426"/>
      <c r="K396" s="427"/>
      <c r="L396" s="427"/>
      <c r="M396" s="427"/>
      <c r="N396" s="427"/>
      <c r="O396" s="427"/>
      <c r="P396" s="427"/>
      <c r="Q396" s="427"/>
      <c r="R396" s="427"/>
      <c r="S396" s="427"/>
      <c r="T396" s="427"/>
      <c r="U396" s="427"/>
      <c r="V396" s="427"/>
      <c r="W396" s="427"/>
      <c r="X396" s="427"/>
      <c r="Y396" s="427"/>
      <c r="Z396" s="428"/>
      <c r="AA396" s="192"/>
      <c r="AB396" s="217"/>
      <c r="AC396" s="214"/>
      <c r="AD396" s="214"/>
      <c r="AE396" s="214"/>
      <c r="AF396" s="179" t="s">
        <v>2235</v>
      </c>
      <c r="AG396" s="179"/>
      <c r="AH396" s="167"/>
      <c r="AI396" s="167"/>
      <c r="AJ396" s="166"/>
      <c r="AK396" s="166"/>
    </row>
    <row r="397" spans="1:37" s="178" customFormat="1" ht="15" customHeight="1" outlineLevel="4">
      <c r="A397" s="178" t="s">
        <v>3500</v>
      </c>
      <c r="B397" s="165" t="str">
        <f t="shared" si="10"/>
        <v>ن</v>
      </c>
      <c r="C397" s="164" t="str">
        <f t="shared" si="10"/>
        <v>ن2</v>
      </c>
      <c r="D397" s="164" t="str">
        <f t="shared" si="10"/>
        <v>ن2-4</v>
      </c>
      <c r="E397" s="164" t="str">
        <f t="shared" si="10"/>
        <v>ن2-4-1</v>
      </c>
      <c r="F397" s="171" t="s">
        <v>2281</v>
      </c>
      <c r="G397" s="218" t="s">
        <v>2280</v>
      </c>
      <c r="H397" s="425" t="s">
        <v>2279</v>
      </c>
      <c r="I397" s="426"/>
      <c r="J397" s="426"/>
      <c r="K397" s="427"/>
      <c r="L397" s="427"/>
      <c r="M397" s="427"/>
      <c r="N397" s="427"/>
      <c r="O397" s="427"/>
      <c r="P397" s="427"/>
      <c r="Q397" s="427"/>
      <c r="R397" s="427"/>
      <c r="S397" s="427"/>
      <c r="T397" s="427"/>
      <c r="U397" s="427"/>
      <c r="V397" s="427"/>
      <c r="W397" s="427"/>
      <c r="X397" s="427"/>
      <c r="Y397" s="427"/>
      <c r="Z397" s="428"/>
      <c r="AA397" s="192"/>
      <c r="AB397" s="217"/>
      <c r="AC397" s="214"/>
      <c r="AD397" s="214"/>
      <c r="AE397" s="214"/>
      <c r="AF397" s="179" t="s">
        <v>2235</v>
      </c>
      <c r="AG397" s="179"/>
      <c r="AH397" s="167"/>
      <c r="AI397" s="167"/>
      <c r="AJ397" s="166"/>
      <c r="AK397" s="166"/>
    </row>
    <row r="398" spans="1:37" s="178" customFormat="1" ht="15" customHeight="1" outlineLevel="4">
      <c r="A398" s="178" t="s">
        <v>3500</v>
      </c>
      <c r="B398" s="165" t="str">
        <f t="shared" si="10"/>
        <v>ن</v>
      </c>
      <c r="C398" s="164" t="str">
        <f t="shared" si="10"/>
        <v>ن2</v>
      </c>
      <c r="D398" s="164" t="str">
        <f t="shared" si="10"/>
        <v>ن2-4</v>
      </c>
      <c r="E398" s="164" t="str">
        <f t="shared" si="10"/>
        <v>ن2-4-1</v>
      </c>
      <c r="F398" s="171" t="s">
        <v>2278</v>
      </c>
      <c r="G398" s="218" t="s">
        <v>2277</v>
      </c>
      <c r="H398" s="425" t="s">
        <v>2276</v>
      </c>
      <c r="I398" s="426"/>
      <c r="J398" s="426"/>
      <c r="K398" s="427"/>
      <c r="L398" s="427"/>
      <c r="M398" s="427"/>
      <c r="N398" s="427"/>
      <c r="O398" s="427"/>
      <c r="P398" s="427"/>
      <c r="Q398" s="427"/>
      <c r="R398" s="427"/>
      <c r="S398" s="427"/>
      <c r="T398" s="427"/>
      <c r="U398" s="427"/>
      <c r="V398" s="427"/>
      <c r="W398" s="427"/>
      <c r="X398" s="427"/>
      <c r="Y398" s="427"/>
      <c r="Z398" s="428"/>
      <c r="AA398" s="192"/>
      <c r="AB398" s="217"/>
      <c r="AC398" s="214"/>
      <c r="AD398" s="214"/>
      <c r="AE398" s="214"/>
      <c r="AF398" s="179" t="s">
        <v>2235</v>
      </c>
      <c r="AG398" s="179"/>
      <c r="AH398" s="167"/>
      <c r="AI398" s="167"/>
      <c r="AJ398" s="166"/>
      <c r="AK398" s="166"/>
    </row>
    <row r="399" spans="1:37" s="178" customFormat="1" ht="15" customHeight="1" outlineLevel="4">
      <c r="A399" s="178" t="s">
        <v>3500</v>
      </c>
      <c r="B399" s="165" t="str">
        <f t="shared" si="10"/>
        <v>ن</v>
      </c>
      <c r="C399" s="164" t="str">
        <f t="shared" si="10"/>
        <v>ن2</v>
      </c>
      <c r="D399" s="164" t="str">
        <f t="shared" si="10"/>
        <v>ن2-4</v>
      </c>
      <c r="E399" s="164" t="str">
        <f t="shared" si="10"/>
        <v>ن2-4-1</v>
      </c>
      <c r="F399" s="171" t="s">
        <v>2275</v>
      </c>
      <c r="G399" s="218" t="s">
        <v>2274</v>
      </c>
      <c r="H399" s="425" t="s">
        <v>2273</v>
      </c>
      <c r="I399" s="426"/>
      <c r="J399" s="426"/>
      <c r="K399" s="427"/>
      <c r="L399" s="427"/>
      <c r="M399" s="427"/>
      <c r="N399" s="427"/>
      <c r="O399" s="427"/>
      <c r="P399" s="427"/>
      <c r="Q399" s="427"/>
      <c r="R399" s="427"/>
      <c r="S399" s="427"/>
      <c r="T399" s="427"/>
      <c r="U399" s="427"/>
      <c r="V399" s="427"/>
      <c r="W399" s="427"/>
      <c r="X399" s="427"/>
      <c r="Y399" s="427"/>
      <c r="Z399" s="428"/>
      <c r="AA399" s="192"/>
      <c r="AB399" s="217"/>
      <c r="AC399" s="214"/>
      <c r="AD399" s="214"/>
      <c r="AE399" s="214"/>
      <c r="AF399" s="179" t="s">
        <v>2235</v>
      </c>
      <c r="AG399" s="179"/>
      <c r="AH399" s="167"/>
      <c r="AI399" s="167"/>
      <c r="AJ399" s="166"/>
      <c r="AK399" s="166"/>
    </row>
    <row r="400" spans="1:37" s="178" customFormat="1" ht="15" customHeight="1" outlineLevel="4">
      <c r="A400" s="178" t="s">
        <v>3500</v>
      </c>
      <c r="B400" s="165" t="str">
        <f t="shared" si="10"/>
        <v>ن</v>
      </c>
      <c r="C400" s="164" t="str">
        <f t="shared" si="10"/>
        <v>ن2</v>
      </c>
      <c r="D400" s="164" t="str">
        <f t="shared" si="10"/>
        <v>ن2-4</v>
      </c>
      <c r="E400" s="164" t="str">
        <f t="shared" si="10"/>
        <v>ن2-4-1</v>
      </c>
      <c r="F400" s="171" t="s">
        <v>2272</v>
      </c>
      <c r="G400" s="218" t="s">
        <v>2271</v>
      </c>
      <c r="H400" s="425" t="s">
        <v>2270</v>
      </c>
      <c r="I400" s="426"/>
      <c r="J400" s="426"/>
      <c r="K400" s="427"/>
      <c r="L400" s="427"/>
      <c r="M400" s="427"/>
      <c r="N400" s="427"/>
      <c r="O400" s="427"/>
      <c r="P400" s="427"/>
      <c r="Q400" s="427"/>
      <c r="R400" s="427"/>
      <c r="S400" s="427"/>
      <c r="T400" s="427"/>
      <c r="U400" s="427"/>
      <c r="V400" s="427"/>
      <c r="W400" s="427"/>
      <c r="X400" s="427"/>
      <c r="Y400" s="427"/>
      <c r="Z400" s="428"/>
      <c r="AA400" s="192"/>
      <c r="AB400" s="217"/>
      <c r="AC400" s="214"/>
      <c r="AD400" s="214"/>
      <c r="AE400" s="214"/>
      <c r="AF400" s="179" t="s">
        <v>2235</v>
      </c>
      <c r="AG400" s="179"/>
      <c r="AH400" s="167"/>
      <c r="AI400" s="167"/>
      <c r="AJ400" s="166"/>
      <c r="AK400" s="166"/>
    </row>
    <row r="401" spans="1:37" s="178" customFormat="1" ht="15" customHeight="1" outlineLevel="4">
      <c r="A401" s="178" t="s">
        <v>3500</v>
      </c>
      <c r="B401" s="165" t="str">
        <f t="shared" si="10"/>
        <v>ن</v>
      </c>
      <c r="C401" s="164" t="str">
        <f t="shared" si="10"/>
        <v>ن2</v>
      </c>
      <c r="D401" s="164" t="str">
        <f t="shared" si="10"/>
        <v>ن2-4</v>
      </c>
      <c r="E401" s="164" t="str">
        <f t="shared" si="10"/>
        <v>ن2-4-1</v>
      </c>
      <c r="F401" s="171" t="s">
        <v>2269</v>
      </c>
      <c r="G401" s="218" t="s">
        <v>2268</v>
      </c>
      <c r="H401" s="425" t="s">
        <v>2267</v>
      </c>
      <c r="I401" s="426"/>
      <c r="J401" s="426"/>
      <c r="K401" s="427"/>
      <c r="L401" s="427"/>
      <c r="M401" s="427"/>
      <c r="N401" s="427"/>
      <c r="O401" s="427"/>
      <c r="P401" s="427"/>
      <c r="Q401" s="427"/>
      <c r="R401" s="427"/>
      <c r="S401" s="427"/>
      <c r="T401" s="427"/>
      <c r="U401" s="427"/>
      <c r="V401" s="427"/>
      <c r="W401" s="427"/>
      <c r="X401" s="427"/>
      <c r="Y401" s="427"/>
      <c r="Z401" s="428"/>
      <c r="AA401" s="192"/>
      <c r="AB401" s="217"/>
      <c r="AC401" s="214"/>
      <c r="AD401" s="214"/>
      <c r="AE401" s="214"/>
      <c r="AF401" s="179" t="s">
        <v>2235</v>
      </c>
      <c r="AG401" s="179"/>
      <c r="AH401" s="167"/>
      <c r="AI401" s="167"/>
      <c r="AJ401" s="166"/>
      <c r="AK401" s="166"/>
    </row>
    <row r="402" spans="1:37" s="178" customFormat="1" ht="15" customHeight="1" outlineLevel="4">
      <c r="A402" s="178" t="s">
        <v>3500</v>
      </c>
      <c r="B402" s="165" t="str">
        <f t="shared" si="10"/>
        <v>ن</v>
      </c>
      <c r="C402" s="164" t="str">
        <f t="shared" si="10"/>
        <v>ن2</v>
      </c>
      <c r="D402" s="164" t="str">
        <f t="shared" si="10"/>
        <v>ن2-4</v>
      </c>
      <c r="E402" s="164" t="str">
        <f t="shared" si="10"/>
        <v>ن2-4-1</v>
      </c>
      <c r="F402" s="171" t="s">
        <v>2266</v>
      </c>
      <c r="G402" s="218" t="s">
        <v>2265</v>
      </c>
      <c r="H402" s="425" t="s">
        <v>2264</v>
      </c>
      <c r="I402" s="426"/>
      <c r="J402" s="426"/>
      <c r="K402" s="427"/>
      <c r="L402" s="427"/>
      <c r="M402" s="427"/>
      <c r="N402" s="427"/>
      <c r="O402" s="427"/>
      <c r="P402" s="427"/>
      <c r="Q402" s="427"/>
      <c r="R402" s="427"/>
      <c r="S402" s="427"/>
      <c r="T402" s="427"/>
      <c r="U402" s="427"/>
      <c r="V402" s="427"/>
      <c r="W402" s="427"/>
      <c r="X402" s="427"/>
      <c r="Y402" s="427"/>
      <c r="Z402" s="428"/>
      <c r="AA402" s="192"/>
      <c r="AB402" s="217"/>
      <c r="AC402" s="214"/>
      <c r="AD402" s="214"/>
      <c r="AE402" s="214"/>
      <c r="AF402" s="179" t="s">
        <v>2235</v>
      </c>
      <c r="AG402" s="179"/>
      <c r="AH402" s="167"/>
      <c r="AI402" s="167"/>
      <c r="AJ402" s="166"/>
      <c r="AK402" s="166"/>
    </row>
    <row r="403" spans="1:37" s="178" customFormat="1" ht="15" customHeight="1" outlineLevel="4">
      <c r="A403" s="178" t="s">
        <v>3500</v>
      </c>
      <c r="B403" s="165" t="str">
        <f t="shared" si="10"/>
        <v>ن</v>
      </c>
      <c r="C403" s="164" t="str">
        <f t="shared" si="10"/>
        <v>ن2</v>
      </c>
      <c r="D403" s="164" t="str">
        <f t="shared" si="10"/>
        <v>ن2-4</v>
      </c>
      <c r="E403" s="164" t="str">
        <f t="shared" si="10"/>
        <v>ن2-4-1</v>
      </c>
      <c r="F403" s="171" t="s">
        <v>2263</v>
      </c>
      <c r="G403" s="218" t="s">
        <v>2262</v>
      </c>
      <c r="H403" s="425" t="s">
        <v>2261</v>
      </c>
      <c r="I403" s="426"/>
      <c r="J403" s="426"/>
      <c r="K403" s="427"/>
      <c r="L403" s="427"/>
      <c r="M403" s="427"/>
      <c r="N403" s="427"/>
      <c r="O403" s="427"/>
      <c r="P403" s="427"/>
      <c r="Q403" s="427"/>
      <c r="R403" s="427"/>
      <c r="S403" s="427"/>
      <c r="T403" s="427"/>
      <c r="U403" s="427"/>
      <c r="V403" s="427"/>
      <c r="W403" s="427"/>
      <c r="X403" s="427"/>
      <c r="Y403" s="427"/>
      <c r="Z403" s="428"/>
      <c r="AA403" s="192"/>
      <c r="AB403" s="217"/>
      <c r="AC403" s="214"/>
      <c r="AD403" s="214"/>
      <c r="AE403" s="214"/>
      <c r="AF403" s="179" t="s">
        <v>2235</v>
      </c>
      <c r="AG403" s="179"/>
      <c r="AH403" s="167"/>
      <c r="AI403" s="167"/>
      <c r="AJ403" s="166"/>
      <c r="AK403" s="166"/>
    </row>
    <row r="404" spans="1:37" s="178" customFormat="1" ht="15" customHeight="1" outlineLevel="4">
      <c r="A404" s="178" t="s">
        <v>3500</v>
      </c>
      <c r="B404" s="165" t="str">
        <f t="shared" si="10"/>
        <v>ن</v>
      </c>
      <c r="C404" s="164" t="str">
        <f t="shared" si="10"/>
        <v>ن2</v>
      </c>
      <c r="D404" s="164" t="str">
        <f t="shared" si="10"/>
        <v>ن2-4</v>
      </c>
      <c r="E404" s="164" t="str">
        <f t="shared" si="10"/>
        <v>ن2-4-1</v>
      </c>
      <c r="F404" s="171" t="s">
        <v>2260</v>
      </c>
      <c r="G404" s="218" t="s">
        <v>2259</v>
      </c>
      <c r="H404" s="425" t="s">
        <v>2258</v>
      </c>
      <c r="I404" s="426"/>
      <c r="J404" s="426"/>
      <c r="K404" s="427"/>
      <c r="L404" s="427"/>
      <c r="M404" s="427"/>
      <c r="N404" s="427"/>
      <c r="O404" s="427"/>
      <c r="P404" s="427"/>
      <c r="Q404" s="427"/>
      <c r="R404" s="427"/>
      <c r="S404" s="427"/>
      <c r="T404" s="427"/>
      <c r="U404" s="427"/>
      <c r="V404" s="427"/>
      <c r="W404" s="427"/>
      <c r="X404" s="427"/>
      <c r="Y404" s="427"/>
      <c r="Z404" s="428"/>
      <c r="AA404" s="192"/>
      <c r="AB404" s="217"/>
      <c r="AC404" s="214"/>
      <c r="AD404" s="214"/>
      <c r="AE404" s="214"/>
      <c r="AF404" s="179" t="s">
        <v>2235</v>
      </c>
      <c r="AG404" s="179"/>
      <c r="AH404" s="167"/>
      <c r="AI404" s="167"/>
      <c r="AJ404" s="166"/>
      <c r="AK404" s="166"/>
    </row>
    <row r="405" spans="1:37" s="178" customFormat="1" ht="15" customHeight="1" outlineLevel="4">
      <c r="A405" s="178" t="s">
        <v>3500</v>
      </c>
      <c r="B405" s="165" t="str">
        <f t="shared" si="10"/>
        <v>ن</v>
      </c>
      <c r="C405" s="164" t="str">
        <f t="shared" si="10"/>
        <v>ن2</v>
      </c>
      <c r="D405" s="164" t="str">
        <f t="shared" si="10"/>
        <v>ن2-4</v>
      </c>
      <c r="E405" s="164" t="str">
        <f t="shared" si="10"/>
        <v>ن2-4-1</v>
      </c>
      <c r="F405" s="171" t="s">
        <v>2257</v>
      </c>
      <c r="G405" s="218" t="s">
        <v>2256</v>
      </c>
      <c r="H405" s="425" t="s">
        <v>2255</v>
      </c>
      <c r="I405" s="426"/>
      <c r="J405" s="426"/>
      <c r="K405" s="427"/>
      <c r="L405" s="427"/>
      <c r="M405" s="427"/>
      <c r="N405" s="427"/>
      <c r="O405" s="427"/>
      <c r="P405" s="427"/>
      <c r="Q405" s="427"/>
      <c r="R405" s="427"/>
      <c r="S405" s="427"/>
      <c r="T405" s="427"/>
      <c r="U405" s="427"/>
      <c r="V405" s="427"/>
      <c r="W405" s="427"/>
      <c r="X405" s="427"/>
      <c r="Y405" s="427"/>
      <c r="Z405" s="428"/>
      <c r="AA405" s="192"/>
      <c r="AB405" s="217"/>
      <c r="AC405" s="214"/>
      <c r="AD405" s="214"/>
      <c r="AE405" s="214"/>
      <c r="AF405" s="179" t="s">
        <v>2235</v>
      </c>
      <c r="AG405" s="179" t="s">
        <v>2126</v>
      </c>
      <c r="AH405" s="167"/>
      <c r="AI405" s="167"/>
      <c r="AJ405" s="166"/>
      <c r="AK405" s="166"/>
    </row>
    <row r="406" spans="1:37" s="178" customFormat="1" ht="15" customHeight="1" outlineLevel="4">
      <c r="A406" s="178" t="s">
        <v>3500</v>
      </c>
      <c r="B406" s="165" t="str">
        <f t="shared" si="10"/>
        <v>ن</v>
      </c>
      <c r="C406" s="164" t="str">
        <f t="shared" si="10"/>
        <v>ن2</v>
      </c>
      <c r="D406" s="164" t="str">
        <f t="shared" si="10"/>
        <v>ن2-4</v>
      </c>
      <c r="E406" s="164" t="str">
        <f t="shared" si="10"/>
        <v>ن2-4-1</v>
      </c>
      <c r="F406" s="171" t="s">
        <v>2254</v>
      </c>
      <c r="G406" s="218" t="s">
        <v>2253</v>
      </c>
      <c r="H406" s="425" t="s">
        <v>2252</v>
      </c>
      <c r="I406" s="426"/>
      <c r="J406" s="426"/>
      <c r="K406" s="427"/>
      <c r="L406" s="427"/>
      <c r="M406" s="427"/>
      <c r="N406" s="427"/>
      <c r="O406" s="427"/>
      <c r="P406" s="427"/>
      <c r="Q406" s="427"/>
      <c r="R406" s="427"/>
      <c r="S406" s="427"/>
      <c r="T406" s="427"/>
      <c r="U406" s="427"/>
      <c r="V406" s="427"/>
      <c r="W406" s="427"/>
      <c r="X406" s="427"/>
      <c r="Y406" s="427"/>
      <c r="Z406" s="428"/>
      <c r="AA406" s="192"/>
      <c r="AB406" s="217"/>
      <c r="AC406" s="214"/>
      <c r="AD406" s="214"/>
      <c r="AE406" s="214"/>
      <c r="AF406" s="179" t="s">
        <v>2235</v>
      </c>
      <c r="AG406" s="179"/>
      <c r="AH406" s="167"/>
      <c r="AI406" s="167"/>
      <c r="AJ406" s="166"/>
      <c r="AK406" s="166"/>
    </row>
    <row r="407" spans="1:37" s="178" customFormat="1" ht="9" hidden="1" customHeight="1" outlineLevel="3">
      <c r="B407" s="165" t="str">
        <f t="shared" si="10"/>
        <v>ن</v>
      </c>
      <c r="C407" s="164" t="str">
        <f t="shared" si="10"/>
        <v>ن2</v>
      </c>
      <c r="D407" s="164" t="str">
        <f t="shared" si="10"/>
        <v>ن2-4</v>
      </c>
      <c r="E407" s="164" t="str">
        <f t="shared" si="10"/>
        <v>ن2-4-1</v>
      </c>
      <c r="F407" s="171"/>
      <c r="G407" s="216"/>
      <c r="H407" s="191"/>
      <c r="I407" s="191"/>
      <c r="J407" s="191"/>
      <c r="K407" s="169"/>
      <c r="L407" s="169"/>
      <c r="M407" s="169"/>
      <c r="N407" s="169"/>
      <c r="O407" s="169"/>
      <c r="P407" s="169"/>
      <c r="Q407" s="169"/>
      <c r="R407" s="169"/>
      <c r="S407" s="169"/>
      <c r="T407" s="169"/>
      <c r="U407" s="169"/>
      <c r="V407" s="169"/>
      <c r="W407" s="169"/>
      <c r="X407" s="169"/>
      <c r="Y407" s="169"/>
      <c r="Z407" s="169"/>
      <c r="AA407" s="191"/>
      <c r="AB407" s="215"/>
      <c r="AC407" s="214"/>
      <c r="AD407" s="214"/>
      <c r="AE407" s="214"/>
      <c r="AF407" s="179" t="s">
        <v>2235</v>
      </c>
      <c r="AG407" s="179"/>
      <c r="AH407" s="167"/>
      <c r="AI407" s="167"/>
      <c r="AJ407" s="166"/>
      <c r="AK407" s="166"/>
    </row>
    <row r="408" spans="1:37" s="178" customFormat="1" ht="9" hidden="1" customHeight="1" outlineLevel="2">
      <c r="B408" s="165" t="str">
        <f t="shared" si="10"/>
        <v>ن</v>
      </c>
      <c r="C408" s="164" t="str">
        <f t="shared" si="10"/>
        <v>ن2</v>
      </c>
      <c r="D408" s="164" t="str">
        <f t="shared" si="10"/>
        <v>ن2-4</v>
      </c>
      <c r="E408" s="164" t="str">
        <f t="shared" si="10"/>
        <v>ن2-4-1</v>
      </c>
      <c r="F408" s="171"/>
      <c r="G408" s="216"/>
      <c r="H408" s="191"/>
      <c r="I408" s="191"/>
      <c r="J408" s="191"/>
      <c r="K408" s="169"/>
      <c r="L408" s="169"/>
      <c r="M408" s="169"/>
      <c r="N408" s="169"/>
      <c r="O408" s="169"/>
      <c r="P408" s="169"/>
      <c r="Q408" s="169"/>
      <c r="R408" s="169"/>
      <c r="S408" s="169"/>
      <c r="T408" s="169"/>
      <c r="U408" s="169"/>
      <c r="V408" s="169"/>
      <c r="W408" s="169"/>
      <c r="X408" s="169"/>
      <c r="Y408" s="169"/>
      <c r="Z408" s="169"/>
      <c r="AA408" s="191"/>
      <c r="AB408" s="215"/>
      <c r="AC408" s="214"/>
      <c r="AD408" s="214"/>
      <c r="AE408" s="214"/>
      <c r="AF408" s="179" t="s">
        <v>2235</v>
      </c>
      <c r="AG408" s="179"/>
      <c r="AH408" s="167"/>
      <c r="AI408" s="167"/>
      <c r="AJ408" s="166"/>
      <c r="AK408" s="166"/>
    </row>
    <row r="409" spans="1:37" s="178" customFormat="1" ht="15" hidden="1" customHeight="1" outlineLevel="2" thickBot="1">
      <c r="A409" s="264" t="s">
        <v>188</v>
      </c>
      <c r="B409" s="165" t="str">
        <f t="shared" si="10"/>
        <v>ن</v>
      </c>
      <c r="C409" s="164" t="str">
        <f t="shared" si="10"/>
        <v>ن2</v>
      </c>
      <c r="D409" s="189" t="s">
        <v>2251</v>
      </c>
      <c r="E409" s="189" t="s">
        <v>2251</v>
      </c>
      <c r="F409" s="189" t="s">
        <v>2251</v>
      </c>
      <c r="G409" s="383" t="s">
        <v>2250</v>
      </c>
      <c r="H409" s="383"/>
      <c r="I409" s="383"/>
      <c r="J409" s="383"/>
      <c r="K409" s="383"/>
      <c r="L409" s="383"/>
      <c r="M409" s="383"/>
      <c r="N409" s="383"/>
      <c r="O409" s="383"/>
      <c r="P409" s="383"/>
      <c r="Q409" s="383"/>
      <c r="R409" s="383"/>
      <c r="S409" s="383"/>
      <c r="T409" s="383"/>
      <c r="U409" s="383"/>
      <c r="V409" s="383"/>
      <c r="W409" s="383"/>
      <c r="X409" s="383"/>
      <c r="Y409" s="383"/>
      <c r="Z409" s="383"/>
      <c r="AA409" s="383"/>
      <c r="AB409" s="188"/>
      <c r="AC409" s="188"/>
      <c r="AD409" s="188"/>
      <c r="AE409" s="188"/>
      <c r="AF409" s="288" t="s">
        <v>2249</v>
      </c>
      <c r="AG409" s="289"/>
      <c r="AH409" s="290" t="s">
        <v>2125</v>
      </c>
      <c r="AI409" s="290" t="s">
        <v>2124</v>
      </c>
      <c r="AJ409" s="291"/>
      <c r="AK409" s="289"/>
    </row>
    <row r="410" spans="1:37" s="178" customFormat="1" ht="12.6" hidden="1" customHeight="1" outlineLevel="3" thickTop="1" thickBot="1">
      <c r="A410" s="178" t="s">
        <v>189</v>
      </c>
      <c r="B410" s="165" t="str">
        <f t="shared" ref="B410:E473" si="13">B409</f>
        <v>ن</v>
      </c>
      <c r="C410" s="164" t="str">
        <f t="shared" si="13"/>
        <v>ن2</v>
      </c>
      <c r="D410" s="184" t="str">
        <f t="shared" si="13"/>
        <v>ن2-5</v>
      </c>
      <c r="E410" s="183" t="s">
        <v>2248</v>
      </c>
      <c r="F410" s="183" t="s">
        <v>2248</v>
      </c>
      <c r="G410" s="213" t="s">
        <v>2247</v>
      </c>
      <c r="H410" s="213" t="s">
        <v>2246</v>
      </c>
      <c r="I410" s="430" t="s">
        <v>2245</v>
      </c>
      <c r="J410" s="431"/>
      <c r="K410" s="431"/>
      <c r="L410" s="213"/>
      <c r="M410" s="430" t="s">
        <v>2244</v>
      </c>
      <c r="N410" s="431"/>
      <c r="O410" s="431"/>
      <c r="P410" s="431"/>
      <c r="Q410" s="431"/>
      <c r="R410" s="213"/>
      <c r="S410" s="213"/>
      <c r="T410" s="213"/>
      <c r="U410" s="213"/>
      <c r="V410" s="213"/>
      <c r="W410" s="213"/>
      <c r="X410" s="213"/>
      <c r="Y410" s="213"/>
      <c r="Z410" s="213"/>
      <c r="AA410" s="213"/>
      <c r="AB410" s="182" t="s">
        <v>2110</v>
      </c>
      <c r="AC410" s="181"/>
      <c r="AD410" s="181"/>
      <c r="AE410" s="181"/>
      <c r="AF410" s="179" t="s">
        <v>2235</v>
      </c>
      <c r="AG410" s="179"/>
      <c r="AH410" s="180"/>
      <c r="AI410" s="180"/>
      <c r="AJ410" s="179"/>
      <c r="AK410" s="179"/>
    </row>
    <row r="411" spans="1:37" s="178" customFormat="1" ht="15" customHeight="1" outlineLevel="4">
      <c r="A411" s="178" t="s">
        <v>3500</v>
      </c>
      <c r="B411" s="165" t="str">
        <f t="shared" si="13"/>
        <v>ن</v>
      </c>
      <c r="C411" s="164" t="str">
        <f t="shared" si="13"/>
        <v>ن2</v>
      </c>
      <c r="D411" s="164" t="str">
        <f t="shared" si="13"/>
        <v>ن2-5</v>
      </c>
      <c r="E411" s="164" t="str">
        <f t="shared" si="13"/>
        <v>ن2-5-1</v>
      </c>
      <c r="F411" s="171" t="s">
        <v>2243</v>
      </c>
      <c r="G411" s="212" t="s">
        <v>2242</v>
      </c>
      <c r="H411" s="212" t="s">
        <v>2241</v>
      </c>
      <c r="I411" s="432" t="s">
        <v>2240</v>
      </c>
      <c r="J411" s="355"/>
      <c r="K411" s="355"/>
      <c r="L411" s="212"/>
      <c r="M411" s="432"/>
      <c r="N411" s="355"/>
      <c r="O411" s="355"/>
      <c r="P411" s="355"/>
      <c r="Q411" s="355"/>
      <c r="R411" s="212"/>
      <c r="S411" s="212"/>
      <c r="T411" s="212"/>
      <c r="U411" s="212"/>
      <c r="V411" s="212"/>
      <c r="W411" s="212"/>
      <c r="X411" s="212"/>
      <c r="Y411" s="212"/>
      <c r="Z411" s="212"/>
      <c r="AA411" s="212"/>
      <c r="AB411" s="187"/>
      <c r="AC411" s="185"/>
      <c r="AD411" s="185"/>
      <c r="AE411" s="185"/>
      <c r="AF411" s="179" t="s">
        <v>2235</v>
      </c>
      <c r="AG411" s="179"/>
      <c r="AH411" s="180"/>
      <c r="AI411" s="180"/>
      <c r="AJ411" s="179"/>
      <c r="AK411" s="179"/>
    </row>
    <row r="412" spans="1:37" s="178" customFormat="1" ht="15" customHeight="1" outlineLevel="4">
      <c r="A412" s="178" t="s">
        <v>3500</v>
      </c>
      <c r="B412" s="165" t="str">
        <f t="shared" si="13"/>
        <v>ن</v>
      </c>
      <c r="C412" s="164" t="str">
        <f t="shared" si="13"/>
        <v>ن2</v>
      </c>
      <c r="D412" s="164" t="str">
        <f t="shared" si="13"/>
        <v>ن2-5</v>
      </c>
      <c r="E412" s="164" t="str">
        <f t="shared" si="13"/>
        <v>ن2-5-1</v>
      </c>
      <c r="F412" s="171" t="s">
        <v>2239</v>
      </c>
      <c r="G412" s="212"/>
      <c r="H412" s="212"/>
      <c r="I412" s="432"/>
      <c r="J412" s="355"/>
      <c r="K412" s="355"/>
      <c r="L412" s="212"/>
      <c r="M412" s="432"/>
      <c r="N412" s="355"/>
      <c r="O412" s="355"/>
      <c r="P412" s="355"/>
      <c r="Q412" s="355"/>
      <c r="R412" s="212"/>
      <c r="S412" s="212"/>
      <c r="T412" s="212"/>
      <c r="U412" s="212"/>
      <c r="V412" s="212"/>
      <c r="W412" s="212"/>
      <c r="X412" s="212"/>
      <c r="Y412" s="212"/>
      <c r="Z412" s="212"/>
      <c r="AA412" s="212"/>
      <c r="AB412" s="187"/>
      <c r="AC412" s="185"/>
      <c r="AD412" s="185"/>
      <c r="AE412" s="185"/>
      <c r="AF412" s="179" t="s">
        <v>2235</v>
      </c>
      <c r="AG412" s="179"/>
      <c r="AH412" s="180"/>
      <c r="AI412" s="180"/>
      <c r="AJ412" s="179"/>
      <c r="AK412" s="179"/>
    </row>
    <row r="413" spans="1:37" s="178" customFormat="1" ht="15" customHeight="1" outlineLevel="4">
      <c r="A413" s="178" t="s">
        <v>3500</v>
      </c>
      <c r="B413" s="165" t="str">
        <f t="shared" si="13"/>
        <v>ن</v>
      </c>
      <c r="C413" s="164" t="str">
        <f t="shared" si="13"/>
        <v>ن2</v>
      </c>
      <c r="D413" s="164" t="str">
        <f t="shared" si="13"/>
        <v>ن2-5</v>
      </c>
      <c r="E413" s="164" t="str">
        <f t="shared" si="13"/>
        <v>ن2-5-1</v>
      </c>
      <c r="F413" s="171" t="s">
        <v>2238</v>
      </c>
      <c r="G413" s="212"/>
      <c r="H413" s="212"/>
      <c r="I413" s="432"/>
      <c r="J413" s="355"/>
      <c r="K413" s="355"/>
      <c r="L413" s="212"/>
      <c r="M413" s="432"/>
      <c r="N413" s="355"/>
      <c r="O413" s="355"/>
      <c r="P413" s="355"/>
      <c r="Q413" s="355"/>
      <c r="R413" s="212"/>
      <c r="S413" s="212"/>
      <c r="T413" s="212"/>
      <c r="U413" s="212"/>
      <c r="V413" s="212"/>
      <c r="W413" s="212"/>
      <c r="X413" s="212"/>
      <c r="Y413" s="212"/>
      <c r="Z413" s="212"/>
      <c r="AA413" s="212"/>
      <c r="AB413" s="187"/>
      <c r="AC413" s="185"/>
      <c r="AD413" s="185"/>
      <c r="AE413" s="185"/>
      <c r="AF413" s="179" t="s">
        <v>2235</v>
      </c>
      <c r="AG413" s="179"/>
      <c r="AH413" s="180"/>
      <c r="AI413" s="180"/>
      <c r="AJ413" s="179"/>
      <c r="AK413" s="179"/>
    </row>
    <row r="414" spans="1:37" s="178" customFormat="1" ht="9" hidden="1" customHeight="1" outlineLevel="3">
      <c r="B414" s="165" t="str">
        <f t="shared" si="13"/>
        <v>ن</v>
      </c>
      <c r="C414" s="164" t="str">
        <f t="shared" si="13"/>
        <v>ن2</v>
      </c>
      <c r="D414" s="164" t="str">
        <f t="shared" si="13"/>
        <v>ن2-5</v>
      </c>
      <c r="E414" s="164" t="str">
        <f t="shared" si="13"/>
        <v>ن2-5-1</v>
      </c>
      <c r="F414" s="171" t="s">
        <v>2237</v>
      </c>
      <c r="G414" s="212"/>
      <c r="H414" s="212"/>
      <c r="I414" s="212"/>
      <c r="J414" s="275"/>
      <c r="K414" s="275"/>
      <c r="L414" s="212"/>
      <c r="M414" s="212"/>
      <c r="N414" s="275"/>
      <c r="O414" s="275"/>
      <c r="P414" s="275"/>
      <c r="Q414" s="275"/>
      <c r="R414" s="212"/>
      <c r="S414" s="212"/>
      <c r="T414" s="212"/>
      <c r="U414" s="212"/>
      <c r="V414" s="212"/>
      <c r="W414" s="212"/>
      <c r="X414" s="212"/>
      <c r="Y414" s="212"/>
      <c r="Z414" s="212"/>
      <c r="AA414" s="212"/>
      <c r="AB414" s="187"/>
      <c r="AC414" s="185"/>
      <c r="AD414" s="185"/>
      <c r="AE414" s="185"/>
      <c r="AF414" s="179" t="s">
        <v>2235</v>
      </c>
      <c r="AG414" s="179"/>
      <c r="AH414" s="180"/>
      <c r="AI414" s="180"/>
      <c r="AJ414" s="179"/>
      <c r="AK414" s="179"/>
    </row>
    <row r="415" spans="1:37" s="178" customFormat="1" ht="9" hidden="1" customHeight="1" outlineLevel="2">
      <c r="B415" s="165" t="str">
        <f t="shared" si="13"/>
        <v>ن</v>
      </c>
      <c r="C415" s="164" t="str">
        <f t="shared" si="13"/>
        <v>ن2</v>
      </c>
      <c r="D415" s="164" t="str">
        <f t="shared" si="13"/>
        <v>ن2-5</v>
      </c>
      <c r="E415" s="164" t="str">
        <f t="shared" si="13"/>
        <v>ن2-5-1</v>
      </c>
      <c r="F415" s="171" t="s">
        <v>2236</v>
      </c>
      <c r="G415" s="212"/>
      <c r="H415" s="212"/>
      <c r="I415" s="212"/>
      <c r="J415" s="275"/>
      <c r="K415" s="275"/>
      <c r="L415" s="212"/>
      <c r="M415" s="212"/>
      <c r="N415" s="275"/>
      <c r="O415" s="275"/>
      <c r="P415" s="275"/>
      <c r="Q415" s="275"/>
      <c r="R415" s="212"/>
      <c r="S415" s="212"/>
      <c r="T415" s="212"/>
      <c r="U415" s="212"/>
      <c r="V415" s="212"/>
      <c r="W415" s="212"/>
      <c r="X415" s="212"/>
      <c r="Y415" s="212"/>
      <c r="Z415" s="212"/>
      <c r="AA415" s="212"/>
      <c r="AB415" s="187"/>
      <c r="AC415" s="185"/>
      <c r="AD415" s="185"/>
      <c r="AE415" s="185"/>
      <c r="AF415" s="179" t="s">
        <v>2235</v>
      </c>
      <c r="AG415" s="179"/>
      <c r="AH415" s="180"/>
      <c r="AI415" s="180"/>
      <c r="AJ415" s="179"/>
      <c r="AK415" s="179"/>
    </row>
    <row r="416" spans="1:37" s="178" customFormat="1" ht="9" hidden="1" customHeight="1" outlineLevel="1">
      <c r="B416" s="165" t="str">
        <f t="shared" si="13"/>
        <v>ن</v>
      </c>
      <c r="C416" s="164" t="str">
        <f t="shared" si="13"/>
        <v>ن2</v>
      </c>
      <c r="D416" s="164" t="str">
        <f t="shared" si="13"/>
        <v>ن2-5</v>
      </c>
      <c r="E416" s="164" t="str">
        <f t="shared" si="13"/>
        <v>ن2-5-1</v>
      </c>
      <c r="F416" s="171"/>
      <c r="G416" s="212"/>
      <c r="H416" s="212"/>
      <c r="I416" s="212"/>
      <c r="J416" s="275"/>
      <c r="K416" s="275"/>
      <c r="L416" s="212"/>
      <c r="M416" s="212"/>
      <c r="N416" s="275"/>
      <c r="O416" s="275"/>
      <c r="P416" s="275"/>
      <c r="Q416" s="275"/>
      <c r="R416" s="212"/>
      <c r="S416" s="212"/>
      <c r="T416" s="212"/>
      <c r="U416" s="212"/>
      <c r="V416" s="212"/>
      <c r="W416" s="212"/>
      <c r="X416" s="212"/>
      <c r="Y416" s="212"/>
      <c r="Z416" s="212"/>
      <c r="AA416" s="212"/>
      <c r="AB416" s="187"/>
      <c r="AC416" s="185"/>
      <c r="AD416" s="185"/>
      <c r="AE416" s="185"/>
      <c r="AF416" s="179" t="s">
        <v>2235</v>
      </c>
      <c r="AG416" s="179"/>
      <c r="AH416" s="180"/>
      <c r="AI416" s="180"/>
      <c r="AJ416" s="179"/>
      <c r="AK416" s="179"/>
    </row>
    <row r="417" spans="1:37" s="178" customFormat="1" ht="17.45" hidden="1" customHeight="1" outlineLevel="1">
      <c r="A417" s="178" t="s">
        <v>187</v>
      </c>
      <c r="B417" s="165" t="str">
        <f t="shared" si="13"/>
        <v>ن</v>
      </c>
      <c r="C417" s="165" t="s">
        <v>2234</v>
      </c>
      <c r="D417" s="165" t="s">
        <v>2234</v>
      </c>
      <c r="E417" s="165" t="s">
        <v>2234</v>
      </c>
      <c r="F417" s="165" t="s">
        <v>2234</v>
      </c>
      <c r="G417" s="382" t="s">
        <v>2233</v>
      </c>
      <c r="H417" s="382"/>
      <c r="I417" s="382"/>
      <c r="J417" s="382"/>
      <c r="K417" s="382"/>
      <c r="L417" s="382"/>
      <c r="M417" s="382"/>
      <c r="N417" s="382"/>
      <c r="O417" s="382"/>
      <c r="P417" s="382"/>
      <c r="Q417" s="382"/>
      <c r="R417" s="382"/>
      <c r="S417" s="382"/>
      <c r="T417" s="382"/>
      <c r="U417" s="382"/>
      <c r="V417" s="382"/>
      <c r="W417" s="382"/>
      <c r="X417" s="382"/>
      <c r="Y417" s="382"/>
      <c r="Z417" s="382"/>
      <c r="AA417" s="382"/>
      <c r="AB417" s="194"/>
      <c r="AC417" s="194"/>
      <c r="AD417" s="194"/>
      <c r="AE417" s="194"/>
      <c r="AF417" s="193">
        <v>2.2999999999999998</v>
      </c>
      <c r="AG417" s="286"/>
      <c r="AH417" s="287" t="s">
        <v>2229</v>
      </c>
      <c r="AI417" s="287" t="s">
        <v>2228</v>
      </c>
      <c r="AJ417" s="286"/>
      <c r="AK417" s="286"/>
    </row>
    <row r="418" spans="1:37" s="178" customFormat="1" ht="15" hidden="1" customHeight="1" outlineLevel="2" thickBot="1">
      <c r="A418" s="264" t="s">
        <v>188</v>
      </c>
      <c r="B418" s="165" t="str">
        <f t="shared" si="13"/>
        <v>ن</v>
      </c>
      <c r="C418" s="164" t="str">
        <f t="shared" si="13"/>
        <v>ن3</v>
      </c>
      <c r="D418" s="189" t="s">
        <v>2232</v>
      </c>
      <c r="E418" s="189" t="s">
        <v>2232</v>
      </c>
      <c r="F418" s="189" t="s">
        <v>2232</v>
      </c>
      <c r="G418" s="383" t="s">
        <v>1145</v>
      </c>
      <c r="H418" s="383"/>
      <c r="I418" s="383"/>
      <c r="J418" s="383"/>
      <c r="K418" s="383"/>
      <c r="L418" s="383"/>
      <c r="M418" s="383"/>
      <c r="N418" s="383"/>
      <c r="O418" s="383"/>
      <c r="P418" s="383"/>
      <c r="Q418" s="383"/>
      <c r="R418" s="383"/>
      <c r="S418" s="383"/>
      <c r="T418" s="383"/>
      <c r="U418" s="383"/>
      <c r="V418" s="383"/>
      <c r="W418" s="383"/>
      <c r="X418" s="383"/>
      <c r="Y418" s="383"/>
      <c r="Z418" s="383"/>
      <c r="AA418" s="383"/>
      <c r="AB418" s="188"/>
      <c r="AC418" s="188"/>
      <c r="AD418" s="188"/>
      <c r="AE418" s="188"/>
      <c r="AF418" s="288" t="s">
        <v>2231</v>
      </c>
      <c r="AG418" s="289"/>
      <c r="AH418" s="290" t="s">
        <v>2229</v>
      </c>
      <c r="AI418" s="290" t="s">
        <v>2228</v>
      </c>
      <c r="AJ418" s="291"/>
      <c r="AK418" s="289"/>
    </row>
    <row r="419" spans="1:37" s="178" customFormat="1" ht="12.6" hidden="1" customHeight="1" outlineLevel="3" thickTop="1" thickBot="1">
      <c r="A419" s="178" t="s">
        <v>189</v>
      </c>
      <c r="B419" s="165" t="str">
        <f t="shared" si="13"/>
        <v>ن</v>
      </c>
      <c r="C419" s="164" t="str">
        <f t="shared" si="13"/>
        <v>ن3</v>
      </c>
      <c r="D419" s="184" t="str">
        <f t="shared" si="13"/>
        <v>ن3-1</v>
      </c>
      <c r="E419" s="183" t="s">
        <v>2230</v>
      </c>
      <c r="F419" s="183" t="s">
        <v>2230</v>
      </c>
      <c r="G419" s="433" t="s">
        <v>1146</v>
      </c>
      <c r="H419" s="433"/>
      <c r="I419" s="433"/>
      <c r="J419" s="433"/>
      <c r="K419" s="433"/>
      <c r="L419" s="433"/>
      <c r="M419" s="433"/>
      <c r="N419" s="433"/>
      <c r="O419" s="433"/>
      <c r="P419" s="433"/>
      <c r="Q419" s="433"/>
      <c r="R419" s="433"/>
      <c r="S419" s="433"/>
      <c r="T419" s="433"/>
      <c r="U419" s="433"/>
      <c r="V419" s="433"/>
      <c r="W419" s="433"/>
      <c r="X419" s="433"/>
      <c r="Y419" s="433"/>
      <c r="Z419" s="433"/>
      <c r="AA419" s="433"/>
      <c r="AB419" s="182" t="s">
        <v>2110</v>
      </c>
      <c r="AC419" s="181"/>
      <c r="AD419" s="181"/>
      <c r="AE419" s="181"/>
      <c r="AF419" s="179"/>
      <c r="AG419" s="179"/>
      <c r="AH419" s="292" t="s">
        <v>2229</v>
      </c>
      <c r="AI419" s="292" t="s">
        <v>2228</v>
      </c>
      <c r="AJ419" s="179"/>
      <c r="AK419" s="179"/>
    </row>
    <row r="420" spans="1:37" s="178" customFormat="1" ht="15" customHeight="1" outlineLevel="4">
      <c r="A420" s="178" t="s">
        <v>3500</v>
      </c>
      <c r="B420" s="165" t="str">
        <f t="shared" si="13"/>
        <v>ن</v>
      </c>
      <c r="C420" s="164" t="str">
        <f t="shared" si="13"/>
        <v>ن3</v>
      </c>
      <c r="D420" s="164" t="str">
        <f t="shared" si="13"/>
        <v>ن3-1</v>
      </c>
      <c r="E420" s="164" t="str">
        <f t="shared" si="13"/>
        <v>ن3-1-1</v>
      </c>
      <c r="F420" s="171"/>
      <c r="G420" s="434"/>
      <c r="H420" s="435"/>
      <c r="I420" s="190"/>
      <c r="J420" s="190"/>
      <c r="K420" s="190"/>
      <c r="L420" s="190"/>
      <c r="M420" s="190"/>
      <c r="N420" s="190"/>
      <c r="O420" s="190"/>
      <c r="P420" s="190"/>
      <c r="Q420" s="190"/>
      <c r="R420" s="190"/>
      <c r="S420" s="190"/>
      <c r="T420" s="190"/>
      <c r="U420" s="190"/>
      <c r="V420" s="190"/>
      <c r="W420" s="190"/>
      <c r="X420" s="190"/>
      <c r="Y420" s="190"/>
      <c r="Z420" s="190"/>
      <c r="AA420" s="190"/>
      <c r="AB420" s="187"/>
      <c r="AC420" s="185"/>
      <c r="AD420" s="185"/>
      <c r="AE420" s="185"/>
      <c r="AF420" s="179"/>
      <c r="AG420" s="179"/>
      <c r="AH420" s="180"/>
      <c r="AI420" s="180"/>
      <c r="AJ420" s="179"/>
      <c r="AK420" s="179"/>
    </row>
    <row r="421" spans="1:37" s="178" customFormat="1" ht="15" hidden="1" customHeight="1" outlineLevel="4">
      <c r="B421" s="165" t="str">
        <f t="shared" si="13"/>
        <v>ن</v>
      </c>
      <c r="C421" s="164" t="str">
        <f t="shared" si="13"/>
        <v>ن3</v>
      </c>
      <c r="D421" s="164" t="str">
        <f t="shared" si="13"/>
        <v>ن3-1</v>
      </c>
      <c r="E421" s="164" t="str">
        <f t="shared" si="13"/>
        <v>ن3-1-1</v>
      </c>
      <c r="F421" s="171" t="s">
        <v>2227</v>
      </c>
      <c r="G421" s="436" t="str">
        <f>'[1]القوائم المالية'!A9</f>
        <v>النقد وما في حكمة</v>
      </c>
      <c r="H421" s="437"/>
      <c r="I421" s="355"/>
      <c r="J421" s="355"/>
      <c r="K421" s="355"/>
      <c r="L421" s="355"/>
      <c r="M421" s="355"/>
      <c r="N421" s="355"/>
      <c r="O421" s="355"/>
      <c r="P421" s="355"/>
      <c r="Q421" s="355"/>
      <c r="R421" s="190"/>
      <c r="S421" s="190"/>
      <c r="T421" s="190"/>
      <c r="U421" s="190"/>
      <c r="V421" s="190"/>
      <c r="W421" s="190"/>
      <c r="X421" s="190"/>
      <c r="Y421" s="190"/>
      <c r="Z421" s="190"/>
      <c r="AA421" s="190"/>
      <c r="AB421" s="187"/>
      <c r="AC421" s="185"/>
      <c r="AD421" s="185"/>
      <c r="AE421" s="185"/>
      <c r="AF421" s="179" t="s">
        <v>2226</v>
      </c>
      <c r="AG421" s="179"/>
      <c r="AH421" s="180"/>
      <c r="AI421" s="180"/>
      <c r="AJ421" s="179"/>
      <c r="AK421" s="179"/>
    </row>
    <row r="422" spans="1:37" s="178" customFormat="1" ht="15" hidden="1" customHeight="1" outlineLevel="4">
      <c r="B422" s="165" t="str">
        <f t="shared" si="13"/>
        <v>ن</v>
      </c>
      <c r="C422" s="164" t="str">
        <f t="shared" si="13"/>
        <v>ن3</v>
      </c>
      <c r="D422" s="164" t="str">
        <f t="shared" si="13"/>
        <v>ن3-1</v>
      </c>
      <c r="E422" s="164" t="str">
        <f t="shared" si="13"/>
        <v>ن3-1-1</v>
      </c>
      <c r="F422" s="171"/>
      <c r="G422" s="436" t="str">
        <f>'[1]القوائم المالية'!A10</f>
        <v>أعمال تحت التنفيذ</v>
      </c>
      <c r="H422" s="437"/>
      <c r="I422" s="355"/>
      <c r="J422" s="355"/>
      <c r="K422" s="355"/>
      <c r="L422" s="355"/>
      <c r="M422" s="355"/>
      <c r="N422" s="355"/>
      <c r="O422" s="355"/>
      <c r="P422" s="355"/>
      <c r="Q422" s="355"/>
      <c r="R422" s="190"/>
      <c r="S422" s="190"/>
      <c r="T422" s="190"/>
      <c r="U422" s="190"/>
      <c r="V422" s="190"/>
      <c r="W422" s="190"/>
      <c r="X422" s="190"/>
      <c r="Y422" s="190"/>
      <c r="Z422" s="190"/>
      <c r="AA422" s="190"/>
      <c r="AB422" s="187"/>
      <c r="AC422" s="185"/>
      <c r="AD422" s="185"/>
      <c r="AE422" s="185"/>
      <c r="AF422" s="179" t="s">
        <v>2225</v>
      </c>
      <c r="AG422" s="179"/>
      <c r="AH422" s="180"/>
      <c r="AI422" s="180"/>
      <c r="AJ422" s="179"/>
      <c r="AK422" s="179"/>
    </row>
    <row r="423" spans="1:37" s="178" customFormat="1" ht="15" hidden="1" customHeight="1" outlineLevel="4">
      <c r="B423" s="165" t="str">
        <f t="shared" si="13"/>
        <v>ن</v>
      </c>
      <c r="C423" s="164" t="str">
        <f t="shared" si="13"/>
        <v>ن3</v>
      </c>
      <c r="D423" s="164" t="str">
        <f t="shared" si="13"/>
        <v>ن3-1</v>
      </c>
      <c r="E423" s="164" t="str">
        <f t="shared" si="13"/>
        <v>ن3-1-1</v>
      </c>
      <c r="F423" s="171"/>
      <c r="G423" s="436" t="str">
        <f>'[1]القوائم المالية'!A11</f>
        <v>ذمم وارصدة مدينة تجارية</v>
      </c>
      <c r="H423" s="437"/>
      <c r="I423" s="355"/>
      <c r="J423" s="355"/>
      <c r="K423" s="355"/>
      <c r="L423" s="355"/>
      <c r="M423" s="355"/>
      <c r="N423" s="355"/>
      <c r="O423" s="355"/>
      <c r="P423" s="355"/>
      <c r="Q423" s="355"/>
      <c r="R423" s="190"/>
      <c r="S423" s="190"/>
      <c r="T423" s="190"/>
      <c r="U423" s="190"/>
      <c r="V423" s="190"/>
      <c r="W423" s="190"/>
      <c r="X423" s="190"/>
      <c r="Y423" s="190"/>
      <c r="Z423" s="190"/>
      <c r="AA423" s="190"/>
      <c r="AB423" s="187"/>
      <c r="AC423" s="185"/>
      <c r="AD423" s="185"/>
      <c r="AE423" s="185"/>
      <c r="AF423" s="179" t="s">
        <v>2224</v>
      </c>
      <c r="AG423" s="179"/>
      <c r="AH423" s="180"/>
      <c r="AI423" s="180"/>
      <c r="AJ423" s="179"/>
      <c r="AK423" s="179"/>
    </row>
    <row r="424" spans="1:37" s="178" customFormat="1" ht="15" hidden="1" customHeight="1" outlineLevel="4">
      <c r="B424" s="165" t="str">
        <f t="shared" si="13"/>
        <v>ن</v>
      </c>
      <c r="C424" s="164" t="str">
        <f t="shared" si="13"/>
        <v>ن3</v>
      </c>
      <c r="D424" s="164" t="str">
        <f t="shared" si="13"/>
        <v>ن3-1</v>
      </c>
      <c r="E424" s="164" t="str">
        <f t="shared" si="13"/>
        <v>ن3-1-1</v>
      </c>
      <c r="F424" s="171"/>
      <c r="G424" s="436" t="str">
        <f>'[1]القوائم المالية'!A12</f>
        <v>المخزون السلعي  ( البضاعة )</v>
      </c>
      <c r="H424" s="437"/>
      <c r="I424" s="355"/>
      <c r="J424" s="355"/>
      <c r="K424" s="355"/>
      <c r="L424" s="355"/>
      <c r="M424" s="355"/>
      <c r="N424" s="355"/>
      <c r="O424" s="355"/>
      <c r="P424" s="355"/>
      <c r="Q424" s="355"/>
      <c r="R424" s="190"/>
      <c r="S424" s="190"/>
      <c r="T424" s="190"/>
      <c r="U424" s="190"/>
      <c r="V424" s="190"/>
      <c r="W424" s="190"/>
      <c r="X424" s="190"/>
      <c r="Y424" s="190"/>
      <c r="Z424" s="190"/>
      <c r="AA424" s="190"/>
      <c r="AB424" s="187"/>
      <c r="AD424" s="185"/>
      <c r="AE424" s="211">
        <v>2</v>
      </c>
      <c r="AF424" s="179" t="s">
        <v>2223</v>
      </c>
      <c r="AG424" s="179"/>
      <c r="AH424" s="180"/>
      <c r="AI424" s="180"/>
      <c r="AJ424" s="179"/>
      <c r="AK424" s="179"/>
    </row>
    <row r="425" spans="1:37" s="178" customFormat="1" ht="15" hidden="1" customHeight="1" outlineLevel="4">
      <c r="B425" s="165" t="str">
        <f t="shared" si="13"/>
        <v>ن</v>
      </c>
      <c r="C425" s="164" t="str">
        <f t="shared" si="13"/>
        <v>ن3</v>
      </c>
      <c r="D425" s="164" t="str">
        <f t="shared" si="13"/>
        <v>ن3-1</v>
      </c>
      <c r="E425" s="164" t="str">
        <f t="shared" si="13"/>
        <v>ن3-1-1</v>
      </c>
      <c r="F425" s="171"/>
      <c r="G425" s="436" t="str">
        <f>'[1]القوائم المالية'!A13</f>
        <v>ذمم وارصدة مدينة اخري</v>
      </c>
      <c r="H425" s="437"/>
      <c r="I425" s="355"/>
      <c r="J425" s="355"/>
      <c r="K425" s="355"/>
      <c r="L425" s="355"/>
      <c r="M425" s="355"/>
      <c r="N425" s="355"/>
      <c r="O425" s="355"/>
      <c r="P425" s="355"/>
      <c r="Q425" s="355"/>
      <c r="R425" s="190"/>
      <c r="S425" s="190"/>
      <c r="T425" s="190"/>
      <c r="U425" s="190"/>
      <c r="V425" s="190"/>
      <c r="W425" s="190"/>
      <c r="X425" s="190"/>
      <c r="Y425" s="190"/>
      <c r="Z425" s="190"/>
      <c r="AA425" s="190"/>
      <c r="AB425" s="187"/>
      <c r="AC425" s="185"/>
      <c r="AD425" s="185"/>
      <c r="AE425" s="209"/>
      <c r="AF425" s="179" t="s">
        <v>2222</v>
      </c>
      <c r="AG425" s="179"/>
      <c r="AH425" s="180"/>
      <c r="AI425" s="180"/>
      <c r="AJ425" s="179"/>
      <c r="AK425" s="179"/>
    </row>
    <row r="426" spans="1:37" s="178" customFormat="1" ht="15" hidden="1" customHeight="1" outlineLevel="4">
      <c r="B426" s="165" t="str">
        <f t="shared" si="13"/>
        <v>ن</v>
      </c>
      <c r="C426" s="164" t="str">
        <f t="shared" si="13"/>
        <v>ن3</v>
      </c>
      <c r="D426" s="164" t="str">
        <f t="shared" si="13"/>
        <v>ن3-1</v>
      </c>
      <c r="E426" s="164" t="str">
        <f t="shared" si="13"/>
        <v>ن3-1-1</v>
      </c>
      <c r="F426" s="171"/>
      <c r="G426" s="436" t="str">
        <f>'[1]القوائم المالية'!A14</f>
        <v>مستحق من اطراف ذات علاقة</v>
      </c>
      <c r="H426" s="437"/>
      <c r="I426" s="355"/>
      <c r="J426" s="355"/>
      <c r="K426" s="355"/>
      <c r="L426" s="355"/>
      <c r="M426" s="355"/>
      <c r="N426" s="355"/>
      <c r="O426" s="355"/>
      <c r="P426" s="355"/>
      <c r="Q426" s="355"/>
      <c r="R426" s="190"/>
      <c r="S426" s="190"/>
      <c r="T426" s="190"/>
      <c r="U426" s="190"/>
      <c r="V426" s="190"/>
      <c r="W426" s="190"/>
      <c r="X426" s="190"/>
      <c r="Y426" s="190"/>
      <c r="Z426" s="190"/>
      <c r="AA426" s="190"/>
      <c r="AB426" s="187"/>
      <c r="AC426" s="185"/>
      <c r="AD426" s="185"/>
      <c r="AE426" s="209"/>
      <c r="AF426" s="179" t="s">
        <v>2221</v>
      </c>
      <c r="AG426" s="179"/>
      <c r="AH426" s="180"/>
      <c r="AI426" s="180"/>
      <c r="AJ426" s="179"/>
      <c r="AK426" s="179"/>
    </row>
    <row r="427" spans="1:37" s="178" customFormat="1" ht="15" hidden="1" customHeight="1" outlineLevel="4">
      <c r="B427" s="165" t="str">
        <f t="shared" si="13"/>
        <v>ن</v>
      </c>
      <c r="C427" s="164" t="str">
        <f t="shared" si="13"/>
        <v>ن3</v>
      </c>
      <c r="D427" s="164" t="str">
        <f t="shared" si="13"/>
        <v>ن3-1</v>
      </c>
      <c r="E427" s="164" t="str">
        <f t="shared" si="13"/>
        <v>ن3-1-1</v>
      </c>
      <c r="F427" s="171"/>
      <c r="G427" s="436" t="str">
        <f>'[1]القوائم المالية'!A15</f>
        <v>أرصدة مدينة مدفوعة مقدما</v>
      </c>
      <c r="H427" s="437"/>
      <c r="I427" s="355"/>
      <c r="J427" s="355"/>
      <c r="K427" s="355"/>
      <c r="L427" s="355"/>
      <c r="M427" s="355"/>
      <c r="N427" s="355"/>
      <c r="O427" s="355"/>
      <c r="P427" s="355"/>
      <c r="Q427" s="355"/>
      <c r="R427" s="190"/>
      <c r="S427" s="190"/>
      <c r="T427" s="190"/>
      <c r="U427" s="190"/>
      <c r="V427" s="190"/>
      <c r="W427" s="190"/>
      <c r="X427" s="190"/>
      <c r="Y427" s="190"/>
      <c r="Z427" s="190"/>
      <c r="AA427" s="190"/>
      <c r="AB427" s="187"/>
      <c r="AC427" s="185"/>
      <c r="AD427" s="185"/>
      <c r="AE427" s="209"/>
      <c r="AF427" s="179" t="s">
        <v>2220</v>
      </c>
      <c r="AG427" s="179"/>
      <c r="AH427" s="180"/>
      <c r="AI427" s="180"/>
      <c r="AJ427" s="179"/>
      <c r="AK427" s="179"/>
    </row>
    <row r="428" spans="1:37" s="178" customFormat="1" ht="15" hidden="1" customHeight="1" outlineLevel="4">
      <c r="B428" s="165" t="str">
        <f t="shared" si="13"/>
        <v>ن</v>
      </c>
      <c r="C428" s="164" t="str">
        <f t="shared" si="13"/>
        <v>ن3</v>
      </c>
      <c r="D428" s="164" t="str">
        <f t="shared" si="13"/>
        <v>ن3-1</v>
      </c>
      <c r="E428" s="164" t="str">
        <f t="shared" si="13"/>
        <v>ن3-1-1</v>
      </c>
      <c r="F428" s="171"/>
      <c r="G428" s="436" t="str">
        <f>'[1]القوائم المالية'!A16</f>
        <v>مصاريف تمويل مؤجلة</v>
      </c>
      <c r="H428" s="437"/>
      <c r="I428" s="355"/>
      <c r="J428" s="355"/>
      <c r="K428" s="355"/>
      <c r="L428" s="355"/>
      <c r="M428" s="355"/>
      <c r="N428" s="355"/>
      <c r="O428" s="355"/>
      <c r="P428" s="355"/>
      <c r="Q428" s="355"/>
      <c r="R428" s="190"/>
      <c r="S428" s="190"/>
      <c r="T428" s="190"/>
      <c r="U428" s="190"/>
      <c r="V428" s="190"/>
      <c r="W428" s="190"/>
      <c r="X428" s="190"/>
      <c r="Y428" s="190"/>
      <c r="Z428" s="190"/>
      <c r="AA428" s="190"/>
      <c r="AB428" s="187"/>
      <c r="AC428" s="185"/>
      <c r="AD428" s="185"/>
      <c r="AE428" s="209"/>
      <c r="AF428" s="179" t="s">
        <v>2219</v>
      </c>
      <c r="AG428" s="179"/>
      <c r="AH428" s="180"/>
      <c r="AI428" s="180"/>
      <c r="AJ428" s="179"/>
      <c r="AK428" s="179"/>
    </row>
    <row r="429" spans="1:37" s="178" customFormat="1" ht="15" hidden="1" customHeight="1" outlineLevel="4">
      <c r="B429" s="165" t="str">
        <f t="shared" si="13"/>
        <v>ن</v>
      </c>
      <c r="C429" s="164" t="str">
        <f t="shared" si="13"/>
        <v>ن3</v>
      </c>
      <c r="D429" s="164" t="str">
        <f t="shared" si="13"/>
        <v>ن3-1</v>
      </c>
      <c r="E429" s="164" t="str">
        <f t="shared" si="13"/>
        <v>ن3-1-1</v>
      </c>
      <c r="F429" s="171"/>
      <c r="G429" s="436" t="str">
        <f>'[1]القوائم المالية'!A17</f>
        <v>تعويضات مستحقة</v>
      </c>
      <c r="H429" s="437"/>
      <c r="I429" s="355"/>
      <c r="J429" s="355"/>
      <c r="K429" s="355"/>
      <c r="L429" s="355"/>
      <c r="M429" s="355"/>
      <c r="N429" s="355"/>
      <c r="O429" s="355"/>
      <c r="P429" s="355"/>
      <c r="Q429" s="355"/>
      <c r="R429" s="190"/>
      <c r="S429" s="190"/>
      <c r="T429" s="190"/>
      <c r="U429" s="190"/>
      <c r="V429" s="190"/>
      <c r="W429" s="190"/>
      <c r="X429" s="190"/>
      <c r="Y429" s="190"/>
      <c r="Z429" s="190"/>
      <c r="AA429" s="190"/>
      <c r="AB429" s="187"/>
      <c r="AC429" s="185"/>
      <c r="AD429" s="185"/>
      <c r="AE429" s="209"/>
      <c r="AF429" s="179" t="s">
        <v>2218</v>
      </c>
      <c r="AG429" s="179"/>
      <c r="AH429" s="180"/>
      <c r="AI429" s="180"/>
      <c r="AJ429" s="179"/>
      <c r="AK429" s="179"/>
    </row>
    <row r="430" spans="1:37" s="178" customFormat="1" ht="15" hidden="1" customHeight="1" outlineLevel="4">
      <c r="B430" s="165" t="str">
        <f t="shared" si="13"/>
        <v>ن</v>
      </c>
      <c r="C430" s="164" t="str">
        <f t="shared" si="13"/>
        <v>ن3</v>
      </c>
      <c r="D430" s="164" t="str">
        <f t="shared" si="13"/>
        <v>ن3-1</v>
      </c>
      <c r="E430" s="164" t="str">
        <f t="shared" si="13"/>
        <v>ن3-1-1</v>
      </c>
      <c r="F430" s="171"/>
      <c r="G430" s="436" t="str">
        <f>'[1]القوائم المالية'!A18</f>
        <v>أوراق قبض</v>
      </c>
      <c r="H430" s="437"/>
      <c r="I430" s="355"/>
      <c r="J430" s="355"/>
      <c r="K430" s="355"/>
      <c r="L430" s="355"/>
      <c r="M430" s="355"/>
      <c r="N430" s="355"/>
      <c r="O430" s="355"/>
      <c r="P430" s="355"/>
      <c r="Q430" s="355"/>
      <c r="R430" s="190"/>
      <c r="S430" s="190"/>
      <c r="T430" s="190"/>
      <c r="U430" s="190"/>
      <c r="V430" s="190"/>
      <c r="W430" s="190"/>
      <c r="X430" s="190"/>
      <c r="Y430" s="190"/>
      <c r="Z430" s="190"/>
      <c r="AA430" s="190"/>
      <c r="AB430" s="187"/>
      <c r="AC430" s="185"/>
      <c r="AD430" s="185"/>
      <c r="AE430" s="209"/>
      <c r="AF430" s="179" t="s">
        <v>2217</v>
      </c>
      <c r="AG430" s="179"/>
      <c r="AH430" s="180"/>
      <c r="AI430" s="180"/>
      <c r="AJ430" s="179"/>
      <c r="AK430" s="179"/>
    </row>
    <row r="431" spans="1:37" s="178" customFormat="1" ht="15" hidden="1" customHeight="1" outlineLevel="4">
      <c r="B431" s="165" t="str">
        <f t="shared" si="13"/>
        <v>ن</v>
      </c>
      <c r="C431" s="164" t="str">
        <f t="shared" si="13"/>
        <v>ن3</v>
      </c>
      <c r="D431" s="164" t="str">
        <f t="shared" si="13"/>
        <v>ن3-1</v>
      </c>
      <c r="E431" s="164" t="str">
        <f t="shared" si="13"/>
        <v>ن3-1-1</v>
      </c>
      <c r="F431" s="171"/>
      <c r="G431" s="436" t="str">
        <f>'[1]القوائم المالية'!A19</f>
        <v>خطابات ضمان</v>
      </c>
      <c r="H431" s="437"/>
      <c r="I431" s="355"/>
      <c r="J431" s="355"/>
      <c r="K431" s="355"/>
      <c r="L431" s="355"/>
      <c r="M431" s="355"/>
      <c r="N431" s="355"/>
      <c r="O431" s="355"/>
      <c r="P431" s="355"/>
      <c r="Q431" s="355"/>
      <c r="R431" s="190"/>
      <c r="S431" s="190"/>
      <c r="T431" s="190"/>
      <c r="U431" s="190"/>
      <c r="V431" s="190"/>
      <c r="W431" s="190"/>
      <c r="X431" s="190"/>
      <c r="Y431" s="190"/>
      <c r="Z431" s="190"/>
      <c r="AA431" s="190"/>
      <c r="AB431" s="187"/>
      <c r="AC431" s="185"/>
      <c r="AD431" s="185"/>
      <c r="AE431" s="209"/>
      <c r="AF431" s="179" t="s">
        <v>2216</v>
      </c>
      <c r="AG431" s="179"/>
      <c r="AH431" s="180"/>
      <c r="AI431" s="180"/>
      <c r="AJ431" s="179"/>
      <c r="AK431" s="179"/>
    </row>
    <row r="432" spans="1:37" s="178" customFormat="1" ht="15" hidden="1" customHeight="1" outlineLevel="4">
      <c r="B432" s="165" t="str">
        <f t="shared" si="13"/>
        <v>ن</v>
      </c>
      <c r="C432" s="164" t="str">
        <f t="shared" si="13"/>
        <v>ن3</v>
      </c>
      <c r="D432" s="164" t="str">
        <f t="shared" si="13"/>
        <v>ن3-1</v>
      </c>
      <c r="E432" s="164" t="str">
        <f t="shared" si="13"/>
        <v>ن3-1-1</v>
      </c>
      <c r="F432" s="171"/>
      <c r="G432" s="436" t="str">
        <f>'[1]القوائم المالية'!A20</f>
        <v>مخزون غير معد للبيع</v>
      </c>
      <c r="H432" s="437"/>
      <c r="I432" s="355"/>
      <c r="J432" s="355"/>
      <c r="K432" s="355"/>
      <c r="L432" s="355"/>
      <c r="M432" s="355"/>
      <c r="N432" s="355"/>
      <c r="O432" s="355"/>
      <c r="P432" s="355"/>
      <c r="Q432" s="355"/>
      <c r="R432" s="190"/>
      <c r="S432" s="190"/>
      <c r="T432" s="190"/>
      <c r="U432" s="190"/>
      <c r="V432" s="190"/>
      <c r="W432" s="190"/>
      <c r="X432" s="190"/>
      <c r="Y432" s="190"/>
      <c r="Z432" s="190"/>
      <c r="AA432" s="190"/>
      <c r="AB432" s="187"/>
      <c r="AC432" s="185"/>
      <c r="AD432" s="185"/>
      <c r="AE432" s="209"/>
      <c r="AF432" s="179" t="s">
        <v>2215</v>
      </c>
      <c r="AG432" s="179"/>
      <c r="AH432" s="180"/>
      <c r="AI432" s="180"/>
      <c r="AJ432" s="179"/>
      <c r="AK432" s="179"/>
    </row>
    <row r="433" spans="2:37" s="178" customFormat="1" ht="15" hidden="1" customHeight="1" outlineLevel="4">
      <c r="B433" s="165" t="str">
        <f t="shared" si="13"/>
        <v>ن</v>
      </c>
      <c r="C433" s="164" t="str">
        <f t="shared" si="13"/>
        <v>ن3</v>
      </c>
      <c r="D433" s="164" t="str">
        <f t="shared" si="13"/>
        <v>ن3-1</v>
      </c>
      <c r="E433" s="164" t="str">
        <f t="shared" si="13"/>
        <v>ن3-1-1</v>
      </c>
      <c r="F433" s="171"/>
      <c r="G433" s="436" t="str">
        <f>'[1]القوائم المالية'!A21</f>
        <v>الإيرادات المستحقة</v>
      </c>
      <c r="H433" s="437"/>
      <c r="I433" s="355"/>
      <c r="J433" s="355"/>
      <c r="K433" s="355"/>
      <c r="L433" s="355"/>
      <c r="M433" s="355"/>
      <c r="N433" s="355"/>
      <c r="O433" s="355"/>
      <c r="P433" s="355"/>
      <c r="Q433" s="355"/>
      <c r="R433" s="190"/>
      <c r="S433" s="190"/>
      <c r="T433" s="190"/>
      <c r="U433" s="190"/>
      <c r="V433" s="190"/>
      <c r="W433" s="190"/>
      <c r="X433" s="190"/>
      <c r="Y433" s="190"/>
      <c r="Z433" s="190"/>
      <c r="AA433" s="190"/>
      <c r="AB433" s="185"/>
      <c r="AC433" s="185"/>
      <c r="AD433" s="185"/>
      <c r="AE433" s="209"/>
      <c r="AF433" s="179" t="s">
        <v>2214</v>
      </c>
      <c r="AG433" s="179"/>
      <c r="AH433" s="180"/>
      <c r="AI433" s="180"/>
      <c r="AJ433" s="179"/>
      <c r="AK433" s="179"/>
    </row>
    <row r="434" spans="2:37" s="178" customFormat="1" ht="15" hidden="1" customHeight="1" outlineLevel="4">
      <c r="B434" s="165" t="str">
        <f t="shared" si="13"/>
        <v>ن</v>
      </c>
      <c r="C434" s="164" t="str">
        <f t="shared" si="13"/>
        <v>ن3</v>
      </c>
      <c r="D434" s="164" t="str">
        <f t="shared" si="13"/>
        <v>ن3-1</v>
      </c>
      <c r="E434" s="164" t="str">
        <f t="shared" si="13"/>
        <v>ن3-1-1</v>
      </c>
      <c r="F434" s="171"/>
      <c r="G434" s="436" t="str">
        <f>'[1]القوائم المالية'!A26</f>
        <v>مجموع الموجودات المتداولة</v>
      </c>
      <c r="H434" s="437"/>
      <c r="I434" s="355"/>
      <c r="J434" s="355"/>
      <c r="K434" s="355"/>
      <c r="L434" s="355"/>
      <c r="M434" s="355"/>
      <c r="N434" s="355"/>
      <c r="O434" s="355"/>
      <c r="P434" s="355"/>
      <c r="Q434" s="355"/>
      <c r="R434" s="204"/>
      <c r="S434" s="204"/>
      <c r="T434" s="204"/>
      <c r="U434" s="204"/>
      <c r="V434" s="204"/>
      <c r="W434" s="204"/>
      <c r="X434" s="204"/>
      <c r="Y434" s="204"/>
      <c r="Z434" s="204"/>
      <c r="AA434" s="204"/>
      <c r="AB434" s="203"/>
      <c r="AC434" s="203"/>
      <c r="AD434" s="203"/>
      <c r="AE434" s="210"/>
      <c r="AF434" s="314"/>
      <c r="AG434" s="315"/>
      <c r="AH434" s="316"/>
      <c r="AI434" s="317"/>
      <c r="AJ434" s="316"/>
      <c r="AK434" s="317"/>
    </row>
    <row r="435" spans="2:37" s="178" customFormat="1" ht="15" hidden="1" customHeight="1" outlineLevel="4">
      <c r="B435" s="165" t="str">
        <f t="shared" si="13"/>
        <v>ن</v>
      </c>
      <c r="C435" s="164" t="str">
        <f t="shared" si="13"/>
        <v>ن3</v>
      </c>
      <c r="D435" s="184"/>
      <c r="E435" s="172"/>
      <c r="F435" s="171"/>
      <c r="G435" s="433" t="str">
        <f>'[1]القوائم المالية'!A27</f>
        <v>الموجودات غير المتداولة</v>
      </c>
      <c r="H435" s="433"/>
      <c r="I435" s="433"/>
      <c r="J435" s="433"/>
      <c r="K435" s="433"/>
      <c r="L435" s="433"/>
      <c r="M435" s="433"/>
      <c r="N435" s="433"/>
      <c r="O435" s="433"/>
      <c r="P435" s="433"/>
      <c r="Q435" s="433"/>
      <c r="R435" s="433"/>
      <c r="S435" s="433"/>
      <c r="T435" s="433"/>
      <c r="U435" s="433"/>
      <c r="V435" s="433"/>
      <c r="W435" s="433"/>
      <c r="X435" s="433"/>
      <c r="Y435" s="433"/>
      <c r="Z435" s="433"/>
      <c r="AA435" s="433"/>
      <c r="AB435" s="187"/>
      <c r="AC435" s="185"/>
      <c r="AD435" s="185"/>
      <c r="AE435" s="209"/>
      <c r="AF435" s="179"/>
      <c r="AG435" s="179"/>
      <c r="AH435" s="180"/>
      <c r="AI435" s="180"/>
      <c r="AJ435" s="179"/>
      <c r="AK435" s="179"/>
    </row>
    <row r="436" spans="2:37" s="178" customFormat="1" ht="15" hidden="1" customHeight="1" outlineLevel="4">
      <c r="B436" s="165" t="str">
        <f t="shared" si="13"/>
        <v>ن</v>
      </c>
      <c r="C436" s="164" t="str">
        <f t="shared" si="13"/>
        <v>ن3</v>
      </c>
      <c r="D436" s="184"/>
      <c r="E436" s="172"/>
      <c r="F436" s="171"/>
      <c r="G436" s="436" t="str">
        <f>'[1]القوائم المالية'!A28</f>
        <v>أصول غير ملموسة</v>
      </c>
      <c r="H436" s="437"/>
      <c r="I436" s="355"/>
      <c r="J436" s="355"/>
      <c r="K436" s="355"/>
      <c r="L436" s="355"/>
      <c r="M436" s="355"/>
      <c r="N436" s="355"/>
      <c r="O436" s="355"/>
      <c r="P436" s="355"/>
      <c r="Q436" s="355"/>
      <c r="R436" s="190"/>
      <c r="S436" s="190"/>
      <c r="T436" s="190"/>
      <c r="U436" s="190"/>
      <c r="V436" s="190"/>
      <c r="W436" s="190"/>
      <c r="X436" s="190"/>
      <c r="Y436" s="190"/>
      <c r="Z436" s="190"/>
      <c r="AA436" s="190"/>
      <c r="AB436" s="187"/>
      <c r="AC436" s="185"/>
      <c r="AD436" s="185"/>
      <c r="AE436" s="200">
        <v>38</v>
      </c>
      <c r="AF436" s="179" t="s">
        <v>2213</v>
      </c>
      <c r="AG436" s="179"/>
      <c r="AH436" s="180"/>
      <c r="AI436" s="180"/>
      <c r="AJ436" s="179"/>
      <c r="AK436" s="179"/>
    </row>
    <row r="437" spans="2:37" s="178" customFormat="1" ht="15" hidden="1" customHeight="1" outlineLevel="4">
      <c r="B437" s="165" t="str">
        <f t="shared" si="13"/>
        <v>ن</v>
      </c>
      <c r="C437" s="164" t="str">
        <f t="shared" si="13"/>
        <v>ن3</v>
      </c>
      <c r="D437" s="184"/>
      <c r="E437" s="172"/>
      <c r="F437" s="171"/>
      <c r="G437" s="436" t="str">
        <f>'[1]القوائم المالية'!A29</f>
        <v>أصول بموجب عقود ايجار تمويلي</v>
      </c>
      <c r="H437" s="437"/>
      <c r="I437" s="355"/>
      <c r="J437" s="355"/>
      <c r="K437" s="355"/>
      <c r="L437" s="355"/>
      <c r="M437" s="355"/>
      <c r="N437" s="355"/>
      <c r="O437" s="355"/>
      <c r="P437" s="355"/>
      <c r="Q437" s="355"/>
      <c r="R437" s="190"/>
      <c r="S437" s="190"/>
      <c r="T437" s="190"/>
      <c r="U437" s="190"/>
      <c r="V437" s="190"/>
      <c r="W437" s="190"/>
      <c r="X437" s="190"/>
      <c r="Y437" s="190"/>
      <c r="Z437" s="190"/>
      <c r="AA437" s="190"/>
      <c r="AB437" s="187"/>
      <c r="AC437" s="185"/>
      <c r="AD437" s="185"/>
      <c r="AE437" s="209"/>
      <c r="AF437" s="179" t="s">
        <v>2212</v>
      </c>
      <c r="AG437" s="179"/>
      <c r="AH437" s="180"/>
      <c r="AI437" s="180"/>
      <c r="AJ437" s="179"/>
      <c r="AK437" s="179"/>
    </row>
    <row r="438" spans="2:37" s="178" customFormat="1" ht="15" hidden="1" customHeight="1" outlineLevel="4">
      <c r="B438" s="165" t="str">
        <f t="shared" si="13"/>
        <v>ن</v>
      </c>
      <c r="C438" s="164" t="str">
        <f t="shared" si="13"/>
        <v>ن3</v>
      </c>
      <c r="D438" s="184"/>
      <c r="E438" s="172"/>
      <c r="F438" s="171"/>
      <c r="G438" s="436" t="str">
        <f>'[1]القوائم المالية'!A30</f>
        <v>استثمارات طويلة الاجل</v>
      </c>
      <c r="H438" s="437"/>
      <c r="I438" s="355"/>
      <c r="J438" s="355"/>
      <c r="K438" s="355"/>
      <c r="L438" s="355"/>
      <c r="M438" s="355"/>
      <c r="N438" s="355"/>
      <c r="O438" s="355"/>
      <c r="P438" s="355"/>
      <c r="Q438" s="355"/>
      <c r="R438" s="190"/>
      <c r="S438" s="190"/>
      <c r="T438" s="190"/>
      <c r="U438" s="190"/>
      <c r="V438" s="190"/>
      <c r="W438" s="190"/>
      <c r="X438" s="190"/>
      <c r="Y438" s="190"/>
      <c r="Z438" s="190"/>
      <c r="AA438" s="190"/>
      <c r="AB438" s="187"/>
      <c r="AC438" s="185"/>
      <c r="AD438" s="185"/>
      <c r="AE438" s="209"/>
      <c r="AF438" s="179" t="s">
        <v>2211</v>
      </c>
      <c r="AG438" s="179"/>
      <c r="AH438" s="180"/>
      <c r="AI438" s="180"/>
      <c r="AJ438" s="179"/>
      <c r="AK438" s="179"/>
    </row>
    <row r="439" spans="2:37" s="178" customFormat="1" ht="15" hidden="1" customHeight="1" outlineLevel="4">
      <c r="B439" s="165" t="str">
        <f t="shared" si="13"/>
        <v>ن</v>
      </c>
      <c r="C439" s="164" t="str">
        <f t="shared" si="13"/>
        <v>ن3</v>
      </c>
      <c r="D439" s="184"/>
      <c r="E439" s="172"/>
      <c r="F439" s="171"/>
      <c r="G439" s="436" t="str">
        <f>'[1]القوائم المالية'!A31</f>
        <v>استثمارات متاحة للبيع</v>
      </c>
      <c r="H439" s="437"/>
      <c r="I439" s="355"/>
      <c r="J439" s="355"/>
      <c r="K439" s="355"/>
      <c r="L439" s="355"/>
      <c r="M439" s="355"/>
      <c r="N439" s="355"/>
      <c r="O439" s="355"/>
      <c r="P439" s="355"/>
      <c r="Q439" s="355"/>
      <c r="R439" s="190"/>
      <c r="S439" s="190"/>
      <c r="T439" s="190"/>
      <c r="U439" s="190"/>
      <c r="V439" s="190"/>
      <c r="W439" s="190"/>
      <c r="X439" s="190"/>
      <c r="Y439" s="190"/>
      <c r="Z439" s="190"/>
      <c r="AA439" s="190"/>
      <c r="AB439" s="187"/>
      <c r="AC439" s="185"/>
      <c r="AD439" s="185"/>
      <c r="AE439" s="209"/>
      <c r="AF439" s="179" t="s">
        <v>2210</v>
      </c>
      <c r="AG439" s="179"/>
      <c r="AH439" s="180"/>
      <c r="AI439" s="180"/>
      <c r="AJ439" s="179"/>
      <c r="AK439" s="179"/>
    </row>
    <row r="440" spans="2:37" s="178" customFormat="1" ht="15" hidden="1" customHeight="1" outlineLevel="4">
      <c r="B440" s="165" t="str">
        <f t="shared" si="13"/>
        <v>ن</v>
      </c>
      <c r="C440" s="164" t="str">
        <f t="shared" si="13"/>
        <v>ن3</v>
      </c>
      <c r="D440" s="184"/>
      <c r="E440" s="172"/>
      <c r="F440" s="171"/>
      <c r="G440" s="436" t="str">
        <f>'[1]القوائم المالية'!A32</f>
        <v>مصاريف ايرادية مؤجلة</v>
      </c>
      <c r="H440" s="437"/>
      <c r="I440" s="355"/>
      <c r="J440" s="355"/>
      <c r="K440" s="355"/>
      <c r="L440" s="355"/>
      <c r="M440" s="355"/>
      <c r="N440" s="355"/>
      <c r="O440" s="355"/>
      <c r="P440" s="355"/>
      <c r="Q440" s="355"/>
      <c r="R440" s="190"/>
      <c r="S440" s="190"/>
      <c r="T440" s="190"/>
      <c r="U440" s="190"/>
      <c r="V440" s="190"/>
      <c r="W440" s="190"/>
      <c r="X440" s="190"/>
      <c r="Y440" s="190"/>
      <c r="Z440" s="190"/>
      <c r="AA440" s="190"/>
      <c r="AB440" s="187"/>
      <c r="AC440" s="185"/>
      <c r="AD440" s="185"/>
      <c r="AE440" s="209"/>
      <c r="AF440" s="179" t="s">
        <v>2209</v>
      </c>
      <c r="AG440" s="179"/>
      <c r="AH440" s="180"/>
      <c r="AI440" s="180"/>
      <c r="AJ440" s="179"/>
      <c r="AK440" s="179"/>
    </row>
    <row r="441" spans="2:37" s="178" customFormat="1" ht="15" hidden="1" customHeight="1" outlineLevel="4">
      <c r="B441" s="165" t="str">
        <f t="shared" si="13"/>
        <v>ن</v>
      </c>
      <c r="C441" s="164" t="str">
        <f t="shared" si="13"/>
        <v>ن3</v>
      </c>
      <c r="D441" s="184"/>
      <c r="E441" s="172"/>
      <c r="F441" s="171"/>
      <c r="G441" s="436" t="str">
        <f>'[1]القوائم المالية'!A33</f>
        <v>مصاريف التاسيس ومشاريع تحت التنفيذ</v>
      </c>
      <c r="H441" s="437"/>
      <c r="I441" s="355"/>
      <c r="J441" s="355"/>
      <c r="K441" s="355"/>
      <c r="L441" s="355"/>
      <c r="M441" s="355"/>
      <c r="N441" s="355"/>
      <c r="O441" s="355"/>
      <c r="P441" s="355"/>
      <c r="Q441" s="355"/>
      <c r="R441" s="190"/>
      <c r="S441" s="190"/>
      <c r="T441" s="190"/>
      <c r="U441" s="190"/>
      <c r="V441" s="190"/>
      <c r="W441" s="190"/>
      <c r="X441" s="190"/>
      <c r="Y441" s="190"/>
      <c r="Z441" s="190"/>
      <c r="AA441" s="190"/>
      <c r="AB441" s="187"/>
      <c r="AC441" s="185"/>
      <c r="AD441" s="185"/>
      <c r="AE441" s="209"/>
      <c r="AF441" s="179" t="s">
        <v>2208</v>
      </c>
      <c r="AG441" s="179"/>
      <c r="AH441" s="180"/>
      <c r="AI441" s="180"/>
      <c r="AJ441" s="179"/>
      <c r="AK441" s="179"/>
    </row>
    <row r="442" spans="2:37" s="178" customFormat="1" ht="15" hidden="1" customHeight="1" outlineLevel="4">
      <c r="B442" s="165" t="str">
        <f t="shared" si="13"/>
        <v>ن</v>
      </c>
      <c r="C442" s="164" t="str">
        <f t="shared" si="13"/>
        <v>ن3</v>
      </c>
      <c r="D442" s="184"/>
      <c r="E442" s="172"/>
      <c r="F442" s="171"/>
      <c r="G442" s="436" t="str">
        <f>'[1]القوائم المالية'!A34</f>
        <v>الممتلكات والالات والمعدات</v>
      </c>
      <c r="H442" s="437"/>
      <c r="I442" s="355"/>
      <c r="J442" s="355"/>
      <c r="K442" s="355"/>
      <c r="L442" s="355"/>
      <c r="M442" s="355"/>
      <c r="N442" s="355"/>
      <c r="O442" s="355"/>
      <c r="P442" s="355"/>
      <c r="Q442" s="355"/>
      <c r="R442" s="190"/>
      <c r="S442" s="190"/>
      <c r="T442" s="190"/>
      <c r="U442" s="190"/>
      <c r="V442" s="190"/>
      <c r="W442" s="190"/>
      <c r="X442" s="190"/>
      <c r="Y442" s="190"/>
      <c r="Z442" s="190"/>
      <c r="AA442" s="190"/>
      <c r="AB442" s="185"/>
      <c r="AC442" s="206"/>
      <c r="AD442" s="206"/>
      <c r="AE442" s="208">
        <v>16</v>
      </c>
      <c r="AF442" s="179" t="s">
        <v>2207</v>
      </c>
      <c r="AG442" s="179"/>
      <c r="AH442" s="180"/>
      <c r="AI442" s="180"/>
      <c r="AJ442" s="179"/>
      <c r="AK442" s="207"/>
    </row>
    <row r="443" spans="2:37" s="178" customFormat="1" ht="15" hidden="1" customHeight="1" outlineLevel="4">
      <c r="B443" s="165" t="str">
        <f t="shared" si="13"/>
        <v>ن</v>
      </c>
      <c r="C443" s="164" t="str">
        <f t="shared" si="13"/>
        <v>ن3</v>
      </c>
      <c r="D443" s="184"/>
      <c r="E443" s="172"/>
      <c r="F443" s="171"/>
      <c r="G443" s="436" t="str">
        <f>'[1]القوائم المالية'!A41</f>
        <v>مجموع الموجودات غير المتداولة</v>
      </c>
      <c r="H443" s="437"/>
      <c r="I443" s="355"/>
      <c r="J443" s="355"/>
      <c r="K443" s="355"/>
      <c r="L443" s="355"/>
      <c r="M443" s="355"/>
      <c r="N443" s="355"/>
      <c r="O443" s="355"/>
      <c r="P443" s="355"/>
      <c r="Q443" s="355"/>
      <c r="R443" s="204"/>
      <c r="S443" s="204"/>
      <c r="T443" s="204"/>
      <c r="U443" s="204"/>
      <c r="V443" s="204"/>
      <c r="W443" s="204"/>
      <c r="X443" s="204"/>
      <c r="Y443" s="204"/>
      <c r="Z443" s="204"/>
      <c r="AA443" s="204"/>
      <c r="AB443" s="203"/>
      <c r="AC443" s="206"/>
      <c r="AD443" s="185"/>
      <c r="AE443" s="318">
        <v>36</v>
      </c>
      <c r="AF443" s="319"/>
      <c r="AG443" s="320"/>
      <c r="AH443" s="317"/>
      <c r="AI443" s="316"/>
      <c r="AJ443" s="317"/>
      <c r="AK443" s="316"/>
    </row>
    <row r="444" spans="2:37" s="178" customFormat="1" ht="15" hidden="1" customHeight="1" outlineLevel="4" thickBot="1">
      <c r="B444" s="165" t="str">
        <f t="shared" si="13"/>
        <v>ن</v>
      </c>
      <c r="C444" s="164" t="str">
        <f t="shared" si="13"/>
        <v>ن3</v>
      </c>
      <c r="D444" s="184"/>
      <c r="E444" s="172"/>
      <c r="F444" s="171"/>
      <c r="G444" s="436" t="str">
        <f>'[1]القوائم المالية'!A42</f>
        <v xml:space="preserve"> إجمالي الموجودات</v>
      </c>
      <c r="H444" s="437"/>
      <c r="I444" s="355"/>
      <c r="J444" s="355"/>
      <c r="K444" s="355"/>
      <c r="L444" s="355"/>
      <c r="M444" s="355"/>
      <c r="N444" s="355"/>
      <c r="O444" s="355"/>
      <c r="P444" s="355"/>
      <c r="Q444" s="355"/>
      <c r="R444" s="199"/>
      <c r="S444" s="199"/>
      <c r="T444" s="199"/>
      <c r="U444" s="199"/>
      <c r="V444" s="199"/>
      <c r="W444" s="199"/>
      <c r="X444" s="199"/>
      <c r="Y444" s="199"/>
      <c r="Z444" s="199"/>
      <c r="AA444" s="199"/>
      <c r="AB444" s="199"/>
      <c r="AC444" s="199"/>
      <c r="AD444" s="199"/>
      <c r="AE444" s="199"/>
      <c r="AF444" s="179"/>
      <c r="AG444" s="196"/>
      <c r="AH444" s="197"/>
      <c r="AI444" s="197"/>
      <c r="AJ444" s="197"/>
      <c r="AK444" s="197"/>
    </row>
    <row r="445" spans="2:37" s="178" customFormat="1" ht="15" hidden="1" customHeight="1" outlineLevel="4" thickTop="1">
      <c r="B445" s="165" t="str">
        <f t="shared" si="13"/>
        <v>ن</v>
      </c>
      <c r="C445" s="164" t="str">
        <f t="shared" si="13"/>
        <v>ن3</v>
      </c>
      <c r="D445" s="184"/>
      <c r="E445" s="172"/>
      <c r="F445" s="171"/>
      <c r="G445" s="438"/>
      <c r="H445" s="439"/>
      <c r="I445" s="190"/>
      <c r="J445" s="190"/>
      <c r="K445" s="190"/>
      <c r="L445" s="190"/>
      <c r="M445" s="190"/>
      <c r="N445" s="190"/>
      <c r="O445" s="190"/>
      <c r="P445" s="190"/>
      <c r="Q445" s="190"/>
      <c r="R445" s="190"/>
      <c r="S445" s="190"/>
      <c r="T445" s="190"/>
      <c r="U445" s="190"/>
      <c r="V445" s="190"/>
      <c r="W445" s="190"/>
      <c r="X445" s="190"/>
      <c r="Y445" s="190"/>
      <c r="Z445" s="190"/>
      <c r="AA445" s="190"/>
      <c r="AB445" s="187"/>
      <c r="AC445" s="185"/>
      <c r="AD445" s="185"/>
      <c r="AE445" s="185"/>
      <c r="AF445" s="179"/>
      <c r="AG445" s="179"/>
      <c r="AH445" s="180"/>
      <c r="AI445" s="180"/>
      <c r="AJ445" s="179"/>
      <c r="AK445" s="179"/>
    </row>
    <row r="446" spans="2:37" s="178" customFormat="1" ht="15" hidden="1" customHeight="1" outlineLevel="4">
      <c r="B446" s="165" t="str">
        <f t="shared" si="13"/>
        <v>ن</v>
      </c>
      <c r="C446" s="164" t="str">
        <f t="shared" si="13"/>
        <v>ن3</v>
      </c>
      <c r="D446" s="184"/>
      <c r="E446" s="172"/>
      <c r="F446" s="171"/>
      <c r="G446" s="436" t="str">
        <f>'[1]القوائم المالية'!A44</f>
        <v>المطلوبات وحقوق الشركاء</v>
      </c>
      <c r="H446" s="437"/>
      <c r="I446" s="355"/>
      <c r="J446" s="355"/>
      <c r="K446" s="355"/>
      <c r="L446" s="355"/>
      <c r="M446" s="355"/>
      <c r="N446" s="355"/>
      <c r="O446" s="355"/>
      <c r="P446" s="355"/>
      <c r="Q446" s="355"/>
      <c r="R446" s="190"/>
      <c r="S446" s="190"/>
      <c r="T446" s="190"/>
      <c r="U446" s="190"/>
      <c r="V446" s="190"/>
      <c r="W446" s="190"/>
      <c r="X446" s="190"/>
      <c r="Y446" s="190"/>
      <c r="Z446" s="190"/>
      <c r="AA446" s="190"/>
      <c r="AB446" s="187"/>
      <c r="AC446" s="185"/>
      <c r="AD446" s="185"/>
      <c r="AE446" s="185"/>
      <c r="AF446" s="179"/>
      <c r="AG446" s="179"/>
      <c r="AH446" s="180"/>
      <c r="AI446" s="180"/>
      <c r="AJ446" s="179"/>
      <c r="AK446" s="179"/>
    </row>
    <row r="447" spans="2:37" s="178" customFormat="1" ht="15" hidden="1" customHeight="1" outlineLevel="4">
      <c r="B447" s="165" t="str">
        <f t="shared" si="13"/>
        <v>ن</v>
      </c>
      <c r="C447" s="164" t="str">
        <f t="shared" si="13"/>
        <v>ن3</v>
      </c>
      <c r="D447" s="184"/>
      <c r="E447" s="172"/>
      <c r="F447" s="171"/>
      <c r="G447" s="433" t="str">
        <f>'[1]القوائم المالية'!A45</f>
        <v>المطلوبات المتداولة:</v>
      </c>
      <c r="H447" s="433"/>
      <c r="I447" s="433"/>
      <c r="J447" s="433"/>
      <c r="K447" s="433"/>
      <c r="L447" s="433"/>
      <c r="M447" s="433"/>
      <c r="N447" s="433"/>
      <c r="O447" s="433"/>
      <c r="P447" s="433"/>
      <c r="Q447" s="433"/>
      <c r="R447" s="433"/>
      <c r="S447" s="433"/>
      <c r="T447" s="433"/>
      <c r="U447" s="433"/>
      <c r="V447" s="433"/>
      <c r="W447" s="433"/>
      <c r="X447" s="433"/>
      <c r="Y447" s="433"/>
      <c r="Z447" s="433"/>
      <c r="AA447" s="433"/>
      <c r="AB447" s="187"/>
      <c r="AC447" s="185"/>
      <c r="AD447" s="185"/>
      <c r="AE447" s="185"/>
      <c r="AF447" s="179"/>
      <c r="AG447" s="179"/>
      <c r="AH447" s="180"/>
      <c r="AI447" s="180"/>
      <c r="AJ447" s="179"/>
      <c r="AK447" s="179"/>
    </row>
    <row r="448" spans="2:37" s="178" customFormat="1" ht="15" hidden="1" customHeight="1" outlineLevel="4">
      <c r="B448" s="165" t="str">
        <f t="shared" si="13"/>
        <v>ن</v>
      </c>
      <c r="C448" s="164" t="str">
        <f t="shared" si="13"/>
        <v>ن3</v>
      </c>
      <c r="D448" s="184"/>
      <c r="E448" s="172"/>
      <c r="F448" s="171"/>
      <c r="G448" s="436" t="str">
        <f>'[1]القوائم المالية'!A46</f>
        <v>ذمم وارصدة دائنة تجارية</v>
      </c>
      <c r="H448" s="437"/>
      <c r="I448" s="355"/>
      <c r="J448" s="355"/>
      <c r="K448" s="355"/>
      <c r="L448" s="355"/>
      <c r="M448" s="355"/>
      <c r="N448" s="355"/>
      <c r="O448" s="355"/>
      <c r="P448" s="355"/>
      <c r="Q448" s="355"/>
      <c r="R448" s="190"/>
      <c r="S448" s="190"/>
      <c r="T448" s="190"/>
      <c r="U448" s="190"/>
      <c r="V448" s="190"/>
      <c r="W448" s="190"/>
      <c r="X448" s="190"/>
      <c r="Y448" s="190"/>
      <c r="Z448" s="190"/>
      <c r="AA448" s="190"/>
      <c r="AB448" s="187"/>
      <c r="AC448" s="185"/>
      <c r="AD448" s="185"/>
      <c r="AE448" s="185"/>
      <c r="AF448" s="179" t="s">
        <v>2206</v>
      </c>
      <c r="AG448" s="179"/>
      <c r="AH448" s="180"/>
      <c r="AI448" s="180"/>
      <c r="AJ448" s="179"/>
      <c r="AK448" s="179"/>
    </row>
    <row r="449" spans="2:37" s="178" customFormat="1" ht="15" hidden="1" customHeight="1" outlineLevel="4">
      <c r="B449" s="165" t="str">
        <f t="shared" si="13"/>
        <v>ن</v>
      </c>
      <c r="C449" s="164" t="str">
        <f t="shared" si="13"/>
        <v>ن3</v>
      </c>
      <c r="D449" s="184"/>
      <c r="E449" s="172"/>
      <c r="F449" s="171"/>
      <c r="G449" s="436" t="str">
        <f>'[1]القوائم المالية'!A47</f>
        <v>ذمم وارصدة دائنة اخري</v>
      </c>
      <c r="H449" s="437"/>
      <c r="I449" s="355"/>
      <c r="J449" s="355"/>
      <c r="K449" s="355"/>
      <c r="L449" s="355"/>
      <c r="M449" s="355"/>
      <c r="N449" s="355"/>
      <c r="O449" s="355"/>
      <c r="P449" s="355"/>
      <c r="Q449" s="355"/>
      <c r="R449" s="190"/>
      <c r="S449" s="190"/>
      <c r="T449" s="190"/>
      <c r="U449" s="190"/>
      <c r="V449" s="190"/>
      <c r="W449" s="190"/>
      <c r="X449" s="190"/>
      <c r="Y449" s="190"/>
      <c r="Z449" s="190"/>
      <c r="AA449" s="190"/>
      <c r="AB449" s="187"/>
      <c r="AC449" s="185"/>
      <c r="AD449" s="185"/>
      <c r="AE449" s="185"/>
      <c r="AF449" s="179" t="s">
        <v>2205</v>
      </c>
      <c r="AG449" s="179"/>
      <c r="AH449" s="180"/>
      <c r="AI449" s="180"/>
      <c r="AJ449" s="179"/>
      <c r="AK449" s="179"/>
    </row>
    <row r="450" spans="2:37" s="178" customFormat="1" ht="15" hidden="1" customHeight="1" outlineLevel="4">
      <c r="B450" s="165" t="str">
        <f t="shared" si="13"/>
        <v>ن</v>
      </c>
      <c r="C450" s="164" t="str">
        <f t="shared" si="13"/>
        <v>ن3</v>
      </c>
      <c r="D450" s="184"/>
      <c r="E450" s="172"/>
      <c r="F450" s="171"/>
      <c r="G450" s="436" t="str">
        <f>'[1]القوائم المالية'!A48</f>
        <v>مستحق الي أطرف ذات علاقة ضمن المطلوبات المتداولة شركات شقيقة</v>
      </c>
      <c r="H450" s="437"/>
      <c r="I450" s="355"/>
      <c r="J450" s="355"/>
      <c r="K450" s="355"/>
      <c r="L450" s="355"/>
      <c r="M450" s="355"/>
      <c r="N450" s="355"/>
      <c r="O450" s="355"/>
      <c r="P450" s="355"/>
      <c r="Q450" s="355"/>
      <c r="R450" s="190"/>
      <c r="S450" s="190"/>
      <c r="T450" s="190"/>
      <c r="U450" s="190"/>
      <c r="V450" s="190"/>
      <c r="W450" s="190"/>
      <c r="X450" s="190"/>
      <c r="Y450" s="190"/>
      <c r="Z450" s="190"/>
      <c r="AA450" s="190"/>
      <c r="AB450" s="187"/>
      <c r="AC450" s="185"/>
      <c r="AD450" s="185"/>
      <c r="AE450" s="205">
        <v>24</v>
      </c>
      <c r="AF450" s="179" t="s">
        <v>2204</v>
      </c>
      <c r="AG450" s="179"/>
      <c r="AH450" s="180"/>
      <c r="AI450" s="180"/>
      <c r="AJ450" s="179"/>
      <c r="AK450" s="179"/>
    </row>
    <row r="451" spans="2:37" s="178" customFormat="1" ht="15" hidden="1" customHeight="1" outlineLevel="4">
      <c r="B451" s="165" t="str">
        <f t="shared" si="13"/>
        <v>ن</v>
      </c>
      <c r="C451" s="164" t="str">
        <f t="shared" si="13"/>
        <v>ن3</v>
      </c>
      <c r="D451" s="184"/>
      <c r="E451" s="172"/>
      <c r="F451" s="171"/>
      <c r="G451" s="436" t="str">
        <f>'[1]القوائم المالية'!A49</f>
        <v>مستحق الي أطرف ذات علاقة ضمن المطلوبات المتداولة شركاء</v>
      </c>
      <c r="H451" s="437"/>
      <c r="I451" s="355"/>
      <c r="J451" s="355"/>
      <c r="K451" s="355"/>
      <c r="L451" s="355"/>
      <c r="M451" s="355"/>
      <c r="N451" s="355"/>
      <c r="O451" s="355"/>
      <c r="P451" s="355"/>
      <c r="Q451" s="355"/>
      <c r="R451" s="190"/>
      <c r="S451" s="190"/>
      <c r="T451" s="190"/>
      <c r="U451" s="190"/>
      <c r="V451" s="190"/>
      <c r="W451" s="190"/>
      <c r="X451" s="190"/>
      <c r="Y451" s="190"/>
      <c r="Z451" s="190"/>
      <c r="AA451" s="190"/>
      <c r="AB451" s="187"/>
      <c r="AC451" s="185"/>
      <c r="AD451" s="185"/>
      <c r="AE451" s="205">
        <v>24</v>
      </c>
      <c r="AF451" s="179" t="s">
        <v>2203</v>
      </c>
      <c r="AG451" s="179"/>
      <c r="AH451" s="180"/>
      <c r="AI451" s="180"/>
      <c r="AJ451" s="179"/>
      <c r="AK451" s="179"/>
    </row>
    <row r="452" spans="2:37" s="178" customFormat="1" ht="15" hidden="1" customHeight="1" outlineLevel="4">
      <c r="B452" s="165" t="str">
        <f t="shared" si="13"/>
        <v>ن</v>
      </c>
      <c r="C452" s="164" t="str">
        <f t="shared" si="13"/>
        <v>ن3</v>
      </c>
      <c r="D452" s="184"/>
      <c r="E452" s="172"/>
      <c r="F452" s="171"/>
      <c r="G452" s="436" t="str">
        <f>'[1]القوائم المالية'!A50</f>
        <v>الجزء المتداول من الالتزامات بموجب عقود ايجار تمويلي</v>
      </c>
      <c r="H452" s="437"/>
      <c r="I452" s="355"/>
      <c r="J452" s="355"/>
      <c r="K452" s="355"/>
      <c r="L452" s="355"/>
      <c r="M452" s="355"/>
      <c r="N452" s="355"/>
      <c r="O452" s="355"/>
      <c r="P452" s="355"/>
      <c r="Q452" s="355"/>
      <c r="R452" s="190"/>
      <c r="S452" s="190"/>
      <c r="T452" s="190"/>
      <c r="U452" s="190"/>
      <c r="V452" s="190"/>
      <c r="W452" s="190"/>
      <c r="X452" s="190"/>
      <c r="Y452" s="190"/>
      <c r="Z452" s="190"/>
      <c r="AA452" s="190"/>
      <c r="AB452" s="187"/>
      <c r="AC452" s="185"/>
      <c r="AD452" s="185"/>
      <c r="AE452" s="185"/>
      <c r="AF452" s="179" t="s">
        <v>2202</v>
      </c>
      <c r="AG452" s="179"/>
      <c r="AH452" s="180"/>
      <c r="AI452" s="180"/>
      <c r="AJ452" s="179"/>
      <c r="AK452" s="179"/>
    </row>
    <row r="453" spans="2:37" s="178" customFormat="1" ht="15" hidden="1" customHeight="1" outlineLevel="4">
      <c r="B453" s="165" t="str">
        <f t="shared" si="13"/>
        <v>ن</v>
      </c>
      <c r="C453" s="164" t="str">
        <f t="shared" si="13"/>
        <v>ن3</v>
      </c>
      <c r="D453" s="184"/>
      <c r="E453" s="172"/>
      <c r="F453" s="171"/>
      <c r="G453" s="436" t="str">
        <f>'[1]القوائم المالية'!A51</f>
        <v>الجزء المتداول من قروض قصيرة الاجل</v>
      </c>
      <c r="H453" s="437"/>
      <c r="I453" s="355"/>
      <c r="J453" s="355"/>
      <c r="K453" s="355"/>
      <c r="L453" s="355"/>
      <c r="M453" s="355"/>
      <c r="N453" s="355"/>
      <c r="O453" s="355"/>
      <c r="P453" s="355"/>
      <c r="Q453" s="355"/>
      <c r="R453" s="190"/>
      <c r="S453" s="190"/>
      <c r="T453" s="190"/>
      <c r="U453" s="190"/>
      <c r="V453" s="190"/>
      <c r="W453" s="190"/>
      <c r="X453" s="190"/>
      <c r="Y453" s="190"/>
      <c r="Z453" s="190"/>
      <c r="AA453" s="190"/>
      <c r="AB453" s="187"/>
      <c r="AC453" s="185"/>
      <c r="AD453" s="185"/>
      <c r="AE453" s="185"/>
      <c r="AF453" s="179" t="s">
        <v>2201</v>
      </c>
      <c r="AG453" s="179"/>
      <c r="AH453" s="180"/>
      <c r="AI453" s="180"/>
      <c r="AJ453" s="179"/>
      <c r="AK453" s="179"/>
    </row>
    <row r="454" spans="2:37" s="178" customFormat="1" ht="15" hidden="1" customHeight="1" outlineLevel="4">
      <c r="B454" s="165" t="str">
        <f t="shared" si="13"/>
        <v>ن</v>
      </c>
      <c r="C454" s="164" t="str">
        <f t="shared" si="13"/>
        <v>ن3</v>
      </c>
      <c r="D454" s="184"/>
      <c r="E454" s="172"/>
      <c r="F454" s="171"/>
      <c r="G454" s="436" t="str">
        <f>'[1]القوائم المالية'!A52</f>
        <v>الجزء المتداول من قروض طويلة الاجل</v>
      </c>
      <c r="H454" s="437"/>
      <c r="I454" s="355"/>
      <c r="J454" s="355"/>
      <c r="K454" s="355"/>
      <c r="L454" s="355"/>
      <c r="M454" s="355"/>
      <c r="N454" s="355"/>
      <c r="O454" s="355"/>
      <c r="P454" s="355"/>
      <c r="Q454" s="355"/>
      <c r="R454" s="190"/>
      <c r="S454" s="190"/>
      <c r="T454" s="190"/>
      <c r="U454" s="190"/>
      <c r="V454" s="190"/>
      <c r="W454" s="190"/>
      <c r="X454" s="190"/>
      <c r="Y454" s="190"/>
      <c r="Z454" s="190"/>
      <c r="AA454" s="190"/>
      <c r="AB454" s="187"/>
      <c r="AC454" s="185"/>
      <c r="AD454" s="185"/>
      <c r="AE454" s="185"/>
      <c r="AF454" s="179" t="s">
        <v>2200</v>
      </c>
      <c r="AG454" s="179"/>
      <c r="AH454" s="180"/>
      <c r="AI454" s="180"/>
      <c r="AJ454" s="179"/>
      <c r="AK454" s="179"/>
    </row>
    <row r="455" spans="2:37" s="178" customFormat="1" ht="15" hidden="1" customHeight="1" outlineLevel="4">
      <c r="B455" s="165" t="str">
        <f t="shared" si="13"/>
        <v>ن</v>
      </c>
      <c r="C455" s="164" t="str">
        <f t="shared" si="13"/>
        <v>ن3</v>
      </c>
      <c r="D455" s="184"/>
      <c r="E455" s="172"/>
      <c r="F455" s="171"/>
      <c r="G455" s="436" t="str">
        <f>'[1]القوائم المالية'!A53</f>
        <v>مصروفات مستحقة</v>
      </c>
      <c r="H455" s="437"/>
      <c r="I455" s="355"/>
      <c r="J455" s="355"/>
      <c r="K455" s="355"/>
      <c r="L455" s="355"/>
      <c r="M455" s="355"/>
      <c r="N455" s="355"/>
      <c r="O455" s="355"/>
      <c r="P455" s="355"/>
      <c r="Q455" s="355"/>
      <c r="R455" s="190"/>
      <c r="S455" s="190"/>
      <c r="T455" s="190"/>
      <c r="U455" s="190"/>
      <c r="V455" s="190"/>
      <c r="W455" s="190"/>
      <c r="X455" s="190"/>
      <c r="Y455" s="190"/>
      <c r="Z455" s="190"/>
      <c r="AA455" s="190"/>
      <c r="AB455" s="187"/>
      <c r="AC455" s="185"/>
      <c r="AD455" s="185"/>
      <c r="AE455" s="185"/>
      <c r="AF455" s="179" t="s">
        <v>2199</v>
      </c>
      <c r="AG455" s="179"/>
      <c r="AH455" s="180"/>
      <c r="AI455" s="180"/>
      <c r="AJ455" s="179"/>
      <c r="AK455" s="179"/>
    </row>
    <row r="456" spans="2:37" s="178" customFormat="1" ht="15" hidden="1" customHeight="1" outlineLevel="4">
      <c r="B456" s="165" t="str">
        <f t="shared" si="13"/>
        <v>ن</v>
      </c>
      <c r="C456" s="164" t="str">
        <f t="shared" si="13"/>
        <v>ن3</v>
      </c>
      <c r="D456" s="184"/>
      <c r="E456" s="172"/>
      <c r="F456" s="171"/>
      <c r="G456" s="436" t="str">
        <f>'[1]القوائم المالية'!A54</f>
        <v>اوراق دفع</v>
      </c>
      <c r="H456" s="437"/>
      <c r="I456" s="355"/>
      <c r="J456" s="355"/>
      <c r="K456" s="355"/>
      <c r="L456" s="355"/>
      <c r="M456" s="355"/>
      <c r="N456" s="355"/>
      <c r="O456" s="355"/>
      <c r="P456" s="355"/>
      <c r="Q456" s="355"/>
      <c r="R456" s="190"/>
      <c r="S456" s="190"/>
      <c r="T456" s="190"/>
      <c r="U456" s="190"/>
      <c r="V456" s="190"/>
      <c r="W456" s="190"/>
      <c r="X456" s="190"/>
      <c r="Y456" s="190"/>
      <c r="Z456" s="190"/>
      <c r="AA456" s="190"/>
      <c r="AB456" s="187"/>
      <c r="AC456" s="185"/>
      <c r="AD456" s="185"/>
      <c r="AE456" s="185"/>
      <c r="AF456" s="179" t="s">
        <v>2198</v>
      </c>
      <c r="AG456" s="179"/>
      <c r="AH456" s="180"/>
      <c r="AI456" s="180"/>
      <c r="AJ456" s="179"/>
      <c r="AK456" s="179"/>
    </row>
    <row r="457" spans="2:37" s="178" customFormat="1" ht="15" hidden="1" customHeight="1" outlineLevel="4">
      <c r="B457" s="165" t="str">
        <f t="shared" si="13"/>
        <v>ن</v>
      </c>
      <c r="C457" s="164" t="str">
        <f t="shared" si="13"/>
        <v>ن3</v>
      </c>
      <c r="D457" s="184"/>
      <c r="E457" s="172"/>
      <c r="F457" s="171"/>
      <c r="G457" s="436" t="str">
        <f>'[1]القوائم المالية'!A60</f>
        <v>مخصص الزكاة والضريبة</v>
      </c>
      <c r="H457" s="437"/>
      <c r="I457" s="355"/>
      <c r="J457" s="355"/>
      <c r="K457" s="355"/>
      <c r="L457" s="355"/>
      <c r="M457" s="355"/>
      <c r="N457" s="355"/>
      <c r="O457" s="355"/>
      <c r="P457" s="355"/>
      <c r="Q457" s="355"/>
      <c r="R457" s="190"/>
      <c r="S457" s="190"/>
      <c r="T457" s="190"/>
      <c r="U457" s="190"/>
      <c r="V457" s="190"/>
      <c r="W457" s="190"/>
      <c r="X457" s="190"/>
      <c r="Y457" s="190"/>
      <c r="Z457" s="190"/>
      <c r="AA457" s="190"/>
      <c r="AB457" s="185"/>
      <c r="AC457" s="185"/>
      <c r="AD457" s="185"/>
      <c r="AE457" s="185"/>
      <c r="AF457" s="179" t="s">
        <v>2197</v>
      </c>
      <c r="AG457" s="179"/>
      <c r="AH457" s="180"/>
      <c r="AI457" s="180"/>
      <c r="AJ457" s="179"/>
      <c r="AK457" s="179"/>
    </row>
    <row r="458" spans="2:37" s="178" customFormat="1" ht="15" hidden="1" customHeight="1" outlineLevel="4">
      <c r="B458" s="165" t="str">
        <f t="shared" si="13"/>
        <v>ن</v>
      </c>
      <c r="C458" s="164" t="str">
        <f t="shared" si="13"/>
        <v>ن3</v>
      </c>
      <c r="D458" s="184"/>
      <c r="E458" s="172"/>
      <c r="F458" s="171"/>
      <c r="G458" s="436" t="str">
        <f>'[1]القوائم المالية'!A62</f>
        <v>مجموع المطلوبات المتداولة</v>
      </c>
      <c r="H458" s="437"/>
      <c r="I458" s="355"/>
      <c r="J458" s="355"/>
      <c r="K458" s="355"/>
      <c r="L458" s="355"/>
      <c r="M458" s="355"/>
      <c r="N458" s="355"/>
      <c r="O458" s="355"/>
      <c r="P458" s="355"/>
      <c r="Q458" s="355"/>
      <c r="R458" s="204"/>
      <c r="S458" s="204"/>
      <c r="T458" s="204"/>
      <c r="U458" s="204"/>
      <c r="V458" s="204"/>
      <c r="W458" s="204"/>
      <c r="X458" s="204"/>
      <c r="Y458" s="204"/>
      <c r="Z458" s="204"/>
      <c r="AA458" s="204"/>
      <c r="AB458" s="203"/>
      <c r="AC458" s="203"/>
      <c r="AD458" s="203"/>
      <c r="AE458" s="203"/>
      <c r="AF458" s="179"/>
      <c r="AG458" s="201"/>
      <c r="AH458" s="202"/>
      <c r="AI458" s="202"/>
      <c r="AJ458" s="201"/>
      <c r="AK458" s="201"/>
    </row>
    <row r="459" spans="2:37" s="178" customFormat="1" ht="15" hidden="1" customHeight="1" outlineLevel="4">
      <c r="B459" s="165" t="str">
        <f t="shared" si="13"/>
        <v>ن</v>
      </c>
      <c r="C459" s="164" t="str">
        <f t="shared" si="13"/>
        <v>ن3</v>
      </c>
      <c r="D459" s="184"/>
      <c r="E459" s="172"/>
      <c r="F459" s="171"/>
      <c r="G459" s="433" t="str">
        <f>'[1]القوائم المالية'!A63</f>
        <v>المطلوبات غير المتداولة:</v>
      </c>
      <c r="H459" s="433"/>
      <c r="I459" s="433"/>
      <c r="J459" s="433"/>
      <c r="K459" s="433"/>
      <c r="L459" s="433"/>
      <c r="M459" s="433"/>
      <c r="N459" s="433"/>
      <c r="O459" s="433"/>
      <c r="P459" s="433"/>
      <c r="Q459" s="433"/>
      <c r="R459" s="433"/>
      <c r="S459" s="433"/>
      <c r="T459" s="433"/>
      <c r="U459" s="433"/>
      <c r="V459" s="433"/>
      <c r="W459" s="433"/>
      <c r="X459" s="433"/>
      <c r="Y459" s="433"/>
      <c r="Z459" s="433"/>
      <c r="AA459" s="433"/>
      <c r="AB459" s="187"/>
      <c r="AC459" s="185"/>
      <c r="AD459" s="185"/>
      <c r="AE459" s="185"/>
      <c r="AF459" s="179"/>
      <c r="AG459" s="179"/>
      <c r="AH459" s="180"/>
      <c r="AI459" s="180"/>
      <c r="AJ459" s="179"/>
      <c r="AK459" s="179"/>
    </row>
    <row r="460" spans="2:37" s="178" customFormat="1" ht="15" hidden="1" customHeight="1" outlineLevel="4">
      <c r="B460" s="165" t="str">
        <f t="shared" si="13"/>
        <v>ن</v>
      </c>
      <c r="C460" s="164" t="str">
        <f t="shared" si="13"/>
        <v>ن3</v>
      </c>
      <c r="D460" s="184"/>
      <c r="E460" s="172"/>
      <c r="F460" s="171"/>
      <c r="G460" s="436" t="str">
        <f>'[1]القوائم المالية'!A64</f>
        <v>مخصص مكافأة ترك الخدمة</v>
      </c>
      <c r="H460" s="437"/>
      <c r="I460" s="355"/>
      <c r="J460" s="355"/>
      <c r="K460" s="355"/>
      <c r="L460" s="355"/>
      <c r="M460" s="355"/>
      <c r="N460" s="355"/>
      <c r="O460" s="355"/>
      <c r="P460" s="355"/>
      <c r="Q460" s="355"/>
      <c r="R460" s="190"/>
      <c r="S460" s="190"/>
      <c r="T460" s="190"/>
      <c r="U460" s="190"/>
      <c r="V460" s="190"/>
      <c r="W460" s="190"/>
      <c r="X460" s="190"/>
      <c r="Y460" s="190"/>
      <c r="Z460" s="190"/>
      <c r="AA460" s="190"/>
      <c r="AB460" s="187"/>
      <c r="AC460" s="185"/>
      <c r="AD460" s="185"/>
      <c r="AE460" s="200">
        <v>19</v>
      </c>
      <c r="AF460" s="179" t="s">
        <v>2196</v>
      </c>
      <c r="AG460" s="179"/>
      <c r="AH460" s="180"/>
      <c r="AI460" s="180"/>
      <c r="AJ460" s="179"/>
      <c r="AK460" s="179"/>
    </row>
    <row r="461" spans="2:37" s="178" customFormat="1" ht="15" hidden="1" customHeight="1" outlineLevel="4">
      <c r="B461" s="165" t="str">
        <f t="shared" si="13"/>
        <v>ن</v>
      </c>
      <c r="C461" s="164" t="str">
        <f t="shared" si="13"/>
        <v>ن3</v>
      </c>
      <c r="D461" s="184"/>
      <c r="E461" s="172"/>
      <c r="F461" s="171"/>
      <c r="G461" s="436" t="str">
        <f>'[1]القوائم المالية'!A65</f>
        <v>مستحق الي أطرف ذات علاقة ضمن المطلوبات غير المتداولة شركات شقيقة</v>
      </c>
      <c r="H461" s="437"/>
      <c r="I461" s="355"/>
      <c r="J461" s="355"/>
      <c r="K461" s="355"/>
      <c r="L461" s="355"/>
      <c r="M461" s="355"/>
      <c r="N461" s="355"/>
      <c r="O461" s="355"/>
      <c r="P461" s="355"/>
      <c r="Q461" s="355"/>
      <c r="R461" s="190"/>
      <c r="S461" s="190"/>
      <c r="T461" s="190"/>
      <c r="U461" s="190"/>
      <c r="V461" s="190"/>
      <c r="W461" s="190"/>
      <c r="X461" s="190"/>
      <c r="Y461" s="190"/>
      <c r="Z461" s="190"/>
      <c r="AA461" s="190"/>
      <c r="AB461" s="187"/>
      <c r="AC461" s="185"/>
      <c r="AD461" s="185"/>
      <c r="AE461" s="185"/>
      <c r="AF461" s="179" t="s">
        <v>2195</v>
      </c>
      <c r="AG461" s="179"/>
      <c r="AH461" s="180"/>
      <c r="AI461" s="180"/>
      <c r="AJ461" s="179"/>
      <c r="AK461" s="179"/>
    </row>
    <row r="462" spans="2:37" s="178" customFormat="1" ht="15" hidden="1" customHeight="1" outlineLevel="4">
      <c r="B462" s="165" t="str">
        <f t="shared" si="13"/>
        <v>ن</v>
      </c>
      <c r="C462" s="164" t="str">
        <f t="shared" si="13"/>
        <v>ن3</v>
      </c>
      <c r="D462" s="184"/>
      <c r="E462" s="172"/>
      <c r="F462" s="171"/>
      <c r="G462" s="436" t="str">
        <f>'[1]القوائم المالية'!A66</f>
        <v>مستحق الي أطرف ذات علاقة ضمن المطلوبات غير المتداولة شركاء</v>
      </c>
      <c r="H462" s="437"/>
      <c r="I462" s="355"/>
      <c r="J462" s="355"/>
      <c r="K462" s="355"/>
      <c r="L462" s="355"/>
      <c r="M462" s="355"/>
      <c r="N462" s="355"/>
      <c r="O462" s="355"/>
      <c r="P462" s="355"/>
      <c r="Q462" s="355"/>
      <c r="R462" s="190"/>
      <c r="S462" s="190"/>
      <c r="T462" s="190"/>
      <c r="U462" s="190"/>
      <c r="V462" s="190"/>
      <c r="W462" s="190"/>
      <c r="X462" s="190"/>
      <c r="Y462" s="190"/>
      <c r="Z462" s="190"/>
      <c r="AA462" s="190"/>
      <c r="AB462" s="187"/>
      <c r="AC462" s="185"/>
      <c r="AD462" s="185"/>
      <c r="AE462" s="185"/>
      <c r="AF462" s="179" t="s">
        <v>2194</v>
      </c>
      <c r="AG462" s="179"/>
      <c r="AH462" s="180"/>
      <c r="AI462" s="180"/>
      <c r="AJ462" s="179"/>
      <c r="AK462" s="179"/>
    </row>
    <row r="463" spans="2:37" s="178" customFormat="1" ht="15" hidden="1" customHeight="1" outlineLevel="4">
      <c r="B463" s="165" t="str">
        <f t="shared" si="13"/>
        <v>ن</v>
      </c>
      <c r="C463" s="164" t="str">
        <f t="shared" si="13"/>
        <v>ن3</v>
      </c>
      <c r="D463" s="184"/>
      <c r="E463" s="172"/>
      <c r="F463" s="171"/>
      <c r="G463" s="436" t="str">
        <f>'[1]القوائم المالية'!A67</f>
        <v>الجزء الغير متداول من الالتزامات بموجب عقود ايجار تمويلي</v>
      </c>
      <c r="H463" s="437"/>
      <c r="I463" s="355"/>
      <c r="J463" s="355"/>
      <c r="K463" s="355"/>
      <c r="L463" s="355"/>
      <c r="M463" s="355"/>
      <c r="N463" s="355"/>
      <c r="O463" s="355"/>
      <c r="P463" s="355"/>
      <c r="Q463" s="355"/>
      <c r="R463" s="190"/>
      <c r="S463" s="190"/>
      <c r="T463" s="190"/>
      <c r="U463" s="190"/>
      <c r="V463" s="190"/>
      <c r="W463" s="190"/>
      <c r="X463" s="190"/>
      <c r="Y463" s="190"/>
      <c r="Z463" s="190"/>
      <c r="AA463" s="190"/>
      <c r="AB463" s="187"/>
      <c r="AC463" s="185"/>
      <c r="AD463" s="185"/>
      <c r="AE463" s="185"/>
      <c r="AF463" s="179" t="s">
        <v>2193</v>
      </c>
      <c r="AG463" s="179"/>
      <c r="AH463" s="180"/>
      <c r="AI463" s="180"/>
      <c r="AJ463" s="179"/>
      <c r="AK463" s="179"/>
    </row>
    <row r="464" spans="2:37" s="178" customFormat="1" ht="15" hidden="1" customHeight="1" outlineLevel="4">
      <c r="B464" s="165" t="str">
        <f t="shared" si="13"/>
        <v>ن</v>
      </c>
      <c r="C464" s="164" t="str">
        <f t="shared" si="13"/>
        <v>ن3</v>
      </c>
      <c r="D464" s="184"/>
      <c r="E464" s="172"/>
      <c r="F464" s="171"/>
      <c r="G464" s="436" t="str">
        <f>'[1]القوائم المالية'!A68</f>
        <v>الجزء الغير متداول من قروض قصيرة الاجل</v>
      </c>
      <c r="H464" s="437"/>
      <c r="I464" s="355"/>
      <c r="J464" s="355"/>
      <c r="K464" s="355"/>
      <c r="L464" s="355"/>
      <c r="M464" s="355"/>
      <c r="N464" s="355"/>
      <c r="O464" s="355"/>
      <c r="P464" s="355"/>
      <c r="Q464" s="355"/>
      <c r="R464" s="190"/>
      <c r="S464" s="190"/>
      <c r="T464" s="190"/>
      <c r="U464" s="190"/>
      <c r="V464" s="190"/>
      <c r="W464" s="190"/>
      <c r="X464" s="190"/>
      <c r="Y464" s="190"/>
      <c r="Z464" s="190"/>
      <c r="AA464" s="190"/>
      <c r="AB464" s="187"/>
      <c r="AC464" s="185"/>
      <c r="AD464" s="185"/>
      <c r="AE464" s="185"/>
      <c r="AF464" s="179" t="s">
        <v>2192</v>
      </c>
      <c r="AG464" s="179"/>
      <c r="AH464" s="180"/>
      <c r="AI464" s="180"/>
      <c r="AJ464" s="179"/>
      <c r="AK464" s="179"/>
    </row>
    <row r="465" spans="2:37" s="178" customFormat="1" ht="15" hidden="1" customHeight="1" outlineLevel="4">
      <c r="B465" s="165" t="str">
        <f t="shared" si="13"/>
        <v>ن</v>
      </c>
      <c r="C465" s="164" t="str">
        <f t="shared" si="13"/>
        <v>ن3</v>
      </c>
      <c r="D465" s="184"/>
      <c r="E465" s="172"/>
      <c r="F465" s="171"/>
      <c r="G465" s="436" t="str">
        <f>'[1]القوائم المالية'!A74</f>
        <v>مجموع المطلوبات غير المتداولة</v>
      </c>
      <c r="H465" s="437"/>
      <c r="I465" s="355"/>
      <c r="J465" s="355"/>
      <c r="K465" s="355"/>
      <c r="L465" s="355"/>
      <c r="M465" s="355"/>
      <c r="N465" s="355"/>
      <c r="O465" s="355"/>
      <c r="P465" s="355"/>
      <c r="Q465" s="355"/>
      <c r="R465" s="313"/>
      <c r="S465" s="440"/>
      <c r="T465" s="441"/>
      <c r="U465" s="440"/>
      <c r="V465" s="441"/>
      <c r="W465" s="440"/>
      <c r="X465" s="441"/>
      <c r="Y465" s="440"/>
      <c r="Z465" s="441"/>
      <c r="AA465" s="440"/>
      <c r="AB465" s="441"/>
      <c r="AC465" s="442"/>
      <c r="AD465" s="443"/>
      <c r="AE465" s="318"/>
      <c r="AF465" s="319"/>
      <c r="AG465" s="320"/>
      <c r="AH465" s="317"/>
      <c r="AI465" s="316"/>
      <c r="AJ465" s="317"/>
      <c r="AK465" s="316"/>
    </row>
    <row r="466" spans="2:37" s="178" customFormat="1" ht="15" hidden="1" customHeight="1" outlineLevel="4">
      <c r="B466" s="165" t="str">
        <f t="shared" si="13"/>
        <v>ن</v>
      </c>
      <c r="C466" s="164" t="str">
        <f t="shared" si="13"/>
        <v>ن3</v>
      </c>
      <c r="D466" s="184"/>
      <c r="E466" s="172"/>
      <c r="F466" s="171"/>
      <c r="G466" s="433" t="str">
        <f>'[1]القوائم المالية'!A75</f>
        <v>حقوق الشركاء</v>
      </c>
      <c r="H466" s="433"/>
      <c r="I466" s="433"/>
      <c r="J466" s="433"/>
      <c r="K466" s="433"/>
      <c r="L466" s="433"/>
      <c r="M466" s="433"/>
      <c r="N466" s="433"/>
      <c r="O466" s="433"/>
      <c r="P466" s="433"/>
      <c r="Q466" s="433"/>
      <c r="R466" s="433"/>
      <c r="S466" s="433"/>
      <c r="T466" s="433"/>
      <c r="U466" s="433"/>
      <c r="V466" s="433"/>
      <c r="W466" s="433"/>
      <c r="X466" s="433"/>
      <c r="Y466" s="433"/>
      <c r="Z466" s="433"/>
      <c r="AA466" s="433"/>
      <c r="AB466" s="187"/>
      <c r="AC466" s="185"/>
      <c r="AD466" s="185"/>
      <c r="AE466" s="185"/>
      <c r="AF466" s="179" t="s">
        <v>2191</v>
      </c>
      <c r="AG466" s="179"/>
      <c r="AH466" s="180"/>
      <c r="AI466" s="180"/>
      <c r="AJ466" s="179"/>
      <c r="AK466" s="179"/>
    </row>
    <row r="467" spans="2:37" s="178" customFormat="1" ht="15" hidden="1" customHeight="1" outlineLevel="4">
      <c r="B467" s="165" t="str">
        <f t="shared" si="13"/>
        <v>ن</v>
      </c>
      <c r="C467" s="164" t="str">
        <f t="shared" si="13"/>
        <v>ن3</v>
      </c>
      <c r="D467" s="184"/>
      <c r="E467" s="172"/>
      <c r="F467" s="171"/>
      <c r="G467" s="436" t="str">
        <f>'[1]القوائم المالية'!A76</f>
        <v>راس المال</v>
      </c>
      <c r="H467" s="437"/>
      <c r="I467" s="355"/>
      <c r="J467" s="355"/>
      <c r="K467" s="355"/>
      <c r="L467" s="355"/>
      <c r="M467" s="355"/>
      <c r="N467" s="355"/>
      <c r="O467" s="355"/>
      <c r="P467" s="355"/>
      <c r="Q467" s="355"/>
      <c r="R467" s="190"/>
      <c r="S467" s="190"/>
      <c r="T467" s="190"/>
      <c r="U467" s="190"/>
      <c r="V467" s="190"/>
      <c r="W467" s="190"/>
      <c r="X467" s="190"/>
      <c r="Y467" s="190"/>
      <c r="Z467" s="190"/>
      <c r="AA467" s="190"/>
      <c r="AB467" s="187"/>
      <c r="AC467" s="185"/>
      <c r="AD467" s="185"/>
      <c r="AE467" s="185"/>
      <c r="AF467" s="179" t="s">
        <v>2190</v>
      </c>
      <c r="AG467" s="179"/>
      <c r="AH467" s="180"/>
      <c r="AI467" s="180"/>
      <c r="AJ467" s="179"/>
      <c r="AK467" s="179"/>
    </row>
    <row r="468" spans="2:37" s="178" customFormat="1" ht="15" hidden="1" customHeight="1" outlineLevel="4">
      <c r="B468" s="165" t="str">
        <f t="shared" si="13"/>
        <v>ن</v>
      </c>
      <c r="C468" s="164" t="str">
        <f t="shared" si="13"/>
        <v>ن3</v>
      </c>
      <c r="D468" s="184"/>
      <c r="E468" s="172"/>
      <c r="F468" s="171"/>
      <c r="G468" s="436" t="str">
        <f>'[1]القوائم المالية'!A77</f>
        <v>الاحتياطي النظامي</v>
      </c>
      <c r="H468" s="437"/>
      <c r="I468" s="355"/>
      <c r="J468" s="355"/>
      <c r="K468" s="355"/>
      <c r="L468" s="355"/>
      <c r="M468" s="355"/>
      <c r="N468" s="355"/>
      <c r="O468" s="355"/>
      <c r="P468" s="355"/>
      <c r="Q468" s="355"/>
      <c r="R468" s="190"/>
      <c r="S468" s="190"/>
      <c r="T468" s="190"/>
      <c r="U468" s="190"/>
      <c r="V468" s="190"/>
      <c r="W468" s="190"/>
      <c r="X468" s="190"/>
      <c r="Y468" s="190"/>
      <c r="Z468" s="190"/>
      <c r="AA468" s="190"/>
      <c r="AB468" s="187"/>
      <c r="AC468" s="185"/>
      <c r="AD468" s="185"/>
      <c r="AE468" s="185"/>
      <c r="AF468" s="179" t="s">
        <v>2189</v>
      </c>
      <c r="AG468" s="179"/>
      <c r="AH468" s="180"/>
      <c r="AI468" s="180"/>
      <c r="AJ468" s="179"/>
      <c r="AK468" s="179"/>
    </row>
    <row r="469" spans="2:37" s="178" customFormat="1" ht="15" hidden="1" customHeight="1" outlineLevel="4">
      <c r="B469" s="165" t="str">
        <f t="shared" si="13"/>
        <v>ن</v>
      </c>
      <c r="C469" s="164" t="str">
        <f t="shared" si="13"/>
        <v>ن3</v>
      </c>
      <c r="D469" s="184"/>
      <c r="E469" s="172"/>
      <c r="F469" s="171"/>
      <c r="G469" s="436" t="str">
        <f>'[1]القوائم المالية'!A78</f>
        <v>الاحتياطي الاختياري</v>
      </c>
      <c r="H469" s="437"/>
      <c r="I469" s="355"/>
      <c r="J469" s="355"/>
      <c r="K469" s="355"/>
      <c r="L469" s="355"/>
      <c r="M469" s="355"/>
      <c r="N469" s="355"/>
      <c r="O469" s="355"/>
      <c r="P469" s="355"/>
      <c r="Q469" s="355"/>
      <c r="R469" s="190"/>
      <c r="S469" s="190"/>
      <c r="T469" s="190"/>
      <c r="U469" s="190"/>
      <c r="V469" s="190"/>
      <c r="W469" s="190"/>
      <c r="X469" s="190"/>
      <c r="Y469" s="190"/>
      <c r="Z469" s="190"/>
      <c r="AA469" s="190"/>
      <c r="AB469" s="187"/>
      <c r="AC469" s="185"/>
      <c r="AD469" s="185"/>
      <c r="AE469" s="185"/>
      <c r="AF469" s="179" t="s">
        <v>2188</v>
      </c>
      <c r="AG469" s="179"/>
      <c r="AH469" s="180"/>
      <c r="AI469" s="180"/>
      <c r="AJ469" s="179"/>
      <c r="AK469" s="179"/>
    </row>
    <row r="470" spans="2:37" s="178" customFormat="1" ht="15" hidden="1" customHeight="1" outlineLevel="4">
      <c r="B470" s="165" t="str">
        <f t="shared" si="13"/>
        <v>ن</v>
      </c>
      <c r="C470" s="164" t="str">
        <f t="shared" si="13"/>
        <v>ن3</v>
      </c>
      <c r="D470" s="184"/>
      <c r="E470" s="172"/>
      <c r="F470" s="171"/>
      <c r="G470" s="436" t="str">
        <f>'[1]القوائم المالية'!A79</f>
        <v>احتياطات اخري</v>
      </c>
      <c r="H470" s="437"/>
      <c r="I470" s="355"/>
      <c r="J470" s="355"/>
      <c r="K470" s="355"/>
      <c r="L470" s="355"/>
      <c r="M470" s="355"/>
      <c r="N470" s="355"/>
      <c r="O470" s="355"/>
      <c r="P470" s="355"/>
      <c r="Q470" s="355"/>
      <c r="R470" s="190"/>
      <c r="S470" s="190"/>
      <c r="T470" s="190"/>
      <c r="U470" s="190"/>
      <c r="V470" s="190"/>
      <c r="W470" s="190"/>
      <c r="X470" s="190"/>
      <c r="Y470" s="190"/>
      <c r="Z470" s="190"/>
      <c r="AA470" s="190"/>
      <c r="AB470" s="187"/>
      <c r="AC470" s="185"/>
      <c r="AD470" s="185"/>
      <c r="AE470" s="185"/>
      <c r="AF470" s="179" t="s">
        <v>2187</v>
      </c>
      <c r="AG470" s="179"/>
      <c r="AH470" s="180"/>
      <c r="AI470" s="180"/>
      <c r="AJ470" s="179"/>
      <c r="AK470" s="179"/>
    </row>
    <row r="471" spans="2:37" s="178" customFormat="1" ht="15" hidden="1" customHeight="1" outlineLevel="4">
      <c r="B471" s="165" t="str">
        <f t="shared" si="13"/>
        <v>ن</v>
      </c>
      <c r="C471" s="164" t="str">
        <f t="shared" si="13"/>
        <v>ن3</v>
      </c>
      <c r="D471" s="184"/>
      <c r="E471" s="172"/>
      <c r="F471" s="171"/>
      <c r="G471" s="436" t="str">
        <f>'[1]القوائم المالية'!A80</f>
        <v>رأس المال الإضافي</v>
      </c>
      <c r="H471" s="437"/>
      <c r="I471" s="355"/>
      <c r="J471" s="355"/>
      <c r="K471" s="355"/>
      <c r="L471" s="355"/>
      <c r="M471" s="355"/>
      <c r="N471" s="355"/>
      <c r="O471" s="355"/>
      <c r="P471" s="355"/>
      <c r="Q471" s="355"/>
      <c r="R471" s="190"/>
      <c r="S471" s="190"/>
      <c r="T471" s="190"/>
      <c r="U471" s="190"/>
      <c r="V471" s="190"/>
      <c r="W471" s="190"/>
      <c r="X471" s="190"/>
      <c r="Y471" s="190"/>
      <c r="Z471" s="190"/>
      <c r="AA471" s="190"/>
      <c r="AB471" s="187"/>
      <c r="AC471" s="185"/>
      <c r="AD471" s="185"/>
      <c r="AE471" s="185"/>
      <c r="AF471" s="179" t="s">
        <v>2186</v>
      </c>
      <c r="AG471" s="179"/>
      <c r="AH471" s="180"/>
      <c r="AI471" s="180"/>
      <c r="AJ471" s="179"/>
      <c r="AK471" s="179"/>
    </row>
    <row r="472" spans="2:37" s="178" customFormat="1" ht="15" hidden="1" customHeight="1" outlineLevel="4">
      <c r="B472" s="165" t="str">
        <f t="shared" si="13"/>
        <v>ن</v>
      </c>
      <c r="C472" s="164" t="str">
        <f t="shared" si="13"/>
        <v>ن3</v>
      </c>
      <c r="D472" s="184"/>
      <c r="E472" s="172"/>
      <c r="F472" s="171"/>
      <c r="G472" s="436" t="str">
        <f>'[1]القوائم المالية'!A81</f>
        <v>إضافة حساب جديد 1(حقوق الملكية / الشركاء / المساهمين)</v>
      </c>
      <c r="H472" s="437"/>
      <c r="I472" s="355"/>
      <c r="J472" s="355"/>
      <c r="K472" s="355"/>
      <c r="L472" s="355"/>
      <c r="M472" s="355"/>
      <c r="N472" s="355"/>
      <c r="O472" s="355"/>
      <c r="P472" s="355"/>
      <c r="Q472" s="355"/>
      <c r="R472" s="190"/>
      <c r="S472" s="190"/>
      <c r="T472" s="190"/>
      <c r="U472" s="190"/>
      <c r="V472" s="190"/>
      <c r="W472" s="190"/>
      <c r="X472" s="190"/>
      <c r="Y472" s="190"/>
      <c r="Z472" s="190"/>
      <c r="AA472" s="190"/>
      <c r="AB472" s="187"/>
      <c r="AC472" s="185"/>
      <c r="AD472" s="185"/>
      <c r="AE472" s="185"/>
      <c r="AF472" s="179" t="s">
        <v>2185</v>
      </c>
      <c r="AG472" s="179"/>
      <c r="AH472" s="180"/>
      <c r="AI472" s="180"/>
      <c r="AJ472" s="179"/>
      <c r="AK472" s="179"/>
    </row>
    <row r="473" spans="2:37" s="178" customFormat="1" ht="15" hidden="1" customHeight="1" outlineLevel="4">
      <c r="B473" s="165" t="str">
        <f t="shared" si="13"/>
        <v>ن</v>
      </c>
      <c r="C473" s="164" t="str">
        <f t="shared" si="13"/>
        <v>ن3</v>
      </c>
      <c r="D473" s="184"/>
      <c r="E473" s="172"/>
      <c r="F473" s="171"/>
      <c r="G473" s="436" t="str">
        <f>'[1]القوائم المالية'!A82</f>
        <v>إضافة حساب جديد 2(حقوق الملكية / الشركاء / المساهمين)</v>
      </c>
      <c r="H473" s="437"/>
      <c r="I473" s="355"/>
      <c r="J473" s="355"/>
      <c r="K473" s="355"/>
      <c r="L473" s="355"/>
      <c r="M473" s="355"/>
      <c r="N473" s="355"/>
      <c r="O473" s="355"/>
      <c r="P473" s="355"/>
      <c r="Q473" s="355"/>
      <c r="R473" s="190"/>
      <c r="S473" s="190"/>
      <c r="T473" s="190"/>
      <c r="U473" s="190"/>
      <c r="V473" s="190"/>
      <c r="W473" s="190"/>
      <c r="X473" s="190"/>
      <c r="Y473" s="190"/>
      <c r="Z473" s="190"/>
      <c r="AA473" s="190"/>
      <c r="AB473" s="187"/>
      <c r="AC473" s="185"/>
      <c r="AD473" s="185"/>
      <c r="AE473" s="185"/>
      <c r="AF473" s="179" t="s">
        <v>2184</v>
      </c>
      <c r="AG473" s="179"/>
      <c r="AH473" s="180"/>
      <c r="AI473" s="180"/>
      <c r="AJ473" s="179"/>
      <c r="AK473" s="179"/>
    </row>
    <row r="474" spans="2:37" s="178" customFormat="1" ht="15" hidden="1" customHeight="1" outlineLevel="4">
      <c r="B474" s="165" t="str">
        <f t="shared" ref="B474:C537" si="14">B473</f>
        <v>ن</v>
      </c>
      <c r="C474" s="164" t="str">
        <f t="shared" si="14"/>
        <v>ن3</v>
      </c>
      <c r="D474" s="184"/>
      <c r="E474" s="172"/>
      <c r="F474" s="171"/>
      <c r="G474" s="436" t="str">
        <f>'[1]القوائم المالية'!A87</f>
        <v>صافي الأرباح المبقاه</v>
      </c>
      <c r="H474" s="437"/>
      <c r="I474" s="355"/>
      <c r="J474" s="355"/>
      <c r="K474" s="355"/>
      <c r="L474" s="355"/>
      <c r="M474" s="355"/>
      <c r="N474" s="355"/>
      <c r="O474" s="355"/>
      <c r="P474" s="355"/>
      <c r="Q474" s="355"/>
      <c r="R474" s="190"/>
      <c r="S474" s="190"/>
      <c r="T474" s="190"/>
      <c r="U474" s="190"/>
      <c r="V474" s="190"/>
      <c r="W474" s="190"/>
      <c r="X474" s="190"/>
      <c r="Y474" s="190"/>
      <c r="Z474" s="190"/>
      <c r="AA474" s="190"/>
      <c r="AB474" s="187"/>
      <c r="AC474" s="185"/>
      <c r="AD474" s="185"/>
      <c r="AE474" s="185"/>
      <c r="AF474" s="179" t="s">
        <v>2183</v>
      </c>
      <c r="AG474" s="179"/>
      <c r="AH474" s="180"/>
      <c r="AI474" s="180"/>
      <c r="AJ474" s="179"/>
      <c r="AK474" s="179"/>
    </row>
    <row r="475" spans="2:37" s="178" customFormat="1" ht="15" hidden="1" customHeight="1" outlineLevel="4">
      <c r="B475" s="165" t="str">
        <f t="shared" si="14"/>
        <v>ن</v>
      </c>
      <c r="C475" s="164" t="str">
        <f t="shared" si="14"/>
        <v>ن3</v>
      </c>
      <c r="D475" s="184"/>
      <c r="E475" s="172"/>
      <c r="F475" s="171"/>
      <c r="G475" s="436" t="str">
        <f>'[1]القوائم المالية'!A88</f>
        <v>مجموع حقوق الشركاء</v>
      </c>
      <c r="H475" s="437"/>
      <c r="I475" s="355"/>
      <c r="J475" s="355"/>
      <c r="K475" s="355"/>
      <c r="L475" s="355"/>
      <c r="M475" s="355"/>
      <c r="N475" s="355"/>
      <c r="O475" s="355"/>
      <c r="P475" s="355"/>
      <c r="Q475" s="440"/>
      <c r="R475" s="441"/>
      <c r="S475" s="440"/>
      <c r="T475" s="441"/>
      <c r="U475" s="440"/>
      <c r="V475" s="441"/>
      <c r="W475" s="440"/>
      <c r="X475" s="441"/>
      <c r="Y475" s="440"/>
      <c r="Z475" s="441"/>
      <c r="AA475" s="440"/>
      <c r="AB475" s="441"/>
      <c r="AC475" s="442"/>
      <c r="AD475" s="443"/>
      <c r="AE475" s="318"/>
      <c r="AF475" s="319"/>
      <c r="AG475" s="320"/>
      <c r="AH475" s="317"/>
      <c r="AI475" s="316"/>
      <c r="AJ475" s="317"/>
      <c r="AK475" s="316"/>
    </row>
    <row r="476" spans="2:37" s="178" customFormat="1" ht="15" hidden="1" customHeight="1" outlineLevel="4">
      <c r="B476" s="165" t="str">
        <f t="shared" si="14"/>
        <v>ن</v>
      </c>
      <c r="C476" s="164" t="str">
        <f t="shared" si="14"/>
        <v>ن3</v>
      </c>
      <c r="D476" s="184"/>
      <c r="E476" s="172"/>
      <c r="F476" s="171"/>
      <c r="G476" s="436" t="str">
        <f>'[1]القوائم المالية'!A89</f>
        <v>مجموع المطلوبات</v>
      </c>
      <c r="H476" s="437"/>
      <c r="I476" s="355"/>
      <c r="J476" s="355"/>
      <c r="K476" s="355"/>
      <c r="L476" s="355"/>
      <c r="M476" s="355"/>
      <c r="N476" s="355"/>
      <c r="O476" s="355"/>
      <c r="P476" s="355"/>
      <c r="Q476" s="355"/>
      <c r="R476" s="313"/>
      <c r="S476" s="440"/>
      <c r="T476" s="441"/>
      <c r="U476" s="440"/>
      <c r="V476" s="441"/>
      <c r="W476" s="440"/>
      <c r="X476" s="441"/>
      <c r="Y476" s="440"/>
      <c r="Z476" s="441"/>
      <c r="AA476" s="440"/>
      <c r="AB476" s="441"/>
      <c r="AC476" s="442"/>
      <c r="AD476" s="443"/>
      <c r="AE476" s="318"/>
      <c r="AF476" s="319"/>
      <c r="AG476" s="320"/>
      <c r="AH476" s="317"/>
      <c r="AI476" s="316"/>
      <c r="AJ476" s="317"/>
      <c r="AK476" s="316"/>
    </row>
    <row r="477" spans="2:37" s="178" customFormat="1" ht="15" hidden="1" customHeight="1" outlineLevel="4" thickBot="1">
      <c r="B477" s="165" t="str">
        <f t="shared" si="14"/>
        <v>ن</v>
      </c>
      <c r="C477" s="164" t="str">
        <f t="shared" si="14"/>
        <v>ن3</v>
      </c>
      <c r="D477" s="184"/>
      <c r="E477" s="172"/>
      <c r="F477" s="171"/>
      <c r="G477" s="436" t="str">
        <f>'[1]القوائم المالية'!A90</f>
        <v>إجمالي حقوق الشركاء والمطلوبات</v>
      </c>
      <c r="H477" s="437"/>
      <c r="I477" s="355"/>
      <c r="J477" s="355"/>
      <c r="K477" s="355"/>
      <c r="L477" s="355"/>
      <c r="M477" s="355"/>
      <c r="N477" s="355"/>
      <c r="O477" s="355"/>
      <c r="P477" s="355"/>
      <c r="Q477" s="355"/>
      <c r="R477" s="199"/>
      <c r="S477" s="199"/>
      <c r="T477" s="199"/>
      <c r="U477" s="199"/>
      <c r="V477" s="199"/>
      <c r="W477" s="199"/>
      <c r="X477" s="199"/>
      <c r="Y477" s="199"/>
      <c r="Z477" s="199"/>
      <c r="AA477" s="199"/>
      <c r="AB477" s="198"/>
      <c r="AC477" s="198"/>
      <c r="AD477" s="198"/>
      <c r="AE477" s="198"/>
      <c r="AF477" s="179"/>
      <c r="AG477" s="196"/>
      <c r="AH477" s="197"/>
      <c r="AI477" s="197"/>
      <c r="AJ477" s="196"/>
      <c r="AK477" s="196"/>
    </row>
    <row r="478" spans="2:37" s="178" customFormat="1" ht="15" hidden="1" customHeight="1" outlineLevel="4" thickTop="1">
      <c r="B478" s="165" t="str">
        <f t="shared" si="14"/>
        <v>ن</v>
      </c>
      <c r="C478" s="164" t="str">
        <f t="shared" si="14"/>
        <v>ن3</v>
      </c>
      <c r="D478" s="184"/>
      <c r="E478" s="172"/>
      <c r="F478" s="171"/>
      <c r="G478" s="438"/>
      <c r="H478" s="439"/>
      <c r="I478" s="190"/>
      <c r="J478" s="190"/>
      <c r="K478" s="190"/>
      <c r="L478" s="190"/>
      <c r="M478" s="190"/>
      <c r="N478" s="190"/>
      <c r="O478" s="190"/>
      <c r="P478" s="190"/>
      <c r="Q478" s="190"/>
      <c r="R478" s="190"/>
      <c r="S478" s="190"/>
      <c r="T478" s="190"/>
      <c r="U478" s="190"/>
      <c r="V478" s="190"/>
      <c r="W478" s="190"/>
      <c r="X478" s="190"/>
      <c r="Y478" s="190"/>
      <c r="Z478" s="190"/>
      <c r="AA478" s="190"/>
      <c r="AB478" s="187"/>
      <c r="AC478" s="185"/>
      <c r="AD478" s="185"/>
      <c r="AE478" s="185"/>
      <c r="AF478" s="179"/>
      <c r="AG478" s="179"/>
      <c r="AH478" s="180"/>
      <c r="AI478" s="180"/>
      <c r="AJ478" s="179"/>
      <c r="AK478" s="179"/>
    </row>
    <row r="479" spans="2:37" s="178" customFormat="1" ht="15" hidden="1" customHeight="1" outlineLevel="4">
      <c r="B479" s="165" t="str">
        <f t="shared" si="14"/>
        <v>ن</v>
      </c>
      <c r="C479" s="164" t="str">
        <f t="shared" si="14"/>
        <v>ن3</v>
      </c>
      <c r="D479" s="184"/>
      <c r="E479" s="172"/>
      <c r="F479" s="171"/>
      <c r="G479" s="438" t="str">
        <f>'[1]القوائم المالية'!A92</f>
        <v>قائمة الدخل والدخل الشامل الآخر</v>
      </c>
      <c r="H479" s="439"/>
      <c r="I479" s="190"/>
      <c r="J479" s="190"/>
      <c r="K479" s="190"/>
      <c r="L479" s="190"/>
      <c r="M479" s="190"/>
      <c r="N479" s="190"/>
      <c r="O479" s="190"/>
      <c r="P479" s="190"/>
      <c r="Q479" s="190"/>
      <c r="R479" s="190"/>
      <c r="S479" s="190"/>
      <c r="T479" s="190"/>
      <c r="U479" s="190"/>
      <c r="V479" s="190"/>
      <c r="W479" s="190"/>
      <c r="X479" s="190"/>
      <c r="Y479" s="190"/>
      <c r="Z479" s="190"/>
      <c r="AA479" s="190"/>
      <c r="AB479" s="187"/>
      <c r="AC479" s="185"/>
      <c r="AD479" s="185"/>
      <c r="AE479" s="185"/>
      <c r="AF479" s="179"/>
      <c r="AG479" s="179"/>
      <c r="AH479" s="180"/>
      <c r="AI479" s="180"/>
      <c r="AJ479" s="179"/>
      <c r="AK479" s="179"/>
    </row>
    <row r="480" spans="2:37" s="178" customFormat="1" ht="15" hidden="1" customHeight="1" outlineLevel="4">
      <c r="B480" s="165" t="str">
        <f t="shared" si="14"/>
        <v>ن</v>
      </c>
      <c r="C480" s="164" t="str">
        <f t="shared" si="14"/>
        <v>ن3</v>
      </c>
      <c r="D480" s="184"/>
      <c r="E480" s="172"/>
      <c r="F480" s="171"/>
      <c r="G480" s="321">
        <f>'[1]القوائم المالية'!A93</f>
        <v>45657</v>
      </c>
      <c r="H480" s="321"/>
      <c r="I480" s="190"/>
      <c r="J480" s="190"/>
      <c r="K480" s="190"/>
      <c r="L480" s="190"/>
      <c r="M480" s="190"/>
      <c r="N480" s="190"/>
      <c r="O480" s="190"/>
      <c r="P480" s="190"/>
      <c r="Q480" s="190"/>
      <c r="R480" s="190"/>
      <c r="S480" s="190"/>
      <c r="T480" s="190"/>
      <c r="U480" s="190"/>
      <c r="V480" s="190"/>
      <c r="W480" s="190"/>
      <c r="X480" s="190"/>
      <c r="Y480" s="190"/>
      <c r="Z480" s="190"/>
      <c r="AA480" s="190"/>
      <c r="AB480" s="187"/>
      <c r="AC480" s="185"/>
      <c r="AD480" s="185"/>
      <c r="AE480" s="185"/>
      <c r="AF480" s="179"/>
      <c r="AG480" s="179"/>
      <c r="AH480" s="180"/>
      <c r="AI480" s="180"/>
      <c r="AJ480" s="179"/>
      <c r="AK480" s="179"/>
    </row>
    <row r="481" spans="2:37" s="178" customFormat="1" ht="15" hidden="1" customHeight="1" outlineLevel="4">
      <c r="B481" s="165" t="str">
        <f t="shared" si="14"/>
        <v>ن</v>
      </c>
      <c r="C481" s="164" t="str">
        <f t="shared" si="14"/>
        <v>ن3</v>
      </c>
      <c r="D481" s="184"/>
      <c r="E481" s="172"/>
      <c r="F481" s="171"/>
      <c r="G481" s="433" t="str">
        <f>'[1]القوائم المالية'!A94</f>
        <v>إيرادات العمليات المستمرة</v>
      </c>
      <c r="H481" s="433"/>
      <c r="I481" s="433"/>
      <c r="J481" s="433"/>
      <c r="K481" s="433"/>
      <c r="L481" s="433"/>
      <c r="M481" s="433"/>
      <c r="N481" s="433"/>
      <c r="O481" s="433"/>
      <c r="P481" s="433"/>
      <c r="Q481" s="433"/>
      <c r="R481" s="433"/>
      <c r="S481" s="433"/>
      <c r="T481" s="433"/>
      <c r="U481" s="433"/>
      <c r="V481" s="433"/>
      <c r="W481" s="433"/>
      <c r="X481" s="433"/>
      <c r="Y481" s="433"/>
      <c r="Z481" s="433"/>
      <c r="AA481" s="433"/>
      <c r="AB481" s="187"/>
      <c r="AC481" s="185"/>
      <c r="AD481" s="185"/>
      <c r="AE481" s="185"/>
      <c r="AF481" s="179"/>
      <c r="AG481" s="179"/>
      <c r="AH481" s="180"/>
      <c r="AI481" s="180"/>
      <c r="AJ481" s="179"/>
      <c r="AK481" s="179"/>
    </row>
    <row r="482" spans="2:37" s="178" customFormat="1" ht="15" hidden="1" customHeight="1" outlineLevel="4">
      <c r="B482" s="165" t="str">
        <f t="shared" si="14"/>
        <v>ن</v>
      </c>
      <c r="C482" s="164" t="str">
        <f t="shared" si="14"/>
        <v>ن3</v>
      </c>
      <c r="D482" s="184"/>
      <c r="E482" s="172"/>
      <c r="F482" s="171"/>
      <c r="G482" s="436" t="str">
        <f>'[1]القوائم المالية'!A95</f>
        <v>الإيرادات</v>
      </c>
      <c r="H482" s="437"/>
      <c r="I482" s="190"/>
      <c r="J482" s="190"/>
      <c r="K482" s="190"/>
      <c r="L482" s="190"/>
      <c r="M482" s="190"/>
      <c r="N482" s="190"/>
      <c r="O482" s="190"/>
      <c r="P482" s="190"/>
      <c r="Q482" s="190"/>
      <c r="R482" s="190"/>
      <c r="S482" s="190"/>
      <c r="T482" s="190"/>
      <c r="U482" s="190"/>
      <c r="V482" s="190"/>
      <c r="W482" s="190"/>
      <c r="X482" s="190"/>
      <c r="Y482" s="190"/>
      <c r="Z482" s="190"/>
      <c r="AA482" s="190"/>
      <c r="AB482" s="187"/>
      <c r="AC482" s="185"/>
      <c r="AD482" s="185"/>
      <c r="AE482" s="185"/>
      <c r="AF482" s="179" t="s">
        <v>2182</v>
      </c>
      <c r="AG482" s="179"/>
      <c r="AH482" s="180"/>
      <c r="AI482" s="180"/>
      <c r="AJ482" s="179"/>
      <c r="AK482" s="179"/>
    </row>
    <row r="483" spans="2:37" s="178" customFormat="1" ht="15" hidden="1" customHeight="1" outlineLevel="4">
      <c r="B483" s="165" t="str">
        <f t="shared" si="14"/>
        <v>ن</v>
      </c>
      <c r="C483" s="164" t="str">
        <f t="shared" si="14"/>
        <v>ن3</v>
      </c>
      <c r="D483" s="184"/>
      <c r="E483" s="172"/>
      <c r="F483" s="171"/>
      <c r="G483" s="436" t="str">
        <f>'[1]القوائم المالية'!A96</f>
        <v>تكلفة الإيرادات</v>
      </c>
      <c r="H483" s="437"/>
      <c r="I483" s="190"/>
      <c r="J483" s="190"/>
      <c r="K483" s="190"/>
      <c r="L483" s="190"/>
      <c r="M483" s="190"/>
      <c r="N483" s="190"/>
      <c r="O483" s="190"/>
      <c r="P483" s="190"/>
      <c r="Q483" s="190"/>
      <c r="R483" s="190"/>
      <c r="S483" s="190"/>
      <c r="T483" s="190"/>
      <c r="U483" s="190"/>
      <c r="V483" s="190"/>
      <c r="W483" s="190"/>
      <c r="X483" s="190"/>
      <c r="Y483" s="190"/>
      <c r="Z483" s="190"/>
      <c r="AA483" s="190"/>
      <c r="AB483" s="187"/>
      <c r="AC483" s="185"/>
      <c r="AD483" s="185"/>
      <c r="AE483" s="185"/>
      <c r="AF483" s="179" t="s">
        <v>2181</v>
      </c>
      <c r="AG483" s="179"/>
      <c r="AH483" s="180"/>
      <c r="AI483" s="180"/>
      <c r="AJ483" s="179"/>
      <c r="AK483" s="179"/>
    </row>
    <row r="484" spans="2:37" s="178" customFormat="1" ht="15" hidden="1" customHeight="1" outlineLevel="4" thickBot="1">
      <c r="B484" s="165" t="str">
        <f t="shared" si="14"/>
        <v>ن</v>
      </c>
      <c r="C484" s="164" t="str">
        <f t="shared" si="14"/>
        <v>ن3</v>
      </c>
      <c r="D484" s="184"/>
      <c r="E484" s="172"/>
      <c r="F484" s="171"/>
      <c r="G484" s="444" t="str">
        <f>'[1]القوائم المالية'!A97</f>
        <v>مجمل ربح التشغيل</v>
      </c>
      <c r="H484" s="445"/>
      <c r="I484" s="199"/>
      <c r="J484" s="199"/>
      <c r="K484" s="199"/>
      <c r="L484" s="199"/>
      <c r="M484" s="199"/>
      <c r="N484" s="199"/>
      <c r="O484" s="199"/>
      <c r="P484" s="199"/>
      <c r="Q484" s="199"/>
      <c r="R484" s="199"/>
      <c r="S484" s="199"/>
      <c r="T484" s="199"/>
      <c r="U484" s="199"/>
      <c r="V484" s="199"/>
      <c r="W484" s="199"/>
      <c r="X484" s="199"/>
      <c r="Y484" s="199"/>
      <c r="Z484" s="199"/>
      <c r="AA484" s="199"/>
      <c r="AB484" s="198"/>
      <c r="AC484" s="198"/>
      <c r="AD484" s="198"/>
      <c r="AE484" s="198"/>
      <c r="AF484" s="179"/>
      <c r="AG484" s="196"/>
      <c r="AH484" s="197"/>
      <c r="AI484" s="197"/>
      <c r="AJ484" s="196"/>
      <c r="AK484" s="196"/>
    </row>
    <row r="485" spans="2:37" s="178" customFormat="1" ht="15" hidden="1" customHeight="1" outlineLevel="4" thickTop="1">
      <c r="B485" s="165" t="str">
        <f t="shared" si="14"/>
        <v>ن</v>
      </c>
      <c r="C485" s="164" t="str">
        <f t="shared" si="14"/>
        <v>ن3</v>
      </c>
      <c r="D485" s="184"/>
      <c r="E485" s="172"/>
      <c r="F485" s="171"/>
      <c r="G485" s="438"/>
      <c r="H485" s="439"/>
      <c r="I485" s="190"/>
      <c r="J485" s="190"/>
      <c r="K485" s="190"/>
      <c r="L485" s="190"/>
      <c r="M485" s="190"/>
      <c r="N485" s="190"/>
      <c r="O485" s="190"/>
      <c r="P485" s="190"/>
      <c r="Q485" s="190"/>
      <c r="R485" s="190"/>
      <c r="S485" s="190"/>
      <c r="T485" s="190"/>
      <c r="U485" s="190"/>
      <c r="V485" s="190"/>
      <c r="W485" s="190"/>
      <c r="X485" s="190"/>
      <c r="Y485" s="190"/>
      <c r="Z485" s="190"/>
      <c r="AA485" s="190"/>
      <c r="AB485" s="187"/>
      <c r="AC485" s="185"/>
      <c r="AD485" s="185"/>
      <c r="AE485" s="185"/>
      <c r="AF485" s="179"/>
      <c r="AG485" s="179"/>
      <c r="AH485" s="180"/>
      <c r="AI485" s="180"/>
      <c r="AJ485" s="179"/>
      <c r="AK485" s="179"/>
    </row>
    <row r="486" spans="2:37" s="178" customFormat="1" ht="15" hidden="1" customHeight="1" outlineLevel="4">
      <c r="B486" s="165" t="str">
        <f t="shared" si="14"/>
        <v>ن</v>
      </c>
      <c r="C486" s="164" t="str">
        <f t="shared" si="14"/>
        <v>ن3</v>
      </c>
      <c r="D486" s="184"/>
      <c r="E486" s="172"/>
      <c r="F486" s="171"/>
      <c r="G486" s="433" t="str">
        <f>'[1]القوائم المالية'!A99</f>
        <v>مصاريف العمليات المستمرة</v>
      </c>
      <c r="H486" s="433"/>
      <c r="I486" s="433"/>
      <c r="J486" s="433"/>
      <c r="K486" s="433"/>
      <c r="L486" s="433"/>
      <c r="M486" s="433"/>
      <c r="N486" s="433"/>
      <c r="O486" s="433"/>
      <c r="P486" s="433"/>
      <c r="Q486" s="433"/>
      <c r="R486" s="433"/>
      <c r="S486" s="433"/>
      <c r="T486" s="433"/>
      <c r="U486" s="433"/>
      <c r="V486" s="433"/>
      <c r="W486" s="433"/>
      <c r="X486" s="433"/>
      <c r="Y486" s="433"/>
      <c r="Z486" s="433"/>
      <c r="AA486" s="433"/>
      <c r="AB486" s="187"/>
      <c r="AC486" s="185"/>
      <c r="AD486" s="185"/>
      <c r="AE486" s="185"/>
      <c r="AF486" s="179"/>
      <c r="AG486" s="179"/>
      <c r="AH486" s="180"/>
      <c r="AI486" s="180"/>
      <c r="AJ486" s="179"/>
      <c r="AK486" s="179"/>
    </row>
    <row r="487" spans="2:37" s="178" customFormat="1" ht="15" hidden="1" customHeight="1" outlineLevel="4">
      <c r="B487" s="165" t="str">
        <f t="shared" si="14"/>
        <v>ن</v>
      </c>
      <c r="C487" s="164" t="str">
        <f t="shared" si="14"/>
        <v>ن3</v>
      </c>
      <c r="D487" s="184"/>
      <c r="E487" s="172"/>
      <c r="F487" s="171"/>
      <c r="G487" s="436" t="str">
        <f>'[1]القوائم المالية'!A100</f>
        <v xml:space="preserve">مصروفات بيعيه وتسويقية </v>
      </c>
      <c r="H487" s="437"/>
      <c r="I487" s="190"/>
      <c r="J487" s="190"/>
      <c r="K487" s="190"/>
      <c r="L487" s="190"/>
      <c r="M487" s="190"/>
      <c r="N487" s="190"/>
      <c r="O487" s="190"/>
      <c r="P487" s="190"/>
      <c r="Q487" s="190"/>
      <c r="R487" s="190"/>
      <c r="S487" s="190"/>
      <c r="T487" s="190"/>
      <c r="U487" s="190"/>
      <c r="V487" s="190"/>
      <c r="W487" s="190"/>
      <c r="X487" s="190"/>
      <c r="Y487" s="190"/>
      <c r="Z487" s="190"/>
      <c r="AA487" s="190"/>
      <c r="AB487" s="187"/>
      <c r="AC487" s="185"/>
      <c r="AD487" s="185"/>
      <c r="AE487" s="185"/>
      <c r="AF487" s="179" t="s">
        <v>2180</v>
      </c>
      <c r="AG487" s="179"/>
      <c r="AH487" s="180"/>
      <c r="AI487" s="180"/>
      <c r="AJ487" s="179"/>
      <c r="AK487" s="179"/>
    </row>
    <row r="488" spans="2:37" s="178" customFormat="1" ht="15" hidden="1" customHeight="1" outlineLevel="4">
      <c r="B488" s="165" t="str">
        <f t="shared" si="14"/>
        <v>ن</v>
      </c>
      <c r="C488" s="164" t="str">
        <f t="shared" si="14"/>
        <v>ن3</v>
      </c>
      <c r="D488" s="184"/>
      <c r="E488" s="172"/>
      <c r="F488" s="171"/>
      <c r="G488" s="436" t="str">
        <f>'[1]القوائم المالية'!A101</f>
        <v>مصروفات عمومية وإدارية</v>
      </c>
      <c r="H488" s="437"/>
      <c r="I488" s="190"/>
      <c r="J488" s="190"/>
      <c r="K488" s="190"/>
      <c r="L488" s="190"/>
      <c r="M488" s="190"/>
      <c r="N488" s="190"/>
      <c r="O488" s="190"/>
      <c r="P488" s="190"/>
      <c r="Q488" s="190"/>
      <c r="R488" s="190"/>
      <c r="S488" s="190"/>
      <c r="T488" s="190"/>
      <c r="U488" s="190"/>
      <c r="V488" s="190"/>
      <c r="W488" s="190"/>
      <c r="X488" s="190"/>
      <c r="Y488" s="190"/>
      <c r="Z488" s="190"/>
      <c r="AA488" s="190"/>
      <c r="AB488" s="187"/>
      <c r="AC488" s="185"/>
      <c r="AD488" s="185"/>
      <c r="AE488" s="185"/>
      <c r="AF488" s="179" t="s">
        <v>2179</v>
      </c>
      <c r="AG488" s="179"/>
      <c r="AH488" s="180"/>
      <c r="AI488" s="180"/>
      <c r="AJ488" s="179"/>
      <c r="AK488" s="179"/>
    </row>
    <row r="489" spans="2:37" s="178" customFormat="1" ht="15" hidden="1" customHeight="1" outlineLevel="4">
      <c r="B489" s="165" t="str">
        <f t="shared" si="14"/>
        <v>ن</v>
      </c>
      <c r="C489" s="164" t="str">
        <f t="shared" si="14"/>
        <v>ن3</v>
      </c>
      <c r="D489" s="184"/>
      <c r="E489" s="172"/>
      <c r="F489" s="171"/>
      <c r="G489" s="436" t="str">
        <f>'[1]القوائم المالية'!A102</f>
        <v>أرباح / خسائر راسمالية</v>
      </c>
      <c r="H489" s="437"/>
      <c r="I489" s="190"/>
      <c r="J489" s="190"/>
      <c r="K489" s="190"/>
      <c r="L489" s="190"/>
      <c r="M489" s="190"/>
      <c r="N489" s="190"/>
      <c r="O489" s="190"/>
      <c r="P489" s="190"/>
      <c r="Q489" s="190"/>
      <c r="R489" s="190"/>
      <c r="S489" s="190"/>
      <c r="T489" s="190"/>
      <c r="U489" s="190"/>
      <c r="V489" s="190"/>
      <c r="W489" s="190"/>
      <c r="X489" s="190"/>
      <c r="Y489" s="190"/>
      <c r="Z489" s="190"/>
      <c r="AA489" s="190"/>
      <c r="AB489" s="187"/>
      <c r="AC489" s="185"/>
      <c r="AD489" s="185"/>
      <c r="AE489" s="185"/>
      <c r="AF489" s="179" t="s">
        <v>2178</v>
      </c>
      <c r="AG489" s="179"/>
      <c r="AH489" s="180"/>
      <c r="AI489" s="180"/>
      <c r="AJ489" s="179"/>
      <c r="AK489" s="179"/>
    </row>
    <row r="490" spans="2:37" s="178" customFormat="1" ht="15" hidden="1" customHeight="1" outlineLevel="4">
      <c r="B490" s="165" t="str">
        <f t="shared" si="14"/>
        <v>ن</v>
      </c>
      <c r="C490" s="164" t="str">
        <f t="shared" si="14"/>
        <v>ن3</v>
      </c>
      <c r="D490" s="184"/>
      <c r="E490" s="172"/>
      <c r="F490" s="171"/>
      <c r="G490" s="436" t="str">
        <f>'[1]القوائم المالية'!A103</f>
        <v>مصروفات تمويلية</v>
      </c>
      <c r="H490" s="437"/>
      <c r="I490" s="190"/>
      <c r="J490" s="190"/>
      <c r="K490" s="190"/>
      <c r="L490" s="190"/>
      <c r="M490" s="190"/>
      <c r="N490" s="190"/>
      <c r="O490" s="190"/>
      <c r="P490" s="190"/>
      <c r="Q490" s="190"/>
      <c r="R490" s="190"/>
      <c r="S490" s="190"/>
      <c r="T490" s="190"/>
      <c r="U490" s="190"/>
      <c r="V490" s="190"/>
      <c r="W490" s="190"/>
      <c r="X490" s="190"/>
      <c r="Y490" s="190"/>
      <c r="Z490" s="190"/>
      <c r="AA490" s="190"/>
      <c r="AB490" s="187"/>
      <c r="AC490" s="185"/>
      <c r="AD490" s="185"/>
      <c r="AE490" s="185"/>
      <c r="AF490" s="179" t="s">
        <v>2177</v>
      </c>
      <c r="AG490" s="179"/>
      <c r="AH490" s="180"/>
      <c r="AI490" s="180"/>
      <c r="AJ490" s="179"/>
      <c r="AK490" s="179"/>
    </row>
    <row r="491" spans="2:37" s="178" customFormat="1" ht="15" hidden="1" customHeight="1" outlineLevel="4" thickBot="1">
      <c r="B491" s="165" t="str">
        <f t="shared" si="14"/>
        <v>ن</v>
      </c>
      <c r="C491" s="164" t="str">
        <f t="shared" si="14"/>
        <v>ن3</v>
      </c>
      <c r="D491" s="184"/>
      <c r="E491" s="172"/>
      <c r="F491" s="171"/>
      <c r="G491" s="444" t="str">
        <f>'[1]القوائم المالية'!A107</f>
        <v>مجموع المصروفات</v>
      </c>
      <c r="H491" s="445"/>
      <c r="I491" s="199"/>
      <c r="J491" s="199"/>
      <c r="K491" s="199"/>
      <c r="L491" s="199"/>
      <c r="M491" s="199"/>
      <c r="N491" s="199"/>
      <c r="O491" s="199"/>
      <c r="P491" s="199"/>
      <c r="Q491" s="199"/>
      <c r="R491" s="199"/>
      <c r="S491" s="199"/>
      <c r="T491" s="199"/>
      <c r="U491" s="199"/>
      <c r="V491" s="199"/>
      <c r="W491" s="199"/>
      <c r="X491" s="199"/>
      <c r="Y491" s="199"/>
      <c r="Z491" s="199"/>
      <c r="AA491" s="199"/>
      <c r="AB491" s="198"/>
      <c r="AC491" s="198"/>
      <c r="AD491" s="198"/>
      <c r="AE491" s="198"/>
      <c r="AF491" s="179"/>
      <c r="AG491" s="196"/>
      <c r="AH491" s="197"/>
      <c r="AI491" s="197"/>
      <c r="AJ491" s="196"/>
      <c r="AK491" s="196"/>
    </row>
    <row r="492" spans="2:37" s="178" customFormat="1" ht="15" hidden="1" customHeight="1" outlineLevel="4" thickTop="1" thickBot="1">
      <c r="B492" s="165" t="str">
        <f t="shared" si="14"/>
        <v>ن</v>
      </c>
      <c r="C492" s="164" t="str">
        <f t="shared" si="14"/>
        <v>ن3</v>
      </c>
      <c r="D492" s="184"/>
      <c r="E492" s="172"/>
      <c r="F492" s="171"/>
      <c r="G492" s="444" t="str">
        <f>'[1]القوائم المالية'!A108</f>
        <v>صافي ربح التشغيل من النشاط الرئيسي</v>
      </c>
      <c r="H492" s="445"/>
      <c r="I492" s="199"/>
      <c r="J492" s="199"/>
      <c r="K492" s="199"/>
      <c r="L492" s="199"/>
      <c r="M492" s="199"/>
      <c r="N492" s="199"/>
      <c r="O492" s="199"/>
      <c r="P492" s="199"/>
      <c r="Q492" s="199"/>
      <c r="R492" s="199"/>
      <c r="S492" s="199"/>
      <c r="T492" s="199"/>
      <c r="U492" s="199"/>
      <c r="V492" s="199"/>
      <c r="W492" s="199"/>
      <c r="X492" s="199"/>
      <c r="Y492" s="199"/>
      <c r="Z492" s="199"/>
      <c r="AA492" s="199"/>
      <c r="AB492" s="198"/>
      <c r="AC492" s="198"/>
      <c r="AD492" s="198"/>
      <c r="AE492" s="198"/>
      <c r="AF492" s="179"/>
      <c r="AG492" s="196"/>
      <c r="AH492" s="197"/>
      <c r="AI492" s="197"/>
      <c r="AJ492" s="196"/>
      <c r="AK492" s="196"/>
    </row>
    <row r="493" spans="2:37" s="178" customFormat="1" ht="15" hidden="1" customHeight="1" outlineLevel="4" thickTop="1">
      <c r="B493" s="165" t="str">
        <f t="shared" si="14"/>
        <v>ن</v>
      </c>
      <c r="C493" s="164" t="str">
        <f t="shared" si="14"/>
        <v>ن3</v>
      </c>
      <c r="D493" s="184"/>
      <c r="E493" s="172"/>
      <c r="F493" s="171"/>
      <c r="G493" s="438"/>
      <c r="H493" s="439"/>
      <c r="I493" s="190"/>
      <c r="J493" s="190"/>
      <c r="K493" s="190"/>
      <c r="L493" s="190"/>
      <c r="M493" s="190"/>
      <c r="N493" s="190"/>
      <c r="O493" s="190"/>
      <c r="P493" s="190"/>
      <c r="Q493" s="190"/>
      <c r="R493" s="190"/>
      <c r="S493" s="190"/>
      <c r="T493" s="190"/>
      <c r="U493" s="190"/>
      <c r="V493" s="190"/>
      <c r="W493" s="190"/>
      <c r="X493" s="190"/>
      <c r="Y493" s="190"/>
      <c r="Z493" s="190"/>
      <c r="AA493" s="190"/>
      <c r="AB493" s="187"/>
      <c r="AC493" s="185"/>
      <c r="AD493" s="185"/>
      <c r="AE493" s="185"/>
      <c r="AF493" s="179"/>
      <c r="AG493" s="179"/>
      <c r="AH493" s="180"/>
      <c r="AI493" s="180"/>
      <c r="AJ493" s="179"/>
      <c r="AK493" s="179"/>
    </row>
    <row r="494" spans="2:37" s="178" customFormat="1" ht="15" hidden="1" customHeight="1" outlineLevel="4">
      <c r="B494" s="165" t="str">
        <f t="shared" si="14"/>
        <v>ن</v>
      </c>
      <c r="C494" s="164" t="str">
        <f t="shared" si="14"/>
        <v>ن3</v>
      </c>
      <c r="D494" s="184"/>
      <c r="E494" s="172"/>
      <c r="F494" s="171"/>
      <c r="G494" s="433" t="str">
        <f>'[1]القوائم المالية'!A110</f>
        <v>العمليات غير المستمرة</v>
      </c>
      <c r="H494" s="433"/>
      <c r="I494" s="433"/>
      <c r="J494" s="433"/>
      <c r="K494" s="433"/>
      <c r="L494" s="433"/>
      <c r="M494" s="433"/>
      <c r="N494" s="433"/>
      <c r="O494" s="433"/>
      <c r="P494" s="433"/>
      <c r="Q494" s="433"/>
      <c r="R494" s="433"/>
      <c r="S494" s="433"/>
      <c r="T494" s="433"/>
      <c r="U494" s="433"/>
      <c r="V494" s="433"/>
      <c r="W494" s="433"/>
      <c r="X494" s="433"/>
      <c r="Y494" s="433"/>
      <c r="Z494" s="433"/>
      <c r="AA494" s="433"/>
      <c r="AB494" s="187"/>
      <c r="AC494" s="185"/>
      <c r="AD494" s="185"/>
      <c r="AE494" s="185"/>
      <c r="AF494" s="179"/>
      <c r="AG494" s="179"/>
      <c r="AH494" s="180"/>
      <c r="AI494" s="180"/>
      <c r="AJ494" s="179"/>
      <c r="AK494" s="179"/>
    </row>
    <row r="495" spans="2:37" s="178" customFormat="1" ht="15" hidden="1" customHeight="1" outlineLevel="4">
      <c r="B495" s="165" t="str">
        <f t="shared" si="14"/>
        <v>ن</v>
      </c>
      <c r="C495" s="164" t="str">
        <f t="shared" si="14"/>
        <v>ن3</v>
      </c>
      <c r="D495" s="184"/>
      <c r="E495" s="172"/>
      <c r="F495" s="171"/>
      <c r="G495" s="436" t="str">
        <f>'[1]القوائم المالية'!A111</f>
        <v xml:space="preserve">إيرادات اخري </v>
      </c>
      <c r="H495" s="437"/>
      <c r="I495" s="190"/>
      <c r="J495" s="190"/>
      <c r="K495" s="190"/>
      <c r="L495" s="190"/>
      <c r="M495" s="190"/>
      <c r="N495" s="190"/>
      <c r="O495" s="190"/>
      <c r="P495" s="190"/>
      <c r="Q495" s="190"/>
      <c r="R495" s="190"/>
      <c r="S495" s="190"/>
      <c r="T495" s="190"/>
      <c r="U495" s="190"/>
      <c r="V495" s="190"/>
      <c r="W495" s="190"/>
      <c r="X495" s="190"/>
      <c r="Y495" s="190"/>
      <c r="Z495" s="190"/>
      <c r="AA495" s="190"/>
      <c r="AB495" s="187"/>
      <c r="AC495" s="185"/>
      <c r="AD495" s="185"/>
      <c r="AE495" s="185"/>
      <c r="AF495" s="179" t="s">
        <v>2176</v>
      </c>
      <c r="AG495" s="179"/>
      <c r="AH495" s="180"/>
      <c r="AI495" s="180"/>
      <c r="AJ495" s="179"/>
      <c r="AK495" s="179"/>
    </row>
    <row r="496" spans="2:37" s="178" customFormat="1" ht="15" hidden="1" customHeight="1" outlineLevel="4">
      <c r="B496" s="165" t="str">
        <f t="shared" si="14"/>
        <v>ن</v>
      </c>
      <c r="C496" s="164" t="str">
        <f t="shared" si="14"/>
        <v>ن3</v>
      </c>
      <c r="D496" s="184"/>
      <c r="E496" s="172"/>
      <c r="F496" s="171"/>
      <c r="G496" s="436" t="str">
        <f>'[1]القوائم المالية'!A113</f>
        <v>تكاليف اخري</v>
      </c>
      <c r="H496" s="437"/>
      <c r="I496" s="190"/>
      <c r="J496" s="190"/>
      <c r="K496" s="190"/>
      <c r="L496" s="190"/>
      <c r="M496" s="190"/>
      <c r="N496" s="190"/>
      <c r="O496" s="190"/>
      <c r="P496" s="190"/>
      <c r="Q496" s="190"/>
      <c r="R496" s="190"/>
      <c r="S496" s="190"/>
      <c r="T496" s="190"/>
      <c r="U496" s="190"/>
      <c r="V496" s="190"/>
      <c r="W496" s="190"/>
      <c r="X496" s="190"/>
      <c r="Y496" s="190"/>
      <c r="Z496" s="190"/>
      <c r="AA496" s="190"/>
      <c r="AB496" s="187"/>
      <c r="AC496" s="185"/>
      <c r="AD496" s="185"/>
      <c r="AE496" s="185"/>
      <c r="AF496" s="179" t="s">
        <v>2175</v>
      </c>
      <c r="AG496" s="179"/>
      <c r="AH496" s="180"/>
      <c r="AI496" s="180"/>
      <c r="AJ496" s="179"/>
      <c r="AK496" s="179"/>
    </row>
    <row r="497" spans="2:37" s="178" customFormat="1" ht="15" hidden="1" customHeight="1" outlineLevel="4" thickBot="1">
      <c r="B497" s="165" t="str">
        <f t="shared" si="14"/>
        <v>ن</v>
      </c>
      <c r="C497" s="164" t="str">
        <f t="shared" si="14"/>
        <v>ن3</v>
      </c>
      <c r="D497" s="184"/>
      <c r="E497" s="172"/>
      <c r="F497" s="171"/>
      <c r="G497" s="444" t="str">
        <f>'[1]القوائم المالية'!A117</f>
        <v>صافي ربح / خسارة العمليات غير المستمرة</v>
      </c>
      <c r="H497" s="445"/>
      <c r="I497" s="199"/>
      <c r="J497" s="199"/>
      <c r="K497" s="199"/>
      <c r="L497" s="199"/>
      <c r="M497" s="199"/>
      <c r="N497" s="199"/>
      <c r="O497" s="199"/>
      <c r="P497" s="199"/>
      <c r="Q497" s="199"/>
      <c r="R497" s="199"/>
      <c r="S497" s="199"/>
      <c r="T497" s="199"/>
      <c r="U497" s="199"/>
      <c r="V497" s="199"/>
      <c r="W497" s="199"/>
      <c r="X497" s="199"/>
      <c r="Y497" s="199"/>
      <c r="Z497" s="199"/>
      <c r="AA497" s="199"/>
      <c r="AB497" s="198"/>
      <c r="AC497" s="198"/>
      <c r="AD497" s="198"/>
      <c r="AE497" s="198"/>
      <c r="AF497" s="179"/>
      <c r="AG497" s="196"/>
      <c r="AH497" s="197"/>
      <c r="AI497" s="197"/>
      <c r="AJ497" s="196"/>
      <c r="AK497" s="196"/>
    </row>
    <row r="498" spans="2:37" s="178" customFormat="1" ht="15" hidden="1" customHeight="1" outlineLevel="4" thickTop="1">
      <c r="B498" s="165" t="str">
        <f t="shared" si="14"/>
        <v>ن</v>
      </c>
      <c r="C498" s="164" t="str">
        <f t="shared" si="14"/>
        <v>ن3</v>
      </c>
      <c r="D498" s="184"/>
      <c r="E498" s="172"/>
      <c r="F498" s="171"/>
      <c r="G498" s="438" t="str">
        <f>'[1]القوائم المالية'!A118</f>
        <v>دخل (خسارة) السنة قبل الزكاة والضريبة</v>
      </c>
      <c r="H498" s="439"/>
      <c r="I498" s="190"/>
      <c r="J498" s="190"/>
      <c r="K498" s="190"/>
      <c r="L498" s="190"/>
      <c r="M498" s="190"/>
      <c r="N498" s="190"/>
      <c r="O498" s="190"/>
      <c r="P498" s="190"/>
      <c r="Q498" s="190"/>
      <c r="R498" s="190"/>
      <c r="S498" s="190"/>
      <c r="T498" s="190"/>
      <c r="U498" s="190"/>
      <c r="V498" s="190"/>
      <c r="W498" s="190"/>
      <c r="X498" s="190"/>
      <c r="Y498" s="190"/>
      <c r="Z498" s="190"/>
      <c r="AA498" s="190"/>
      <c r="AB498" s="187"/>
      <c r="AC498" s="185"/>
      <c r="AD498" s="185"/>
      <c r="AE498" s="185"/>
      <c r="AF498" s="179"/>
      <c r="AG498" s="179"/>
      <c r="AH498" s="180"/>
      <c r="AI498" s="180"/>
      <c r="AJ498" s="179"/>
      <c r="AK498" s="179"/>
    </row>
    <row r="499" spans="2:37" s="178" customFormat="1" ht="15" hidden="1" customHeight="1" outlineLevel="4">
      <c r="B499" s="165" t="str">
        <f t="shared" si="14"/>
        <v>ن</v>
      </c>
      <c r="C499" s="164" t="str">
        <f t="shared" si="14"/>
        <v>ن3</v>
      </c>
      <c r="D499" s="184"/>
      <c r="E499" s="172"/>
      <c r="F499" s="171"/>
      <c r="G499" s="436" t="str">
        <f>'[1]القوائم المالية'!A119</f>
        <v>الزكاة الشرعية</v>
      </c>
      <c r="H499" s="437"/>
      <c r="I499" s="190"/>
      <c r="J499" s="190"/>
      <c r="K499" s="190"/>
      <c r="L499" s="190"/>
      <c r="M499" s="190"/>
      <c r="N499" s="190"/>
      <c r="O499" s="190"/>
      <c r="P499" s="190"/>
      <c r="Q499" s="190"/>
      <c r="R499" s="190"/>
      <c r="S499" s="190"/>
      <c r="T499" s="190"/>
      <c r="U499" s="190"/>
      <c r="V499" s="190"/>
      <c r="W499" s="190"/>
      <c r="X499" s="190"/>
      <c r="Y499" s="190"/>
      <c r="Z499" s="190"/>
      <c r="AA499" s="190"/>
      <c r="AB499" s="187"/>
      <c r="AC499" s="185"/>
      <c r="AD499" s="185"/>
      <c r="AE499" s="185"/>
      <c r="AF499" s="179" t="s">
        <v>2174</v>
      </c>
      <c r="AG499" s="179"/>
      <c r="AH499" s="180"/>
      <c r="AI499" s="180"/>
      <c r="AJ499" s="179"/>
      <c r="AK499" s="179"/>
    </row>
    <row r="500" spans="2:37" s="178" customFormat="1" ht="15" hidden="1" customHeight="1" outlineLevel="4">
      <c r="B500" s="165" t="str">
        <f t="shared" si="14"/>
        <v>ن</v>
      </c>
      <c r="C500" s="164" t="str">
        <f t="shared" si="14"/>
        <v>ن3</v>
      </c>
      <c r="D500" s="184"/>
      <c r="E500" s="172"/>
      <c r="F500" s="171"/>
      <c r="G500" s="436" t="str">
        <f>'[1]القوائم المالية'!A120</f>
        <v>ضريبة الدخل</v>
      </c>
      <c r="H500" s="437"/>
      <c r="I500" s="190"/>
      <c r="J500" s="190"/>
      <c r="K500" s="190"/>
      <c r="L500" s="190"/>
      <c r="M500" s="190"/>
      <c r="N500" s="190"/>
      <c r="O500" s="190"/>
      <c r="P500" s="190"/>
      <c r="Q500" s="190"/>
      <c r="R500" s="190"/>
      <c r="S500" s="190"/>
      <c r="T500" s="190"/>
      <c r="U500" s="190"/>
      <c r="V500" s="190"/>
      <c r="W500" s="190"/>
      <c r="X500" s="190"/>
      <c r="Y500" s="190"/>
      <c r="Z500" s="190"/>
      <c r="AA500" s="190"/>
      <c r="AB500" s="187"/>
      <c r="AC500" s="185"/>
      <c r="AD500" s="185"/>
      <c r="AE500" s="200">
        <v>12</v>
      </c>
      <c r="AF500" s="179" t="s">
        <v>2173</v>
      </c>
      <c r="AG500" s="179"/>
      <c r="AH500" s="180"/>
      <c r="AI500" s="180"/>
      <c r="AJ500" s="179"/>
      <c r="AK500" s="179"/>
    </row>
    <row r="501" spans="2:37" s="178" customFormat="1" ht="15" hidden="1" customHeight="1" outlineLevel="4" thickBot="1">
      <c r="B501" s="165" t="str">
        <f t="shared" si="14"/>
        <v>ن</v>
      </c>
      <c r="C501" s="164" t="str">
        <f t="shared" si="14"/>
        <v>ن3</v>
      </c>
      <c r="D501" s="184"/>
      <c r="E501" s="172"/>
      <c r="F501" s="171"/>
      <c r="G501" s="444" t="str">
        <f>'[1]القوائم المالية'!A121</f>
        <v>صافي أرباح السنة</v>
      </c>
      <c r="H501" s="445"/>
      <c r="I501" s="199"/>
      <c r="J501" s="199"/>
      <c r="K501" s="199"/>
      <c r="L501" s="199"/>
      <c r="M501" s="199"/>
      <c r="N501" s="199"/>
      <c r="O501" s="199"/>
      <c r="P501" s="199"/>
      <c r="Q501" s="199"/>
      <c r="R501" s="199"/>
      <c r="S501" s="199"/>
      <c r="T501" s="199"/>
      <c r="U501" s="199"/>
      <c r="V501" s="199"/>
      <c r="W501" s="199"/>
      <c r="X501" s="199"/>
      <c r="Y501" s="199"/>
      <c r="Z501" s="199"/>
      <c r="AA501" s="199"/>
      <c r="AB501" s="198"/>
      <c r="AC501" s="198"/>
      <c r="AD501" s="198"/>
      <c r="AE501" s="198"/>
      <c r="AF501" s="179"/>
      <c r="AG501" s="196"/>
      <c r="AH501" s="197"/>
      <c r="AI501" s="197"/>
      <c r="AJ501" s="196"/>
      <c r="AK501" s="196"/>
    </row>
    <row r="502" spans="2:37" s="178" customFormat="1" ht="15" hidden="1" customHeight="1" outlineLevel="4" thickTop="1">
      <c r="B502" s="165" t="str">
        <f t="shared" si="14"/>
        <v>ن</v>
      </c>
      <c r="C502" s="164" t="str">
        <f t="shared" si="14"/>
        <v>ن3</v>
      </c>
      <c r="D502" s="184"/>
      <c r="E502" s="172"/>
      <c r="F502" s="171"/>
      <c r="G502" s="438"/>
      <c r="H502" s="439"/>
      <c r="I502" s="190"/>
      <c r="J502" s="190"/>
      <c r="K502" s="190"/>
      <c r="L502" s="190"/>
      <c r="M502" s="190"/>
      <c r="N502" s="190"/>
      <c r="O502" s="190"/>
      <c r="P502" s="190"/>
      <c r="Q502" s="190"/>
      <c r="R502" s="190"/>
      <c r="S502" s="190"/>
      <c r="T502" s="190"/>
      <c r="U502" s="190"/>
      <c r="V502" s="190"/>
      <c r="W502" s="190"/>
      <c r="X502" s="190"/>
      <c r="Y502" s="190"/>
      <c r="Z502" s="190"/>
      <c r="AA502" s="190"/>
      <c r="AB502" s="187"/>
      <c r="AC502" s="185"/>
      <c r="AD502" s="185"/>
      <c r="AE502" s="185"/>
      <c r="AF502" s="179"/>
      <c r="AG502" s="179"/>
      <c r="AH502" s="180"/>
      <c r="AI502" s="180"/>
      <c r="AJ502" s="179"/>
      <c r="AK502" s="179"/>
    </row>
    <row r="503" spans="2:37" s="178" customFormat="1" ht="15" hidden="1" customHeight="1" outlineLevel="4">
      <c r="B503" s="165" t="str">
        <f t="shared" si="14"/>
        <v>ن</v>
      </c>
      <c r="C503" s="164" t="str">
        <f t="shared" si="14"/>
        <v>ن3</v>
      </c>
      <c r="D503" s="184"/>
      <c r="E503" s="172"/>
      <c r="F503" s="171"/>
      <c r="G503" s="433" t="str">
        <f>'[1]القوائم المالية'!A123</f>
        <v>الدخل الشامل الاخر</v>
      </c>
      <c r="H503" s="433"/>
      <c r="I503" s="433"/>
      <c r="J503" s="433"/>
      <c r="K503" s="433"/>
      <c r="L503" s="433"/>
      <c r="M503" s="433"/>
      <c r="N503" s="433"/>
      <c r="O503" s="433"/>
      <c r="P503" s="433"/>
      <c r="Q503" s="433"/>
      <c r="R503" s="433"/>
      <c r="S503" s="433"/>
      <c r="T503" s="433"/>
      <c r="U503" s="433"/>
      <c r="V503" s="433"/>
      <c r="W503" s="433"/>
      <c r="X503" s="433"/>
      <c r="Y503" s="433"/>
      <c r="Z503" s="433"/>
      <c r="AA503" s="433"/>
      <c r="AB503" s="187"/>
      <c r="AC503" s="185"/>
      <c r="AD503" s="185"/>
      <c r="AE503" s="185"/>
      <c r="AF503" s="179"/>
      <c r="AG503" s="179"/>
      <c r="AH503" s="180"/>
      <c r="AI503" s="180"/>
      <c r="AJ503" s="179"/>
      <c r="AK503" s="179"/>
    </row>
    <row r="504" spans="2:37" s="178" customFormat="1" ht="15" hidden="1" customHeight="1" outlineLevel="4">
      <c r="B504" s="165" t="str">
        <f t="shared" si="14"/>
        <v>ن</v>
      </c>
      <c r="C504" s="164" t="str">
        <f t="shared" si="14"/>
        <v>ن3</v>
      </c>
      <c r="D504" s="184"/>
      <c r="E504" s="172"/>
      <c r="F504" s="171"/>
      <c r="G504" s="436" t="str">
        <f>'[1]القوائم المالية'!A124</f>
        <v>بنود لم يتم إعادة تصنيفها ضمن الربح والخسارة</v>
      </c>
      <c r="H504" s="437"/>
      <c r="I504" s="190"/>
      <c r="J504" s="190"/>
      <c r="K504" s="190"/>
      <c r="L504" s="190"/>
      <c r="M504" s="190"/>
      <c r="N504" s="190"/>
      <c r="O504" s="190"/>
      <c r="P504" s="190"/>
      <c r="Q504" s="190"/>
      <c r="R504" s="190"/>
      <c r="S504" s="190"/>
      <c r="T504" s="190"/>
      <c r="U504" s="190"/>
      <c r="V504" s="190"/>
      <c r="W504" s="190"/>
      <c r="X504" s="190"/>
      <c r="Y504" s="190"/>
      <c r="Z504" s="190"/>
      <c r="AA504" s="190"/>
      <c r="AB504" s="187"/>
      <c r="AC504" s="185"/>
      <c r="AD504" s="185"/>
      <c r="AE504" s="185"/>
      <c r="AF504" s="179" t="s">
        <v>2173</v>
      </c>
      <c r="AG504" s="179"/>
      <c r="AH504" s="180"/>
      <c r="AI504" s="180"/>
      <c r="AJ504" s="179"/>
      <c r="AK504" s="179"/>
    </row>
    <row r="505" spans="2:37" s="178" customFormat="1" ht="15" hidden="1" customHeight="1" outlineLevel="4">
      <c r="B505" s="165" t="str">
        <f t="shared" si="14"/>
        <v>ن</v>
      </c>
      <c r="C505" s="164" t="str">
        <f t="shared" si="14"/>
        <v>ن3</v>
      </c>
      <c r="D505" s="184"/>
      <c r="E505" s="172"/>
      <c r="F505" s="171"/>
      <c r="G505" s="436" t="str">
        <f>'[1]القوائم المالية'!A125</f>
        <v>أرباح / خسائر اكتوارية من إعادة قياس منافع الموظفين</v>
      </c>
      <c r="H505" s="437"/>
      <c r="I505" s="190"/>
      <c r="J505" s="190"/>
      <c r="K505" s="190"/>
      <c r="L505" s="190"/>
      <c r="M505" s="190"/>
      <c r="N505" s="190"/>
      <c r="O505" s="190"/>
      <c r="P505" s="190"/>
      <c r="Q505" s="190"/>
      <c r="R505" s="190"/>
      <c r="S505" s="190"/>
      <c r="T505" s="190"/>
      <c r="U505" s="190"/>
      <c r="V505" s="190"/>
      <c r="W505" s="190"/>
      <c r="X505" s="190"/>
      <c r="Y505" s="190"/>
      <c r="Z505" s="190"/>
      <c r="AA505" s="190"/>
      <c r="AB505" s="187"/>
      <c r="AC505" s="185"/>
      <c r="AD505" s="185"/>
      <c r="AE505" s="185"/>
      <c r="AF505" s="179" t="s">
        <v>2172</v>
      </c>
      <c r="AG505" s="179"/>
      <c r="AH505" s="180"/>
      <c r="AI505" s="180"/>
      <c r="AJ505" s="179"/>
      <c r="AK505" s="179"/>
    </row>
    <row r="506" spans="2:37" s="178" customFormat="1" ht="15" hidden="1" customHeight="1" outlineLevel="4">
      <c r="B506" s="165" t="str">
        <f t="shared" si="14"/>
        <v>ن</v>
      </c>
      <c r="C506" s="164" t="str">
        <f t="shared" si="14"/>
        <v>ن3</v>
      </c>
      <c r="D506" s="184"/>
      <c r="E506" s="172"/>
      <c r="F506" s="171"/>
      <c r="G506" s="436" t="str">
        <f>'[1]القوائم المالية'!A126</f>
        <v>إعادة احتساب استهلاك الأصول الثابتة</v>
      </c>
      <c r="H506" s="437"/>
      <c r="I506" s="190"/>
      <c r="J506" s="190"/>
      <c r="K506" s="190"/>
      <c r="L506" s="190"/>
      <c r="M506" s="190"/>
      <c r="N506" s="190"/>
      <c r="O506" s="190"/>
      <c r="P506" s="190"/>
      <c r="Q506" s="190"/>
      <c r="R506" s="190"/>
      <c r="S506" s="190"/>
      <c r="T506" s="190"/>
      <c r="U506" s="190"/>
      <c r="V506" s="190"/>
      <c r="W506" s="190"/>
      <c r="X506" s="190"/>
      <c r="Y506" s="190"/>
      <c r="Z506" s="190"/>
      <c r="AA506" s="190"/>
      <c r="AB506" s="187"/>
      <c r="AC506" s="185"/>
      <c r="AD506" s="185"/>
      <c r="AE506" s="185"/>
      <c r="AF506" s="179" t="s">
        <v>2171</v>
      </c>
      <c r="AG506" s="179"/>
      <c r="AH506" s="180"/>
      <c r="AI506" s="180"/>
      <c r="AJ506" s="179"/>
      <c r="AK506" s="179"/>
    </row>
    <row r="507" spans="2:37" s="178" customFormat="1" ht="15" hidden="1" customHeight="1" outlineLevel="4" thickBot="1">
      <c r="B507" s="165" t="str">
        <f t="shared" si="14"/>
        <v>ن</v>
      </c>
      <c r="C507" s="164" t="str">
        <f t="shared" si="14"/>
        <v>ن3</v>
      </c>
      <c r="D507" s="184"/>
      <c r="E507" s="172"/>
      <c r="F507" s="171"/>
      <c r="G507" s="444" t="str">
        <f>'[1]القوائم المالية'!A127</f>
        <v xml:space="preserve"> الدخل والدخل الشامل الآخر للسنة </v>
      </c>
      <c r="H507" s="445"/>
      <c r="I507" s="199"/>
      <c r="J507" s="199"/>
      <c r="K507" s="199"/>
      <c r="L507" s="199"/>
      <c r="M507" s="199"/>
      <c r="N507" s="199"/>
      <c r="O507" s="199"/>
      <c r="P507" s="199"/>
      <c r="Q507" s="199"/>
      <c r="R507" s="199"/>
      <c r="S507" s="199"/>
      <c r="T507" s="199"/>
      <c r="U507" s="199"/>
      <c r="V507" s="199"/>
      <c r="W507" s="199"/>
      <c r="X507" s="199"/>
      <c r="Y507" s="199"/>
      <c r="Z507" s="199"/>
      <c r="AA507" s="199"/>
      <c r="AB507" s="198"/>
      <c r="AC507" s="198"/>
      <c r="AD507" s="198"/>
      <c r="AE507" s="198"/>
      <c r="AF507" s="179"/>
      <c r="AG507" s="196"/>
      <c r="AH507" s="197"/>
      <c r="AI507" s="197"/>
      <c r="AJ507" s="196"/>
      <c r="AK507" s="196"/>
    </row>
    <row r="508" spans="2:37" s="178" customFormat="1" ht="15" hidden="1" customHeight="1" outlineLevel="4" thickTop="1">
      <c r="B508" s="165" t="str">
        <f t="shared" si="14"/>
        <v>ن</v>
      </c>
      <c r="C508" s="164" t="str">
        <f t="shared" si="14"/>
        <v>ن3</v>
      </c>
      <c r="D508" s="184"/>
      <c r="E508" s="172"/>
      <c r="F508" s="171"/>
      <c r="G508" s="438"/>
      <c r="H508" s="439"/>
      <c r="I508" s="190"/>
      <c r="J508" s="190"/>
      <c r="K508" s="190"/>
      <c r="L508" s="190"/>
      <c r="M508" s="190"/>
      <c r="N508" s="190"/>
      <c r="O508" s="190"/>
      <c r="P508" s="190"/>
      <c r="Q508" s="190"/>
      <c r="R508" s="190"/>
      <c r="S508" s="190"/>
      <c r="T508" s="190"/>
      <c r="U508" s="190"/>
      <c r="V508" s="190"/>
      <c r="W508" s="190"/>
      <c r="X508" s="190"/>
      <c r="Y508" s="190"/>
      <c r="Z508" s="190"/>
      <c r="AA508" s="190"/>
      <c r="AB508" s="187"/>
      <c r="AC508" s="185"/>
      <c r="AD508" s="185"/>
      <c r="AE508" s="185"/>
      <c r="AF508" s="179"/>
      <c r="AG508" s="179"/>
      <c r="AH508" s="180"/>
      <c r="AI508" s="180"/>
      <c r="AJ508" s="179"/>
      <c r="AK508" s="179"/>
    </row>
    <row r="509" spans="2:37" s="178" customFormat="1" ht="15" hidden="1" customHeight="1" outlineLevel="4">
      <c r="B509" s="165" t="str">
        <f t="shared" si="14"/>
        <v>ن</v>
      </c>
      <c r="C509" s="164" t="str">
        <f t="shared" si="14"/>
        <v>ن3</v>
      </c>
      <c r="D509" s="184"/>
      <c r="E509" s="172"/>
      <c r="F509" s="171"/>
      <c r="G509" s="438" t="str">
        <f>'[1]القوائم المالية'!A129</f>
        <v xml:space="preserve">ربحية السهم </v>
      </c>
      <c r="H509" s="439"/>
      <c r="I509" s="190"/>
      <c r="J509" s="190"/>
      <c r="K509" s="190"/>
      <c r="L509" s="190"/>
      <c r="M509" s="190"/>
      <c r="N509" s="190"/>
      <c r="O509" s="190"/>
      <c r="P509" s="190"/>
      <c r="Q509" s="190"/>
      <c r="R509" s="190"/>
      <c r="S509" s="190"/>
      <c r="T509" s="190"/>
      <c r="U509" s="190"/>
      <c r="V509" s="190"/>
      <c r="W509" s="190"/>
      <c r="X509" s="190"/>
      <c r="Y509" s="190"/>
      <c r="Z509" s="190"/>
      <c r="AA509" s="190"/>
      <c r="AB509" s="187"/>
      <c r="AC509" s="185"/>
      <c r="AD509" s="185"/>
      <c r="AE509" s="185"/>
      <c r="AF509" s="179" t="s">
        <v>2170</v>
      </c>
      <c r="AG509" s="179"/>
      <c r="AH509" s="180"/>
      <c r="AI509" s="180"/>
      <c r="AJ509" s="179"/>
      <c r="AK509" s="179"/>
    </row>
    <row r="510" spans="2:37" s="178" customFormat="1" ht="15" hidden="1" customHeight="1" outlineLevel="4">
      <c r="B510" s="165" t="str">
        <f t="shared" si="14"/>
        <v>ن</v>
      </c>
      <c r="C510" s="164" t="str">
        <f t="shared" si="14"/>
        <v>ن3</v>
      </c>
      <c r="D510" s="184"/>
      <c r="E510" s="172"/>
      <c r="F510" s="171"/>
      <c r="G510" s="438" t="str">
        <f>'[1]القوائم المالية'!A130</f>
        <v xml:space="preserve">ربحية السهم </v>
      </c>
      <c r="H510" s="439"/>
      <c r="I510" s="190"/>
      <c r="J510" s="190"/>
      <c r="K510" s="190"/>
      <c r="L510" s="190"/>
      <c r="M510" s="190"/>
      <c r="N510" s="190"/>
      <c r="O510" s="190"/>
      <c r="P510" s="190"/>
      <c r="Q510" s="190"/>
      <c r="R510" s="190"/>
      <c r="S510" s="190"/>
      <c r="T510" s="190"/>
      <c r="U510" s="190"/>
      <c r="V510" s="190"/>
      <c r="W510" s="190"/>
      <c r="X510" s="190"/>
      <c r="Y510" s="190"/>
      <c r="Z510" s="190"/>
      <c r="AA510" s="190"/>
      <c r="AB510" s="187"/>
      <c r="AC510" s="185"/>
      <c r="AD510" s="185"/>
      <c r="AE510" s="185"/>
      <c r="AF510" s="179"/>
      <c r="AG510" s="179"/>
      <c r="AH510" s="180"/>
      <c r="AI510" s="180"/>
      <c r="AJ510" s="179"/>
      <c r="AK510" s="179"/>
    </row>
    <row r="511" spans="2:37" s="178" customFormat="1" ht="15" hidden="1" customHeight="1" outlineLevel="4">
      <c r="B511" s="165" t="str">
        <f t="shared" si="14"/>
        <v>ن</v>
      </c>
      <c r="C511" s="164" t="str">
        <f t="shared" si="14"/>
        <v>ن3</v>
      </c>
      <c r="D511" s="184"/>
      <c r="E511" s="172"/>
      <c r="F511" s="171"/>
      <c r="G511" s="438" t="str">
        <f>'[1]القوائم المالية'!A131</f>
        <v>تم إحتساب ربحية السهم بقسمة صافي دخل العام على المتوسط المرجح لعدد الأسهم القائمة في تاريخ اعداد القوائم المالية والبالغة 50,000 سهم</v>
      </c>
      <c r="H511" s="439"/>
      <c r="I511" s="190"/>
      <c r="J511" s="190"/>
      <c r="K511" s="190"/>
      <c r="L511" s="190"/>
      <c r="M511" s="190"/>
      <c r="N511" s="190"/>
      <c r="O511" s="190"/>
      <c r="P511" s="190"/>
      <c r="Q511" s="190"/>
      <c r="R511" s="190"/>
      <c r="S511" s="190"/>
      <c r="T511" s="190"/>
      <c r="U511" s="190"/>
      <c r="V511" s="190"/>
      <c r="W511" s="190"/>
      <c r="X511" s="190"/>
      <c r="Y511" s="190"/>
      <c r="Z511" s="190"/>
      <c r="AA511" s="190"/>
      <c r="AB511" s="187"/>
      <c r="AC511" s="185"/>
      <c r="AD511" s="185"/>
      <c r="AE511" s="185"/>
      <c r="AF511" s="179"/>
      <c r="AG511" s="179"/>
      <c r="AH511" s="180"/>
      <c r="AI511" s="180"/>
      <c r="AJ511" s="179"/>
      <c r="AK511" s="179"/>
    </row>
    <row r="512" spans="2:37" s="178" customFormat="1" ht="9" hidden="1" customHeight="1" outlineLevel="3">
      <c r="B512" s="165" t="str">
        <f t="shared" si="14"/>
        <v>ن</v>
      </c>
      <c r="C512" s="164" t="str">
        <f t="shared" si="14"/>
        <v>ن3</v>
      </c>
      <c r="D512" s="184"/>
      <c r="E512" s="172"/>
      <c r="F512" s="171"/>
      <c r="G512" s="438"/>
      <c r="H512" s="439"/>
      <c r="I512" s="190"/>
      <c r="J512" s="190"/>
      <c r="K512" s="190"/>
      <c r="L512" s="190"/>
      <c r="M512" s="190"/>
      <c r="N512" s="190"/>
      <c r="O512" s="190"/>
      <c r="P512" s="190"/>
      <c r="Q512" s="190"/>
      <c r="R512" s="190"/>
      <c r="S512" s="190"/>
      <c r="T512" s="190"/>
      <c r="U512" s="190"/>
      <c r="V512" s="190"/>
      <c r="W512" s="190"/>
      <c r="X512" s="190"/>
      <c r="Y512" s="190"/>
      <c r="Z512" s="190"/>
      <c r="AA512" s="190"/>
      <c r="AB512" s="187"/>
      <c r="AC512" s="185"/>
      <c r="AD512" s="185"/>
      <c r="AE512" s="185"/>
      <c r="AF512" s="179"/>
      <c r="AG512" s="179"/>
      <c r="AH512" s="180"/>
      <c r="AI512" s="180"/>
      <c r="AJ512" s="179"/>
      <c r="AK512" s="179"/>
    </row>
    <row r="513" spans="1:37" s="178" customFormat="1" ht="9" hidden="1" customHeight="1" outlineLevel="2">
      <c r="B513" s="165" t="str">
        <f t="shared" si="14"/>
        <v>ن</v>
      </c>
      <c r="C513" s="164" t="str">
        <f t="shared" si="14"/>
        <v>ن3</v>
      </c>
      <c r="D513" s="184"/>
      <c r="E513" s="172"/>
      <c r="F513" s="171"/>
      <c r="G513" s="195"/>
      <c r="H513" s="190"/>
      <c r="I513" s="190"/>
      <c r="J513" s="190"/>
      <c r="K513" s="190"/>
      <c r="L513" s="190"/>
      <c r="M513" s="190"/>
      <c r="N513" s="190"/>
      <c r="O513" s="190"/>
      <c r="P513" s="190"/>
      <c r="Q513" s="190"/>
      <c r="R513" s="190"/>
      <c r="S513" s="190"/>
      <c r="T513" s="190"/>
      <c r="U513" s="190"/>
      <c r="V513" s="190"/>
      <c r="W513" s="190"/>
      <c r="X513" s="190"/>
      <c r="Y513" s="190"/>
      <c r="Z513" s="190"/>
      <c r="AA513" s="190"/>
      <c r="AB513" s="187"/>
      <c r="AC513" s="185"/>
      <c r="AD513" s="185"/>
      <c r="AE513" s="185"/>
      <c r="AF513" s="179"/>
      <c r="AG513" s="179"/>
      <c r="AH513" s="180"/>
      <c r="AI513" s="180"/>
      <c r="AJ513" s="179"/>
      <c r="AK513" s="179"/>
    </row>
    <row r="514" spans="1:37" s="178" customFormat="1" ht="9" hidden="1" customHeight="1" outlineLevel="1">
      <c r="B514" s="165" t="str">
        <f t="shared" si="14"/>
        <v>ن</v>
      </c>
      <c r="C514" s="164" t="str">
        <f t="shared" si="14"/>
        <v>ن3</v>
      </c>
      <c r="D514" s="184"/>
      <c r="E514" s="172"/>
      <c r="F514" s="171"/>
      <c r="G514" s="190"/>
      <c r="H514" s="190"/>
      <c r="I514" s="190"/>
      <c r="J514" s="190"/>
      <c r="K514" s="190"/>
      <c r="L514" s="190"/>
      <c r="M514" s="190"/>
      <c r="N514" s="190"/>
      <c r="O514" s="190"/>
      <c r="P514" s="190"/>
      <c r="Q514" s="190"/>
      <c r="R514" s="190"/>
      <c r="S514" s="190"/>
      <c r="T514" s="190"/>
      <c r="U514" s="190"/>
      <c r="V514" s="190"/>
      <c r="W514" s="190"/>
      <c r="X514" s="190"/>
      <c r="Y514" s="190"/>
      <c r="Z514" s="190"/>
      <c r="AA514" s="190"/>
      <c r="AB514" s="187"/>
      <c r="AC514" s="185"/>
      <c r="AD514" s="185"/>
      <c r="AE514" s="185"/>
      <c r="AF514" s="179"/>
      <c r="AG514" s="179"/>
      <c r="AH514" s="180"/>
      <c r="AI514" s="180"/>
      <c r="AJ514" s="179"/>
      <c r="AK514" s="179"/>
    </row>
    <row r="515" spans="1:37" s="178" customFormat="1" ht="17.45" hidden="1" customHeight="1" outlineLevel="1">
      <c r="A515" s="178" t="s">
        <v>187</v>
      </c>
      <c r="B515" s="165" t="str">
        <f t="shared" si="14"/>
        <v>ن</v>
      </c>
      <c r="C515" s="165" t="s">
        <v>2169</v>
      </c>
      <c r="D515" s="165" t="s">
        <v>2169</v>
      </c>
      <c r="E515" s="165" t="s">
        <v>2169</v>
      </c>
      <c r="F515" s="165" t="s">
        <v>2169</v>
      </c>
      <c r="G515" s="382" t="s">
        <v>2168</v>
      </c>
      <c r="H515" s="382"/>
      <c r="I515" s="382"/>
      <c r="J515" s="382"/>
      <c r="K515" s="382"/>
      <c r="L515" s="382"/>
      <c r="M515" s="382"/>
      <c r="N515" s="382"/>
      <c r="O515" s="382"/>
      <c r="P515" s="382"/>
      <c r="Q515" s="382"/>
      <c r="R515" s="382"/>
      <c r="S515" s="382"/>
      <c r="T515" s="382"/>
      <c r="U515" s="382"/>
      <c r="V515" s="382"/>
      <c r="W515" s="382"/>
      <c r="X515" s="382"/>
      <c r="Y515" s="382"/>
      <c r="Z515" s="382"/>
      <c r="AA515" s="382"/>
      <c r="AB515" s="194"/>
      <c r="AC515" s="194"/>
      <c r="AD515" s="194"/>
      <c r="AE515" s="194"/>
      <c r="AF515" s="193">
        <v>2.4</v>
      </c>
      <c r="AG515" s="286"/>
      <c r="AH515" s="287" t="s">
        <v>2125</v>
      </c>
      <c r="AI515" s="287" t="s">
        <v>2124</v>
      </c>
      <c r="AJ515" s="286"/>
      <c r="AK515" s="286"/>
    </row>
    <row r="516" spans="1:37" s="178" customFormat="1" ht="15" hidden="1" customHeight="1" outlineLevel="2" thickBot="1">
      <c r="A516" s="264" t="s">
        <v>188</v>
      </c>
      <c r="B516" s="165" t="str">
        <f t="shared" si="14"/>
        <v>ن</v>
      </c>
      <c r="C516" s="164" t="str">
        <f t="shared" si="14"/>
        <v>ن4</v>
      </c>
      <c r="D516" s="189" t="s">
        <v>2167</v>
      </c>
      <c r="E516" s="189" t="s">
        <v>2167</v>
      </c>
      <c r="F516" s="189" t="s">
        <v>2167</v>
      </c>
      <c r="G516" s="383" t="s">
        <v>2166</v>
      </c>
      <c r="H516" s="383"/>
      <c r="I516" s="383"/>
      <c r="J516" s="383"/>
      <c r="K516" s="383"/>
      <c r="L516" s="383"/>
      <c r="M516" s="383"/>
      <c r="N516" s="383"/>
      <c r="O516" s="383"/>
      <c r="P516" s="383"/>
      <c r="Q516" s="383"/>
      <c r="R516" s="383"/>
      <c r="S516" s="383"/>
      <c r="T516" s="383"/>
      <c r="U516" s="383"/>
      <c r="V516" s="383"/>
      <c r="W516" s="383"/>
      <c r="X516" s="383"/>
      <c r="Y516" s="383"/>
      <c r="Z516" s="383"/>
      <c r="AA516" s="383"/>
      <c r="AB516" s="188"/>
      <c r="AC516" s="188"/>
      <c r="AD516" s="188"/>
      <c r="AE516" s="188"/>
      <c r="AF516" s="288" t="s">
        <v>2165</v>
      </c>
      <c r="AG516" s="289" t="s">
        <v>2126</v>
      </c>
      <c r="AH516" s="290" t="s">
        <v>2125</v>
      </c>
      <c r="AI516" s="290" t="s">
        <v>2124</v>
      </c>
      <c r="AJ516" s="291"/>
      <c r="AK516" s="289"/>
    </row>
    <row r="517" spans="1:37" s="178" customFormat="1" ht="12.6" hidden="1" customHeight="1" outlineLevel="3" thickTop="1" thickBot="1">
      <c r="A517" s="178" t="s">
        <v>189</v>
      </c>
      <c r="B517" s="165" t="str">
        <f t="shared" si="14"/>
        <v>ن</v>
      </c>
      <c r="C517" s="164" t="str">
        <f t="shared" si="14"/>
        <v>ن4</v>
      </c>
      <c r="D517" s="184" t="str">
        <f>D516</f>
        <v>ن4-1</v>
      </c>
      <c r="E517" s="183" t="s">
        <v>2164</v>
      </c>
      <c r="F517" s="183" t="s">
        <v>2164</v>
      </c>
      <c r="G517" s="384" t="s">
        <v>2163</v>
      </c>
      <c r="H517" s="384"/>
      <c r="I517" s="384"/>
      <c r="J517" s="384"/>
      <c r="K517" s="384"/>
      <c r="L517" s="384"/>
      <c r="M517" s="384"/>
      <c r="N517" s="384"/>
      <c r="O517" s="384"/>
      <c r="P517" s="384"/>
      <c r="Q517" s="384"/>
      <c r="R517" s="384"/>
      <c r="S517" s="384"/>
      <c r="T517" s="384"/>
      <c r="U517" s="384"/>
      <c r="V517" s="384"/>
      <c r="W517" s="384"/>
      <c r="X517" s="384"/>
      <c r="Y517" s="384"/>
      <c r="Z517" s="384"/>
      <c r="AA517" s="384"/>
      <c r="AB517" s="182" t="s">
        <v>2110</v>
      </c>
      <c r="AC517" s="181"/>
      <c r="AD517" s="181"/>
      <c r="AE517" s="181"/>
      <c r="AF517" s="179"/>
      <c r="AG517" s="179" t="s">
        <v>2163</v>
      </c>
      <c r="AH517" s="180"/>
      <c r="AI517" s="180"/>
      <c r="AJ517" s="179"/>
      <c r="AK517" s="179"/>
    </row>
    <row r="518" spans="1:37" s="178" customFormat="1" ht="15" customHeight="1" outlineLevel="4">
      <c r="A518" s="178" t="s">
        <v>3500</v>
      </c>
      <c r="B518" s="165" t="str">
        <f t="shared" si="14"/>
        <v>ن</v>
      </c>
      <c r="C518" s="164" t="str">
        <f t="shared" si="14"/>
        <v>ن4</v>
      </c>
      <c r="D518" s="184"/>
      <c r="E518" s="172"/>
      <c r="F518" s="171" t="s">
        <v>2162</v>
      </c>
      <c r="G518" s="190"/>
      <c r="H518" s="190"/>
      <c r="I518" s="190"/>
      <c r="J518" s="190"/>
      <c r="K518" s="190"/>
      <c r="L518" s="190"/>
      <c r="M518" s="190"/>
      <c r="N518" s="190"/>
      <c r="O518" s="190"/>
      <c r="P518" s="190"/>
      <c r="Q518" s="190"/>
      <c r="R518" s="190"/>
      <c r="S518" s="190"/>
      <c r="T518" s="190"/>
      <c r="U518" s="190"/>
      <c r="V518" s="190"/>
      <c r="W518" s="190"/>
      <c r="X518" s="190"/>
      <c r="Y518" s="190"/>
      <c r="Z518" s="190"/>
      <c r="AA518" s="190"/>
      <c r="AB518" s="187"/>
      <c r="AC518" s="185"/>
      <c r="AD518" s="185"/>
      <c r="AE518" s="185"/>
      <c r="AF518" s="179"/>
      <c r="AG518" s="179"/>
      <c r="AH518" s="180"/>
      <c r="AI518" s="180"/>
      <c r="AJ518" s="179"/>
      <c r="AK518" s="179"/>
    </row>
    <row r="519" spans="1:37" s="178" customFormat="1" ht="9" hidden="1" customHeight="1" outlineLevel="3" thickBot="1">
      <c r="B519" s="165" t="str">
        <f t="shared" si="14"/>
        <v>ن</v>
      </c>
      <c r="C519" s="164" t="str">
        <f t="shared" si="14"/>
        <v>ن4</v>
      </c>
      <c r="D519" s="184"/>
      <c r="E519" s="172"/>
      <c r="F519" s="171"/>
      <c r="G519" s="190"/>
      <c r="H519" s="190"/>
      <c r="I519" s="190"/>
      <c r="J519" s="190"/>
      <c r="K519" s="190"/>
      <c r="L519" s="190"/>
      <c r="M519" s="190"/>
      <c r="N519" s="190"/>
      <c r="O519" s="190"/>
      <c r="P519" s="190"/>
      <c r="Q519" s="190"/>
      <c r="R519" s="190"/>
      <c r="S519" s="190"/>
      <c r="T519" s="190"/>
      <c r="U519" s="190"/>
      <c r="V519" s="190"/>
      <c r="W519" s="190"/>
      <c r="X519" s="190"/>
      <c r="Y519" s="190"/>
      <c r="Z519" s="190"/>
      <c r="AA519" s="190"/>
      <c r="AB519" s="185"/>
      <c r="AC519" s="185"/>
      <c r="AD519" s="185"/>
      <c r="AE519" s="185"/>
      <c r="AF519" s="179"/>
      <c r="AG519" s="179"/>
      <c r="AH519" s="180"/>
      <c r="AI519" s="180"/>
      <c r="AJ519" s="179"/>
      <c r="AK519" s="179"/>
    </row>
    <row r="520" spans="1:37" s="178" customFormat="1" ht="12.6" hidden="1" customHeight="1" outlineLevel="3" thickTop="1" thickBot="1">
      <c r="A520" s="178" t="s">
        <v>189</v>
      </c>
      <c r="B520" s="165" t="str">
        <f t="shared" si="14"/>
        <v>ن</v>
      </c>
      <c r="C520" s="164" t="str">
        <f t="shared" si="14"/>
        <v>ن4</v>
      </c>
      <c r="D520" s="184">
        <f>D519</f>
        <v>0</v>
      </c>
      <c r="E520" s="183" t="s">
        <v>2161</v>
      </c>
      <c r="F520" s="183" t="s">
        <v>2161</v>
      </c>
      <c r="G520" s="384" t="s">
        <v>2160</v>
      </c>
      <c r="H520" s="384"/>
      <c r="I520" s="384"/>
      <c r="J520" s="384"/>
      <c r="K520" s="384"/>
      <c r="L520" s="384"/>
      <c r="M520" s="384"/>
      <c r="N520" s="384"/>
      <c r="O520" s="384"/>
      <c r="P520" s="384"/>
      <c r="Q520" s="384"/>
      <c r="R520" s="384"/>
      <c r="S520" s="384"/>
      <c r="T520" s="384"/>
      <c r="U520" s="384"/>
      <c r="V520" s="384"/>
      <c r="W520" s="384"/>
      <c r="X520" s="384"/>
      <c r="Y520" s="384"/>
      <c r="Z520" s="384"/>
      <c r="AA520" s="384"/>
      <c r="AB520" s="182" t="s">
        <v>2110</v>
      </c>
      <c r="AC520" s="181"/>
      <c r="AD520" s="181"/>
      <c r="AE520" s="181"/>
      <c r="AF520" s="179"/>
      <c r="AG520" s="179" t="s">
        <v>2126</v>
      </c>
      <c r="AH520" s="180"/>
      <c r="AI520" s="180"/>
      <c r="AJ520" s="179"/>
      <c r="AK520" s="179"/>
    </row>
    <row r="521" spans="1:37" s="178" customFormat="1" ht="15" customHeight="1" outlineLevel="4">
      <c r="A521" s="178" t="s">
        <v>3500</v>
      </c>
      <c r="B521" s="165" t="str">
        <f t="shared" si="14"/>
        <v>ن</v>
      </c>
      <c r="C521" s="164" t="str">
        <f t="shared" si="14"/>
        <v>ن4</v>
      </c>
      <c r="D521" s="184"/>
      <c r="E521" s="172"/>
      <c r="F521" s="171" t="s">
        <v>2159</v>
      </c>
      <c r="G521" s="425" t="s">
        <v>2158</v>
      </c>
      <c r="H521" s="426"/>
      <c r="I521" s="426"/>
      <c r="J521" s="427"/>
      <c r="K521" s="427"/>
      <c r="L521" s="427"/>
      <c r="M521" s="427"/>
      <c r="N521" s="427"/>
      <c r="O521" s="427"/>
      <c r="P521" s="427"/>
      <c r="Q521" s="427"/>
      <c r="R521" s="427"/>
      <c r="S521" s="427"/>
      <c r="T521" s="427"/>
      <c r="U521" s="428"/>
      <c r="V521" s="169"/>
      <c r="W521" s="169"/>
      <c r="X521" s="169"/>
      <c r="Y521" s="169"/>
      <c r="Z521" s="186"/>
      <c r="AA521" s="186"/>
      <c r="AB521" s="187"/>
      <c r="AC521" s="185"/>
      <c r="AD521" s="185"/>
      <c r="AE521" s="185"/>
      <c r="AF521" s="294" t="s">
        <v>2140</v>
      </c>
      <c r="AG521" s="306"/>
      <c r="AH521" s="180"/>
      <c r="AI521" s="180"/>
      <c r="AJ521" s="179"/>
      <c r="AK521" s="179"/>
    </row>
    <row r="522" spans="1:37" s="178" customFormat="1" ht="15" customHeight="1" outlineLevel="4">
      <c r="A522" s="178" t="s">
        <v>3500</v>
      </c>
      <c r="B522" s="165" t="str">
        <f t="shared" si="14"/>
        <v>ن</v>
      </c>
      <c r="C522" s="164" t="str">
        <f t="shared" si="14"/>
        <v>ن4</v>
      </c>
      <c r="D522" s="184"/>
      <c r="E522" s="172"/>
      <c r="F522" s="171" t="s">
        <v>2157</v>
      </c>
      <c r="G522" s="425" t="s">
        <v>2156</v>
      </c>
      <c r="H522" s="426"/>
      <c r="I522" s="426"/>
      <c r="J522" s="427"/>
      <c r="K522" s="427"/>
      <c r="L522" s="427"/>
      <c r="M522" s="427"/>
      <c r="N522" s="427"/>
      <c r="O522" s="427"/>
      <c r="P522" s="427"/>
      <c r="Q522" s="427"/>
      <c r="R522" s="427"/>
      <c r="S522" s="427"/>
      <c r="T522" s="427"/>
      <c r="U522" s="428"/>
      <c r="V522" s="169"/>
      <c r="W522" s="169"/>
      <c r="X522" s="169"/>
      <c r="Y522" s="169"/>
      <c r="Z522" s="186"/>
      <c r="AA522" s="186"/>
      <c r="AB522" s="187"/>
      <c r="AC522" s="185"/>
      <c r="AD522" s="185"/>
      <c r="AE522" s="185"/>
      <c r="AF522" s="294" t="s">
        <v>2155</v>
      </c>
      <c r="AG522" s="306"/>
      <c r="AH522" s="180"/>
      <c r="AI522" s="180"/>
      <c r="AJ522" s="179"/>
      <c r="AK522" s="179"/>
    </row>
    <row r="523" spans="1:37" s="178" customFormat="1" ht="15" customHeight="1" outlineLevel="4">
      <c r="A523" s="178" t="s">
        <v>3500</v>
      </c>
      <c r="B523" s="165" t="str">
        <f t="shared" si="14"/>
        <v>ن</v>
      </c>
      <c r="C523" s="164" t="str">
        <f t="shared" si="14"/>
        <v>ن4</v>
      </c>
      <c r="D523" s="184"/>
      <c r="E523" s="172"/>
      <c r="F523" s="171" t="s">
        <v>2154</v>
      </c>
      <c r="G523" s="425" t="s">
        <v>2153</v>
      </c>
      <c r="H523" s="426"/>
      <c r="I523" s="426"/>
      <c r="J523" s="427"/>
      <c r="K523" s="427"/>
      <c r="L523" s="427"/>
      <c r="M523" s="427"/>
      <c r="N523" s="427"/>
      <c r="O523" s="427"/>
      <c r="P523" s="427"/>
      <c r="Q523" s="427"/>
      <c r="R523" s="427"/>
      <c r="S523" s="427"/>
      <c r="T523" s="427"/>
      <c r="U523" s="428"/>
      <c r="V523" s="169"/>
      <c r="W523" s="169"/>
      <c r="X523" s="169"/>
      <c r="Y523" s="169"/>
      <c r="Z523" s="186"/>
      <c r="AA523" s="186"/>
      <c r="AB523" s="187"/>
      <c r="AC523" s="185"/>
      <c r="AD523" s="185"/>
      <c r="AE523" s="185"/>
      <c r="AF523" s="294" t="s">
        <v>2140</v>
      </c>
      <c r="AG523" s="306" t="s">
        <v>2152</v>
      </c>
      <c r="AH523" s="180"/>
      <c r="AI523" s="180"/>
      <c r="AJ523" s="179"/>
      <c r="AK523" s="179"/>
    </row>
    <row r="524" spans="1:37" s="178" customFormat="1" ht="15" customHeight="1" outlineLevel="4">
      <c r="A524" s="178" t="s">
        <v>3500</v>
      </c>
      <c r="B524" s="165" t="str">
        <f t="shared" si="14"/>
        <v>ن</v>
      </c>
      <c r="C524" s="164" t="str">
        <f t="shared" si="14"/>
        <v>ن4</v>
      </c>
      <c r="D524" s="184"/>
      <c r="E524" s="172"/>
      <c r="F524" s="171" t="s">
        <v>2151</v>
      </c>
      <c r="G524" s="425" t="s">
        <v>2150</v>
      </c>
      <c r="H524" s="426"/>
      <c r="I524" s="426"/>
      <c r="J524" s="427"/>
      <c r="K524" s="427"/>
      <c r="L524" s="427"/>
      <c r="M524" s="427"/>
      <c r="N524" s="427"/>
      <c r="O524" s="427"/>
      <c r="P524" s="427"/>
      <c r="Q524" s="427"/>
      <c r="R524" s="427"/>
      <c r="S524" s="427"/>
      <c r="T524" s="427"/>
      <c r="U524" s="428"/>
      <c r="V524" s="169"/>
      <c r="W524" s="169"/>
      <c r="X524" s="169"/>
      <c r="Y524" s="169"/>
      <c r="Z524" s="186"/>
      <c r="AA524" s="186"/>
      <c r="AB524" s="187"/>
      <c r="AC524" s="185"/>
      <c r="AD524" s="185"/>
      <c r="AE524" s="185"/>
      <c r="AF524" s="294" t="s">
        <v>2140</v>
      </c>
      <c r="AG524" s="306" t="s">
        <v>2149</v>
      </c>
      <c r="AH524" s="180"/>
      <c r="AI524" s="180"/>
      <c r="AJ524" s="179"/>
      <c r="AK524" s="179"/>
    </row>
    <row r="525" spans="1:37" s="178" customFormat="1" ht="15" customHeight="1" outlineLevel="4">
      <c r="A525" s="178" t="s">
        <v>3500</v>
      </c>
      <c r="B525" s="165" t="str">
        <f t="shared" si="14"/>
        <v>ن</v>
      </c>
      <c r="C525" s="164" t="str">
        <f t="shared" si="14"/>
        <v>ن4</v>
      </c>
      <c r="D525" s="184"/>
      <c r="E525" s="172"/>
      <c r="F525" s="171" t="s">
        <v>2148</v>
      </c>
      <c r="G525" s="425" t="s">
        <v>2147</v>
      </c>
      <c r="H525" s="426"/>
      <c r="I525" s="426"/>
      <c r="J525" s="427"/>
      <c r="K525" s="427"/>
      <c r="L525" s="427"/>
      <c r="M525" s="427"/>
      <c r="N525" s="427"/>
      <c r="O525" s="427"/>
      <c r="P525" s="427"/>
      <c r="Q525" s="427"/>
      <c r="R525" s="427"/>
      <c r="S525" s="427"/>
      <c r="T525" s="427"/>
      <c r="U525" s="428"/>
      <c r="V525" s="169"/>
      <c r="W525" s="169"/>
      <c r="X525" s="169"/>
      <c r="Y525" s="169"/>
      <c r="Z525" s="186"/>
      <c r="AA525" s="186"/>
      <c r="AB525" s="187"/>
      <c r="AC525" s="185"/>
      <c r="AD525" s="185"/>
      <c r="AE525" s="185"/>
      <c r="AF525" s="294" t="s">
        <v>2140</v>
      </c>
      <c r="AG525" s="306"/>
      <c r="AH525" s="180"/>
      <c r="AI525" s="180"/>
      <c r="AJ525" s="179"/>
      <c r="AK525" s="179"/>
    </row>
    <row r="526" spans="1:37" s="178" customFormat="1" ht="15" customHeight="1" outlineLevel="4">
      <c r="A526" s="178" t="s">
        <v>3500</v>
      </c>
      <c r="B526" s="165" t="str">
        <f t="shared" si="14"/>
        <v>ن</v>
      </c>
      <c r="C526" s="164" t="str">
        <f t="shared" si="14"/>
        <v>ن4</v>
      </c>
      <c r="D526" s="184"/>
      <c r="E526" s="172"/>
      <c r="F526" s="171" t="s">
        <v>2146</v>
      </c>
      <c r="G526" s="425" t="s">
        <v>2144</v>
      </c>
      <c r="H526" s="426"/>
      <c r="I526" s="426"/>
      <c r="J526" s="427"/>
      <c r="K526" s="427"/>
      <c r="L526" s="427"/>
      <c r="M526" s="427"/>
      <c r="N526" s="427"/>
      <c r="O526" s="427"/>
      <c r="P526" s="427"/>
      <c r="Q526" s="427"/>
      <c r="R526" s="427"/>
      <c r="S526" s="427"/>
      <c r="T526" s="427"/>
      <c r="U526" s="428"/>
      <c r="V526" s="169"/>
      <c r="W526" s="169"/>
      <c r="X526" s="169"/>
      <c r="Y526" s="169"/>
      <c r="Z526" s="186"/>
      <c r="AA526" s="186"/>
      <c r="AB526" s="187"/>
      <c r="AC526" s="185"/>
      <c r="AD526" s="185"/>
      <c r="AE526" s="185"/>
      <c r="AF526" s="294" t="s">
        <v>2140</v>
      </c>
      <c r="AG526" s="306"/>
      <c r="AH526" s="180"/>
      <c r="AI526" s="180"/>
      <c r="AJ526" s="179"/>
      <c r="AK526" s="179"/>
    </row>
    <row r="527" spans="1:37" s="178" customFormat="1" ht="15" customHeight="1" outlineLevel="4">
      <c r="A527" s="178" t="s">
        <v>3500</v>
      </c>
      <c r="B527" s="165" t="str">
        <f t="shared" si="14"/>
        <v>ن</v>
      </c>
      <c r="C527" s="164" t="str">
        <f t="shared" si="14"/>
        <v>ن4</v>
      </c>
      <c r="D527" s="184"/>
      <c r="E527" s="172"/>
      <c r="F527" s="171" t="s">
        <v>2145</v>
      </c>
      <c r="G527" s="425" t="s">
        <v>2144</v>
      </c>
      <c r="H527" s="426"/>
      <c r="I527" s="426"/>
      <c r="J527" s="427"/>
      <c r="K527" s="427"/>
      <c r="L527" s="427"/>
      <c r="M527" s="427"/>
      <c r="N527" s="427"/>
      <c r="O527" s="427"/>
      <c r="P527" s="427"/>
      <c r="Q527" s="427"/>
      <c r="R527" s="427"/>
      <c r="S527" s="427"/>
      <c r="T527" s="427"/>
      <c r="U527" s="428"/>
      <c r="V527" s="169"/>
      <c r="W527" s="169"/>
      <c r="X527" s="169"/>
      <c r="Y527" s="169"/>
      <c r="Z527" s="186"/>
      <c r="AA527" s="186"/>
      <c r="AB527" s="187"/>
      <c r="AC527" s="185"/>
      <c r="AD527" s="185"/>
      <c r="AE527" s="185"/>
      <c r="AF527" s="294" t="s">
        <v>2140</v>
      </c>
      <c r="AG527" s="306"/>
      <c r="AH527" s="180"/>
      <c r="AI527" s="180"/>
      <c r="AJ527" s="179"/>
      <c r="AK527" s="179"/>
    </row>
    <row r="528" spans="1:37" s="178" customFormat="1" ht="15" customHeight="1" outlineLevel="4">
      <c r="A528" s="178" t="s">
        <v>3500</v>
      </c>
      <c r="B528" s="165" t="str">
        <f t="shared" si="14"/>
        <v>ن</v>
      </c>
      <c r="C528" s="164" t="str">
        <f t="shared" si="14"/>
        <v>ن4</v>
      </c>
      <c r="D528" s="184"/>
      <c r="E528" s="172"/>
      <c r="F528" s="171" t="s">
        <v>2143</v>
      </c>
      <c r="G528" s="425" t="s">
        <v>2142</v>
      </c>
      <c r="H528" s="426"/>
      <c r="I528" s="426"/>
      <c r="J528" s="427"/>
      <c r="K528" s="427"/>
      <c r="L528" s="427"/>
      <c r="M528" s="427"/>
      <c r="N528" s="427"/>
      <c r="O528" s="427"/>
      <c r="P528" s="427"/>
      <c r="Q528" s="427"/>
      <c r="R528" s="427"/>
      <c r="S528" s="427"/>
      <c r="T528" s="427"/>
      <c r="U528" s="428"/>
      <c r="V528" s="169"/>
      <c r="W528" s="169"/>
      <c r="X528" s="169"/>
      <c r="Y528" s="169"/>
      <c r="Z528" s="186"/>
      <c r="AA528" s="186"/>
      <c r="AB528" s="187"/>
      <c r="AC528" s="185"/>
      <c r="AD528" s="185"/>
      <c r="AE528" s="185"/>
      <c r="AF528" s="294" t="s">
        <v>2140</v>
      </c>
      <c r="AG528" s="306"/>
      <c r="AH528" s="180"/>
      <c r="AI528" s="180"/>
      <c r="AJ528" s="179"/>
      <c r="AK528" s="179"/>
    </row>
    <row r="529" spans="1:37" s="178" customFormat="1" ht="15" customHeight="1" outlineLevel="4">
      <c r="A529" s="178" t="s">
        <v>3500</v>
      </c>
      <c r="B529" s="165" t="str">
        <f t="shared" si="14"/>
        <v>ن</v>
      </c>
      <c r="C529" s="164" t="str">
        <f t="shared" si="14"/>
        <v>ن4</v>
      </c>
      <c r="D529" s="184"/>
      <c r="E529" s="172"/>
      <c r="F529" s="171" t="s">
        <v>2141</v>
      </c>
      <c r="G529" s="425"/>
      <c r="H529" s="426"/>
      <c r="I529" s="426"/>
      <c r="J529" s="427"/>
      <c r="K529" s="427"/>
      <c r="L529" s="427"/>
      <c r="M529" s="427"/>
      <c r="N529" s="427"/>
      <c r="O529" s="427"/>
      <c r="P529" s="427"/>
      <c r="Q529" s="427"/>
      <c r="R529" s="427"/>
      <c r="S529" s="427"/>
      <c r="T529" s="427"/>
      <c r="U529" s="428"/>
      <c r="V529" s="169"/>
      <c r="W529" s="169"/>
      <c r="X529" s="169"/>
      <c r="Y529" s="169"/>
      <c r="Z529" s="190"/>
      <c r="AA529" s="190"/>
      <c r="AB529" s="187"/>
      <c r="AC529" s="185"/>
      <c r="AD529" s="185"/>
      <c r="AE529" s="185"/>
      <c r="AF529" s="294" t="s">
        <v>2140</v>
      </c>
      <c r="AG529" s="306"/>
      <c r="AH529" s="180"/>
      <c r="AI529" s="180"/>
      <c r="AJ529" s="179"/>
      <c r="AK529" s="179"/>
    </row>
    <row r="530" spans="1:37" s="178" customFormat="1" ht="9" hidden="1" customHeight="1" outlineLevel="3" thickBot="1">
      <c r="B530" s="165" t="str">
        <f t="shared" si="14"/>
        <v>ن</v>
      </c>
      <c r="C530" s="164" t="str">
        <f t="shared" si="14"/>
        <v>ن4</v>
      </c>
      <c r="D530" s="184"/>
      <c r="E530" s="172"/>
      <c r="F530" s="171"/>
      <c r="G530" s="191"/>
      <c r="H530" s="191"/>
      <c r="I530" s="191"/>
      <c r="J530" s="169"/>
      <c r="K530" s="169"/>
      <c r="L530" s="169"/>
      <c r="M530" s="169"/>
      <c r="N530" s="169"/>
      <c r="O530" s="169"/>
      <c r="P530" s="169"/>
      <c r="Q530" s="169"/>
      <c r="R530" s="169"/>
      <c r="S530" s="169"/>
      <c r="T530" s="169"/>
      <c r="U530" s="169"/>
      <c r="V530" s="169"/>
      <c r="W530" s="169"/>
      <c r="X530" s="169"/>
      <c r="Y530" s="169"/>
      <c r="Z530" s="190"/>
      <c r="AA530" s="190"/>
      <c r="AB530" s="185"/>
      <c r="AC530" s="185"/>
      <c r="AD530" s="185"/>
      <c r="AE530" s="185"/>
      <c r="AF530" s="294" t="s">
        <v>2140</v>
      </c>
      <c r="AG530" s="306"/>
      <c r="AH530" s="180"/>
      <c r="AI530" s="180"/>
      <c r="AJ530" s="179"/>
      <c r="AK530" s="179"/>
    </row>
    <row r="531" spans="1:37" s="178" customFormat="1" ht="12.6" hidden="1" customHeight="1" outlineLevel="3" thickTop="1" thickBot="1">
      <c r="A531" s="178" t="s">
        <v>189</v>
      </c>
      <c r="B531" s="165" t="str">
        <f t="shared" si="14"/>
        <v>ن</v>
      </c>
      <c r="C531" s="164" t="str">
        <f t="shared" si="14"/>
        <v>ن4</v>
      </c>
      <c r="D531" s="184">
        <f>D530</f>
        <v>0</v>
      </c>
      <c r="E531" s="183" t="s">
        <v>2139</v>
      </c>
      <c r="F531" s="183" t="s">
        <v>2139</v>
      </c>
      <c r="G531" s="384" t="s">
        <v>2138</v>
      </c>
      <c r="H531" s="384"/>
      <c r="I531" s="384"/>
      <c r="J531" s="384"/>
      <c r="K531" s="384"/>
      <c r="L531" s="384"/>
      <c r="M531" s="384"/>
      <c r="N531" s="384"/>
      <c r="O531" s="384"/>
      <c r="P531" s="384"/>
      <c r="Q531" s="384"/>
      <c r="R531" s="384"/>
      <c r="S531" s="384"/>
      <c r="T531" s="384"/>
      <c r="U531" s="384"/>
      <c r="V531" s="384"/>
      <c r="W531" s="384"/>
      <c r="X531" s="384"/>
      <c r="Y531" s="384"/>
      <c r="Z531" s="384"/>
      <c r="AA531" s="384"/>
      <c r="AB531" s="182" t="s">
        <v>2110</v>
      </c>
      <c r="AC531" s="181"/>
      <c r="AD531" s="181"/>
      <c r="AE531" s="181"/>
      <c r="AF531" s="179"/>
      <c r="AG531" s="179"/>
      <c r="AH531" s="180"/>
      <c r="AI531" s="180"/>
      <c r="AJ531" s="179"/>
      <c r="AK531" s="179"/>
    </row>
    <row r="532" spans="1:37" s="178" customFormat="1" ht="15" customHeight="1" outlineLevel="4">
      <c r="A532" s="178" t="s">
        <v>3500</v>
      </c>
      <c r="B532" s="165" t="str">
        <f t="shared" si="14"/>
        <v>ن</v>
      </c>
      <c r="C532" s="164" t="str">
        <f t="shared" si="14"/>
        <v>ن4</v>
      </c>
      <c r="D532" s="184"/>
      <c r="E532" s="172"/>
      <c r="F532" s="171" t="s">
        <v>2137</v>
      </c>
      <c r="G532" s="190"/>
      <c r="H532" s="190"/>
      <c r="I532" s="190"/>
      <c r="J532" s="190"/>
      <c r="K532" s="190"/>
      <c r="L532" s="190"/>
      <c r="M532" s="190"/>
      <c r="N532" s="190"/>
      <c r="O532" s="190"/>
      <c r="P532" s="190"/>
      <c r="Q532" s="190"/>
      <c r="R532" s="190"/>
      <c r="S532" s="190"/>
      <c r="T532" s="190"/>
      <c r="U532" s="190"/>
      <c r="V532" s="190"/>
      <c r="W532" s="190"/>
      <c r="X532" s="190"/>
      <c r="Y532" s="190"/>
      <c r="Z532" s="190"/>
      <c r="AA532" s="190"/>
      <c r="AB532" s="187"/>
      <c r="AC532" s="185"/>
      <c r="AD532" s="185"/>
      <c r="AE532" s="185"/>
      <c r="AF532" s="179"/>
      <c r="AG532" s="179"/>
      <c r="AH532" s="180"/>
      <c r="AI532" s="180"/>
      <c r="AJ532" s="179"/>
      <c r="AK532" s="179"/>
    </row>
    <row r="533" spans="1:37" s="178" customFormat="1" ht="9" hidden="1" customHeight="1" outlineLevel="3" thickBot="1">
      <c r="B533" s="165" t="str">
        <f t="shared" si="14"/>
        <v>ن</v>
      </c>
      <c r="C533" s="164" t="str">
        <f t="shared" si="14"/>
        <v>ن4</v>
      </c>
      <c r="D533" s="184"/>
      <c r="E533" s="172"/>
      <c r="F533" s="171"/>
      <c r="G533" s="190"/>
      <c r="H533" s="190"/>
      <c r="I533" s="190"/>
      <c r="J533" s="190"/>
      <c r="K533" s="190"/>
      <c r="L533" s="190"/>
      <c r="M533" s="190"/>
      <c r="N533" s="190"/>
      <c r="O533" s="190"/>
      <c r="P533" s="190"/>
      <c r="Q533" s="190"/>
      <c r="R533" s="190"/>
      <c r="S533" s="190"/>
      <c r="T533" s="190"/>
      <c r="U533" s="190"/>
      <c r="V533" s="190"/>
      <c r="W533" s="190"/>
      <c r="X533" s="190"/>
      <c r="Y533" s="190"/>
      <c r="Z533" s="190"/>
      <c r="AA533" s="190"/>
      <c r="AB533" s="185"/>
      <c r="AC533" s="185"/>
      <c r="AD533" s="185"/>
      <c r="AE533" s="185"/>
      <c r="AF533" s="179"/>
      <c r="AG533" s="179"/>
      <c r="AH533" s="180"/>
      <c r="AI533" s="180"/>
      <c r="AJ533" s="179"/>
      <c r="AK533" s="179"/>
    </row>
    <row r="534" spans="1:37" s="178" customFormat="1" ht="12.6" hidden="1" customHeight="1" outlineLevel="3" thickTop="1" thickBot="1">
      <c r="A534" s="178" t="s">
        <v>189</v>
      </c>
      <c r="B534" s="165" t="str">
        <f t="shared" si="14"/>
        <v>ن</v>
      </c>
      <c r="C534" s="164" t="str">
        <f t="shared" si="14"/>
        <v>ن4</v>
      </c>
      <c r="D534" s="184">
        <f>D533</f>
        <v>0</v>
      </c>
      <c r="E534" s="183" t="s">
        <v>2136</v>
      </c>
      <c r="F534" s="183" t="s">
        <v>2136</v>
      </c>
      <c r="G534" s="384" t="s">
        <v>2135</v>
      </c>
      <c r="H534" s="384"/>
      <c r="I534" s="384"/>
      <c r="J534" s="384"/>
      <c r="K534" s="384"/>
      <c r="L534" s="384"/>
      <c r="M534" s="384"/>
      <c r="N534" s="384"/>
      <c r="O534" s="384"/>
      <c r="P534" s="384"/>
      <c r="Q534" s="384"/>
      <c r="R534" s="384"/>
      <c r="S534" s="384"/>
      <c r="T534" s="384"/>
      <c r="U534" s="384"/>
      <c r="V534" s="384"/>
      <c r="W534" s="384"/>
      <c r="X534" s="384"/>
      <c r="Y534" s="384"/>
      <c r="Z534" s="384"/>
      <c r="AA534" s="384"/>
      <c r="AB534" s="182" t="s">
        <v>2110</v>
      </c>
      <c r="AC534" s="181"/>
      <c r="AD534" s="181"/>
      <c r="AE534" s="181"/>
      <c r="AF534" s="179"/>
      <c r="AG534" s="179" t="s">
        <v>2126</v>
      </c>
      <c r="AH534" s="180"/>
      <c r="AI534" s="180"/>
      <c r="AJ534" s="179"/>
      <c r="AK534" s="179"/>
    </row>
    <row r="535" spans="1:37" s="178" customFormat="1" ht="15" customHeight="1" outlineLevel="4">
      <c r="A535" s="178" t="s">
        <v>3500</v>
      </c>
      <c r="B535" s="165" t="str">
        <f t="shared" si="14"/>
        <v>ن</v>
      </c>
      <c r="C535" s="164" t="str">
        <f t="shared" si="14"/>
        <v>ن4</v>
      </c>
      <c r="D535" s="184"/>
      <c r="E535" s="172"/>
      <c r="F535" s="171" t="s">
        <v>2134</v>
      </c>
      <c r="G535" s="190"/>
      <c r="H535" s="190"/>
      <c r="I535" s="190"/>
      <c r="J535" s="190"/>
      <c r="K535" s="190"/>
      <c r="L535" s="190"/>
      <c r="M535" s="190"/>
      <c r="N535" s="190"/>
      <c r="O535" s="190"/>
      <c r="P535" s="190"/>
      <c r="Q535" s="190"/>
      <c r="R535" s="190"/>
      <c r="S535" s="190"/>
      <c r="T535" s="190"/>
      <c r="U535" s="190"/>
      <c r="V535" s="190"/>
      <c r="W535" s="190"/>
      <c r="X535" s="190"/>
      <c r="Y535" s="190"/>
      <c r="Z535" s="190"/>
      <c r="AA535" s="190"/>
      <c r="AB535" s="187"/>
      <c r="AC535" s="185"/>
      <c r="AD535" s="185"/>
      <c r="AE535" s="185"/>
      <c r="AF535" s="179"/>
      <c r="AG535" s="179"/>
      <c r="AH535" s="180"/>
      <c r="AI535" s="180"/>
      <c r="AJ535" s="179"/>
      <c r="AK535" s="179"/>
    </row>
    <row r="536" spans="1:37" s="178" customFormat="1" ht="15" customHeight="1" outlineLevel="4">
      <c r="A536" s="178" t="s">
        <v>3500</v>
      </c>
      <c r="B536" s="165" t="str">
        <f t="shared" si="14"/>
        <v>ن</v>
      </c>
      <c r="C536" s="164" t="str">
        <f t="shared" si="14"/>
        <v>ن4</v>
      </c>
      <c r="D536" s="184"/>
      <c r="E536" s="172"/>
      <c r="F536" s="171" t="s">
        <v>2133</v>
      </c>
      <c r="G536" s="190"/>
      <c r="H536" s="190"/>
      <c r="I536" s="190"/>
      <c r="J536" s="190"/>
      <c r="K536" s="190"/>
      <c r="L536" s="190"/>
      <c r="M536" s="190"/>
      <c r="N536" s="190"/>
      <c r="O536" s="190"/>
      <c r="P536" s="190"/>
      <c r="Q536" s="190"/>
      <c r="R536" s="190"/>
      <c r="S536" s="190"/>
      <c r="T536" s="190"/>
      <c r="U536" s="190"/>
      <c r="V536" s="190"/>
      <c r="W536" s="190"/>
      <c r="X536" s="190"/>
      <c r="Y536" s="190"/>
      <c r="Z536" s="190"/>
      <c r="AA536" s="190"/>
      <c r="AB536" s="187"/>
      <c r="AC536" s="185"/>
      <c r="AD536" s="185"/>
      <c r="AE536" s="185"/>
      <c r="AF536" s="179"/>
      <c r="AG536" s="179"/>
      <c r="AH536" s="180"/>
      <c r="AI536" s="180"/>
      <c r="AJ536" s="179"/>
      <c r="AK536" s="179"/>
    </row>
    <row r="537" spans="1:37" s="178" customFormat="1" ht="15" customHeight="1" outlineLevel="4">
      <c r="A537" s="178" t="s">
        <v>3500</v>
      </c>
      <c r="B537" s="165" t="str">
        <f t="shared" si="14"/>
        <v>ن</v>
      </c>
      <c r="C537" s="164" t="str">
        <f t="shared" si="14"/>
        <v>ن4</v>
      </c>
      <c r="D537" s="184"/>
      <c r="E537" s="172"/>
      <c r="F537" s="171" t="s">
        <v>2132</v>
      </c>
      <c r="G537" s="190"/>
      <c r="H537" s="190"/>
      <c r="I537" s="190"/>
      <c r="J537" s="190"/>
      <c r="K537" s="190"/>
      <c r="L537" s="190"/>
      <c r="M537" s="190"/>
      <c r="N537" s="190"/>
      <c r="O537" s="190"/>
      <c r="P537" s="190"/>
      <c r="Q537" s="190"/>
      <c r="R537" s="190"/>
      <c r="S537" s="190"/>
      <c r="T537" s="190"/>
      <c r="U537" s="190"/>
      <c r="V537" s="190"/>
      <c r="W537" s="190"/>
      <c r="X537" s="190"/>
      <c r="Y537" s="190"/>
      <c r="Z537" s="190"/>
      <c r="AA537" s="190"/>
      <c r="AB537" s="187"/>
      <c r="AC537" s="185"/>
      <c r="AD537" s="185"/>
      <c r="AE537" s="185"/>
      <c r="AF537" s="179"/>
      <c r="AG537" s="179"/>
      <c r="AH537" s="180"/>
      <c r="AI537" s="180"/>
      <c r="AJ537" s="179"/>
      <c r="AK537" s="179"/>
    </row>
    <row r="538" spans="1:37" s="178" customFormat="1" ht="15" customHeight="1" outlineLevel="4">
      <c r="A538" s="178" t="s">
        <v>3500</v>
      </c>
      <c r="B538" s="165" t="str">
        <f t="shared" ref="B538:C557" si="15">B537</f>
        <v>ن</v>
      </c>
      <c r="C538" s="164" t="str">
        <f t="shared" si="15"/>
        <v>ن4</v>
      </c>
      <c r="D538" s="184"/>
      <c r="E538" s="172"/>
      <c r="F538" s="171" t="s">
        <v>2131</v>
      </c>
      <c r="G538" s="190"/>
      <c r="H538" s="190"/>
      <c r="I538" s="190"/>
      <c r="J538" s="190"/>
      <c r="K538" s="190"/>
      <c r="L538" s="190"/>
      <c r="M538" s="190"/>
      <c r="N538" s="190"/>
      <c r="O538" s="190"/>
      <c r="P538" s="190"/>
      <c r="Q538" s="190"/>
      <c r="R538" s="190"/>
      <c r="S538" s="190"/>
      <c r="T538" s="190"/>
      <c r="U538" s="190"/>
      <c r="V538" s="190"/>
      <c r="W538" s="190"/>
      <c r="X538" s="190"/>
      <c r="Y538" s="190"/>
      <c r="Z538" s="190"/>
      <c r="AA538" s="190"/>
      <c r="AB538" s="187"/>
      <c r="AC538" s="185"/>
      <c r="AD538" s="185"/>
      <c r="AE538" s="185"/>
      <c r="AF538" s="179"/>
      <c r="AG538" s="179"/>
      <c r="AH538" s="180"/>
      <c r="AI538" s="180"/>
      <c r="AJ538" s="179"/>
      <c r="AK538" s="179"/>
    </row>
    <row r="539" spans="1:37" s="178" customFormat="1" ht="15" customHeight="1" outlineLevel="4">
      <c r="A539" s="178" t="s">
        <v>3500</v>
      </c>
      <c r="B539" s="165" t="str">
        <f t="shared" si="15"/>
        <v>ن</v>
      </c>
      <c r="C539" s="164" t="str">
        <f t="shared" si="15"/>
        <v>ن4</v>
      </c>
      <c r="D539" s="184"/>
      <c r="E539" s="172"/>
      <c r="F539" s="171" t="s">
        <v>2130</v>
      </c>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87"/>
      <c r="AC539" s="185"/>
      <c r="AD539" s="185"/>
      <c r="AE539" s="185"/>
      <c r="AF539" s="179"/>
      <c r="AG539" s="179"/>
      <c r="AH539" s="180"/>
      <c r="AI539" s="180"/>
      <c r="AJ539" s="179"/>
      <c r="AK539" s="179"/>
    </row>
    <row r="540" spans="1:37" s="178" customFormat="1" ht="9" hidden="1" customHeight="1" outlineLevel="3">
      <c r="B540" s="165" t="str">
        <f t="shared" si="15"/>
        <v>ن</v>
      </c>
      <c r="C540" s="164" t="str">
        <f t="shared" si="15"/>
        <v>ن4</v>
      </c>
      <c r="D540" s="184"/>
      <c r="E540" s="172"/>
      <c r="F540" s="171"/>
      <c r="G540" s="190"/>
      <c r="H540" s="190"/>
      <c r="I540" s="190"/>
      <c r="J540" s="190"/>
      <c r="K540" s="190"/>
      <c r="L540" s="190"/>
      <c r="M540" s="190"/>
      <c r="N540" s="190"/>
      <c r="O540" s="190"/>
      <c r="P540" s="190"/>
      <c r="Q540" s="190"/>
      <c r="R540" s="190"/>
      <c r="S540" s="190"/>
      <c r="T540" s="190"/>
      <c r="U540" s="190"/>
      <c r="V540" s="190"/>
      <c r="W540" s="190"/>
      <c r="X540" s="190"/>
      <c r="Y540" s="190"/>
      <c r="Z540" s="190"/>
      <c r="AA540" s="190"/>
      <c r="AB540" s="187"/>
      <c r="AC540" s="185"/>
      <c r="AD540" s="185"/>
      <c r="AE540" s="185"/>
      <c r="AF540" s="179"/>
      <c r="AG540" s="179"/>
      <c r="AH540" s="180"/>
      <c r="AI540" s="180"/>
      <c r="AJ540" s="179"/>
      <c r="AK540" s="179"/>
    </row>
    <row r="541" spans="1:37" s="178" customFormat="1" ht="9" hidden="1" customHeight="1" outlineLevel="2">
      <c r="B541" s="165" t="str">
        <f t="shared" si="15"/>
        <v>ن</v>
      </c>
      <c r="C541" s="164" t="str">
        <f t="shared" si="15"/>
        <v>ن4</v>
      </c>
      <c r="D541" s="184"/>
      <c r="E541" s="172"/>
      <c r="F541" s="171"/>
      <c r="G541" s="190"/>
      <c r="H541" s="190"/>
      <c r="I541" s="190"/>
      <c r="J541" s="190"/>
      <c r="K541" s="190"/>
      <c r="L541" s="190"/>
      <c r="M541" s="190"/>
      <c r="N541" s="190"/>
      <c r="O541" s="190"/>
      <c r="P541" s="190"/>
      <c r="Q541" s="190"/>
      <c r="R541" s="190"/>
      <c r="S541" s="190"/>
      <c r="T541" s="190"/>
      <c r="U541" s="190"/>
      <c r="V541" s="190"/>
      <c r="W541" s="190"/>
      <c r="X541" s="190"/>
      <c r="Y541" s="190"/>
      <c r="Z541" s="190"/>
      <c r="AA541" s="190"/>
      <c r="AB541" s="187"/>
      <c r="AC541" s="185"/>
      <c r="AD541" s="185"/>
      <c r="AE541" s="185"/>
      <c r="AF541" s="179"/>
      <c r="AG541" s="179"/>
      <c r="AH541" s="180"/>
      <c r="AI541" s="180"/>
      <c r="AJ541" s="179"/>
      <c r="AK541" s="179"/>
    </row>
    <row r="542" spans="1:37" s="178" customFormat="1" ht="15" hidden="1" customHeight="1" outlineLevel="2" thickBot="1">
      <c r="A542" s="264" t="s">
        <v>188</v>
      </c>
      <c r="B542" s="165" t="str">
        <f t="shared" si="15"/>
        <v>ن</v>
      </c>
      <c r="C542" s="164" t="str">
        <f t="shared" si="15"/>
        <v>ن4</v>
      </c>
      <c r="D542" s="189" t="s">
        <v>2129</v>
      </c>
      <c r="E542" s="189" t="s">
        <v>2129</v>
      </c>
      <c r="F542" s="189" t="s">
        <v>2129</v>
      </c>
      <c r="G542" s="383" t="s">
        <v>2128</v>
      </c>
      <c r="H542" s="383"/>
      <c r="I542" s="383"/>
      <c r="J542" s="383"/>
      <c r="K542" s="383"/>
      <c r="L542" s="383"/>
      <c r="M542" s="383"/>
      <c r="N542" s="383"/>
      <c r="O542" s="383"/>
      <c r="P542" s="383"/>
      <c r="Q542" s="383"/>
      <c r="R542" s="383"/>
      <c r="S542" s="383"/>
      <c r="T542" s="383"/>
      <c r="U542" s="383"/>
      <c r="V542" s="383"/>
      <c r="W542" s="383"/>
      <c r="X542" s="383"/>
      <c r="Y542" s="383"/>
      <c r="Z542" s="383"/>
      <c r="AA542" s="383"/>
      <c r="AB542" s="188"/>
      <c r="AC542" s="188"/>
      <c r="AD542" s="188"/>
      <c r="AE542" s="188"/>
      <c r="AF542" s="288" t="s">
        <v>2127</v>
      </c>
      <c r="AG542" s="289" t="s">
        <v>2126</v>
      </c>
      <c r="AH542" s="290" t="s">
        <v>2125</v>
      </c>
      <c r="AI542" s="290" t="s">
        <v>2124</v>
      </c>
      <c r="AJ542" s="291"/>
      <c r="AK542" s="289"/>
    </row>
    <row r="543" spans="1:37" s="178" customFormat="1" ht="12.6" hidden="1" customHeight="1" outlineLevel="3" thickTop="1" thickBot="1">
      <c r="A543" s="178" t="s">
        <v>189</v>
      </c>
      <c r="B543" s="165" t="str">
        <f t="shared" si="15"/>
        <v>ن</v>
      </c>
      <c r="C543" s="164" t="str">
        <f t="shared" si="15"/>
        <v>ن4</v>
      </c>
      <c r="D543" s="184" t="str">
        <f>D542</f>
        <v>ن4-2</v>
      </c>
      <c r="E543" s="183" t="s">
        <v>2123</v>
      </c>
      <c r="F543" s="183" t="s">
        <v>2123</v>
      </c>
      <c r="G543" s="384" t="s">
        <v>2122</v>
      </c>
      <c r="H543" s="384"/>
      <c r="I543" s="384"/>
      <c r="J543" s="384"/>
      <c r="K543" s="384"/>
      <c r="L543" s="384"/>
      <c r="M543" s="384"/>
      <c r="N543" s="384"/>
      <c r="O543" s="384"/>
      <c r="P543" s="384"/>
      <c r="Q543" s="384"/>
      <c r="R543" s="384"/>
      <c r="S543" s="384"/>
      <c r="T543" s="384"/>
      <c r="U543" s="384"/>
      <c r="V543" s="384"/>
      <c r="W543" s="384"/>
      <c r="X543" s="384"/>
      <c r="Y543" s="384"/>
      <c r="Z543" s="384"/>
      <c r="AA543" s="384"/>
      <c r="AB543" s="182" t="s">
        <v>2110</v>
      </c>
      <c r="AC543" s="181"/>
      <c r="AD543" s="181"/>
      <c r="AE543" s="181"/>
      <c r="AF543" s="179"/>
      <c r="AG543" s="179" t="s">
        <v>2121</v>
      </c>
      <c r="AH543" s="180"/>
      <c r="AI543" s="180"/>
      <c r="AJ543" s="179"/>
      <c r="AK543" s="179"/>
    </row>
    <row r="544" spans="1:37" s="178" customFormat="1" ht="15" customHeight="1" outlineLevel="4">
      <c r="A544" s="178" t="s">
        <v>3500</v>
      </c>
      <c r="B544" s="165" t="str">
        <f t="shared" si="15"/>
        <v>ن</v>
      </c>
      <c r="C544" s="164" t="str">
        <f t="shared" si="15"/>
        <v>ن4</v>
      </c>
      <c r="D544" s="184"/>
      <c r="E544" s="172"/>
      <c r="F544" s="171" t="s">
        <v>2120</v>
      </c>
      <c r="G544" s="186"/>
      <c r="H544" s="186"/>
      <c r="I544" s="186"/>
      <c r="J544" s="186"/>
      <c r="K544" s="186"/>
      <c r="L544" s="186"/>
      <c r="M544" s="186"/>
      <c r="N544" s="186"/>
      <c r="O544" s="186"/>
      <c r="P544" s="186"/>
      <c r="Q544" s="186"/>
      <c r="R544" s="186"/>
      <c r="S544" s="186"/>
      <c r="T544" s="186"/>
      <c r="U544" s="186"/>
      <c r="V544" s="186"/>
      <c r="W544" s="186"/>
      <c r="X544" s="186"/>
      <c r="Y544" s="186"/>
      <c r="Z544" s="186"/>
      <c r="AA544" s="186"/>
      <c r="AB544" s="187"/>
      <c r="AC544" s="185"/>
      <c r="AD544" s="185"/>
      <c r="AE544" s="185"/>
      <c r="AF544" s="179"/>
      <c r="AG544" s="179"/>
      <c r="AH544" s="180"/>
      <c r="AI544" s="180"/>
      <c r="AJ544" s="179"/>
      <c r="AK544" s="179"/>
    </row>
    <row r="545" spans="1:37" s="178" customFormat="1" ht="9" hidden="1" customHeight="1" outlineLevel="3" thickBot="1">
      <c r="B545" s="165" t="str">
        <f t="shared" si="15"/>
        <v>ن</v>
      </c>
      <c r="C545" s="164" t="str">
        <f t="shared" si="15"/>
        <v>ن4</v>
      </c>
      <c r="D545" s="184"/>
      <c r="E545" s="172"/>
      <c r="F545" s="171"/>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5"/>
      <c r="AC545" s="185"/>
      <c r="AD545" s="185"/>
      <c r="AE545" s="185"/>
      <c r="AF545" s="179"/>
      <c r="AG545" s="179"/>
      <c r="AH545" s="180"/>
      <c r="AI545" s="180"/>
      <c r="AJ545" s="179"/>
      <c r="AK545" s="179"/>
    </row>
    <row r="546" spans="1:37" s="178" customFormat="1" ht="12.6" hidden="1" customHeight="1" outlineLevel="3" thickTop="1" thickBot="1">
      <c r="A546" s="178" t="s">
        <v>189</v>
      </c>
      <c r="B546" s="165" t="str">
        <f t="shared" si="15"/>
        <v>ن</v>
      </c>
      <c r="C546" s="164" t="str">
        <f t="shared" si="15"/>
        <v>ن4</v>
      </c>
      <c r="D546" s="184">
        <f>D545</f>
        <v>0</v>
      </c>
      <c r="E546" s="183" t="s">
        <v>2119</v>
      </c>
      <c r="F546" s="183" t="s">
        <v>2119</v>
      </c>
      <c r="G546" s="384" t="s">
        <v>2118</v>
      </c>
      <c r="H546" s="384"/>
      <c r="I546" s="384"/>
      <c r="J546" s="384"/>
      <c r="K546" s="384"/>
      <c r="L546" s="384"/>
      <c r="M546" s="384"/>
      <c r="N546" s="384"/>
      <c r="O546" s="384"/>
      <c r="P546" s="384"/>
      <c r="Q546" s="384"/>
      <c r="R546" s="384"/>
      <c r="S546" s="384"/>
      <c r="T546" s="384"/>
      <c r="U546" s="384"/>
      <c r="V546" s="384"/>
      <c r="W546" s="384"/>
      <c r="X546" s="384"/>
      <c r="Y546" s="384"/>
      <c r="Z546" s="384"/>
      <c r="AA546" s="384"/>
      <c r="AB546" s="182" t="s">
        <v>2110</v>
      </c>
      <c r="AC546" s="181"/>
      <c r="AD546" s="181"/>
      <c r="AE546" s="181"/>
      <c r="AF546" s="294" t="s">
        <v>2117</v>
      </c>
      <c r="AG546" s="306"/>
      <c r="AH546" s="180"/>
      <c r="AI546" s="180"/>
      <c r="AJ546" s="179"/>
      <c r="AK546" s="179"/>
    </row>
    <row r="547" spans="1:37" s="178" customFormat="1" ht="15" customHeight="1" outlineLevel="4">
      <c r="A547" s="178" t="s">
        <v>3500</v>
      </c>
      <c r="B547" s="165" t="str">
        <f t="shared" si="15"/>
        <v>ن</v>
      </c>
      <c r="C547" s="164" t="str">
        <f t="shared" si="15"/>
        <v>ن4</v>
      </c>
      <c r="D547" s="184"/>
      <c r="E547" s="172"/>
      <c r="F547" s="171" t="s">
        <v>2116</v>
      </c>
      <c r="G547" s="186"/>
      <c r="H547" s="186"/>
      <c r="I547" s="186"/>
      <c r="J547" s="186"/>
      <c r="K547" s="186"/>
      <c r="L547" s="186"/>
      <c r="M547" s="186"/>
      <c r="N547" s="186"/>
      <c r="O547" s="186"/>
      <c r="P547" s="186"/>
      <c r="Q547" s="186"/>
      <c r="R547" s="186"/>
      <c r="S547" s="186"/>
      <c r="T547" s="186"/>
      <c r="U547" s="186"/>
      <c r="V547" s="186"/>
      <c r="W547" s="186"/>
      <c r="X547" s="186"/>
      <c r="Y547" s="186"/>
      <c r="Z547" s="186"/>
      <c r="AA547" s="186"/>
      <c r="AB547" s="187"/>
      <c r="AC547" s="185"/>
      <c r="AD547" s="185"/>
      <c r="AE547" s="185"/>
      <c r="AF547" s="179"/>
      <c r="AG547" s="179"/>
      <c r="AH547" s="180"/>
      <c r="AI547" s="180"/>
      <c r="AJ547" s="179"/>
      <c r="AK547" s="179"/>
    </row>
    <row r="548" spans="1:37" s="178" customFormat="1" ht="9" hidden="1" customHeight="1" outlineLevel="3" thickBot="1">
      <c r="B548" s="165" t="str">
        <f t="shared" si="15"/>
        <v>ن</v>
      </c>
      <c r="C548" s="164" t="str">
        <f t="shared" si="15"/>
        <v>ن4</v>
      </c>
      <c r="D548" s="184"/>
      <c r="E548" s="172"/>
      <c r="F548" s="171"/>
      <c r="G548" s="186"/>
      <c r="H548" s="186"/>
      <c r="I548" s="186"/>
      <c r="J548" s="186"/>
      <c r="K548" s="186"/>
      <c r="L548" s="186"/>
      <c r="M548" s="186"/>
      <c r="N548" s="186"/>
      <c r="O548" s="186"/>
      <c r="P548" s="186"/>
      <c r="Q548" s="186"/>
      <c r="R548" s="186"/>
      <c r="S548" s="186"/>
      <c r="T548" s="186"/>
      <c r="U548" s="186"/>
      <c r="V548" s="186"/>
      <c r="W548" s="186"/>
      <c r="X548" s="186"/>
      <c r="Y548" s="186"/>
      <c r="Z548" s="186"/>
      <c r="AA548" s="186"/>
      <c r="AB548" s="185"/>
      <c r="AC548" s="185"/>
      <c r="AD548" s="185"/>
      <c r="AE548" s="185"/>
      <c r="AF548" s="179"/>
      <c r="AG548" s="179"/>
      <c r="AH548" s="180"/>
      <c r="AI548" s="180"/>
      <c r="AJ548" s="179"/>
      <c r="AK548" s="179"/>
    </row>
    <row r="549" spans="1:37" s="178" customFormat="1" ht="12.6" hidden="1" customHeight="1" outlineLevel="3" thickTop="1" thickBot="1">
      <c r="A549" s="178" t="s">
        <v>189</v>
      </c>
      <c r="B549" s="165" t="str">
        <f t="shared" si="15"/>
        <v>ن</v>
      </c>
      <c r="C549" s="164" t="str">
        <f t="shared" si="15"/>
        <v>ن4</v>
      </c>
      <c r="D549" s="184">
        <f>D548</f>
        <v>0</v>
      </c>
      <c r="E549" s="183" t="s">
        <v>2115</v>
      </c>
      <c r="F549" s="183" t="s">
        <v>2115</v>
      </c>
      <c r="G549" s="384" t="s">
        <v>2114</v>
      </c>
      <c r="H549" s="384"/>
      <c r="I549" s="384"/>
      <c r="J549" s="384"/>
      <c r="K549" s="384"/>
      <c r="L549" s="384"/>
      <c r="M549" s="384"/>
      <c r="N549" s="384"/>
      <c r="O549" s="384"/>
      <c r="P549" s="384"/>
      <c r="Q549" s="384"/>
      <c r="R549" s="384"/>
      <c r="S549" s="384"/>
      <c r="T549" s="384"/>
      <c r="U549" s="384"/>
      <c r="V549" s="384"/>
      <c r="W549" s="384"/>
      <c r="X549" s="384"/>
      <c r="Y549" s="384"/>
      <c r="Z549" s="384"/>
      <c r="AA549" s="384"/>
      <c r="AB549" s="182" t="s">
        <v>2110</v>
      </c>
      <c r="AC549" s="181"/>
      <c r="AD549" s="181"/>
      <c r="AE549" s="181"/>
      <c r="AF549" s="179"/>
      <c r="AG549" s="179"/>
      <c r="AH549" s="180"/>
      <c r="AI549" s="180"/>
      <c r="AJ549" s="179"/>
      <c r="AK549" s="179"/>
    </row>
    <row r="550" spans="1:37" s="178" customFormat="1" ht="15" customHeight="1" outlineLevel="4">
      <c r="A550" s="178" t="s">
        <v>3500</v>
      </c>
      <c r="B550" s="165" t="str">
        <f t="shared" si="15"/>
        <v>ن</v>
      </c>
      <c r="C550" s="164" t="str">
        <f t="shared" si="15"/>
        <v>ن4</v>
      </c>
      <c r="D550" s="184"/>
      <c r="E550" s="172"/>
      <c r="F550" s="171" t="s">
        <v>2113</v>
      </c>
      <c r="G550" s="186"/>
      <c r="H550" s="186"/>
      <c r="I550" s="186"/>
      <c r="J550" s="186"/>
      <c r="K550" s="186"/>
      <c r="L550" s="186"/>
      <c r="M550" s="186"/>
      <c r="N550" s="186"/>
      <c r="O550" s="186"/>
      <c r="P550" s="186"/>
      <c r="Q550" s="186"/>
      <c r="R550" s="186"/>
      <c r="S550" s="186"/>
      <c r="T550" s="186"/>
      <c r="U550" s="186"/>
      <c r="V550" s="186"/>
      <c r="W550" s="186"/>
      <c r="X550" s="186"/>
      <c r="Y550" s="186"/>
      <c r="Z550" s="186"/>
      <c r="AA550" s="186"/>
      <c r="AB550" s="187"/>
      <c r="AC550" s="185"/>
      <c r="AD550" s="185"/>
      <c r="AE550" s="185"/>
      <c r="AF550" s="179"/>
      <c r="AG550" s="179"/>
      <c r="AH550" s="180"/>
      <c r="AI550" s="180"/>
      <c r="AJ550" s="179"/>
      <c r="AK550" s="179"/>
    </row>
    <row r="551" spans="1:37" s="178" customFormat="1" ht="9" hidden="1" customHeight="1" outlineLevel="3" thickBot="1">
      <c r="B551" s="165" t="str">
        <f t="shared" si="15"/>
        <v>ن</v>
      </c>
      <c r="C551" s="164" t="str">
        <f t="shared" si="15"/>
        <v>ن4</v>
      </c>
      <c r="D551" s="184"/>
      <c r="E551" s="172"/>
      <c r="F551" s="171"/>
      <c r="G551" s="186"/>
      <c r="H551" s="186"/>
      <c r="I551" s="186"/>
      <c r="J551" s="186"/>
      <c r="K551" s="186"/>
      <c r="L551" s="186"/>
      <c r="M551" s="186"/>
      <c r="N551" s="186"/>
      <c r="O551" s="186"/>
      <c r="P551" s="186"/>
      <c r="Q551" s="186"/>
      <c r="R551" s="186"/>
      <c r="S551" s="186"/>
      <c r="T551" s="186"/>
      <c r="U551" s="186"/>
      <c r="V551" s="186"/>
      <c r="W551" s="186"/>
      <c r="X551" s="186"/>
      <c r="Y551" s="186"/>
      <c r="Z551" s="186"/>
      <c r="AA551" s="186"/>
      <c r="AB551" s="185"/>
      <c r="AC551" s="185"/>
      <c r="AD551" s="185"/>
      <c r="AE551" s="185"/>
      <c r="AF551" s="179"/>
      <c r="AG551" s="179"/>
      <c r="AH551" s="180"/>
      <c r="AI551" s="180"/>
      <c r="AJ551" s="179"/>
      <c r="AK551" s="179"/>
    </row>
    <row r="552" spans="1:37" s="178" customFormat="1" ht="12.6" hidden="1" customHeight="1" outlineLevel="3" thickTop="1" thickBot="1">
      <c r="A552" s="178" t="s">
        <v>189</v>
      </c>
      <c r="B552" s="165" t="str">
        <f t="shared" si="15"/>
        <v>ن</v>
      </c>
      <c r="C552" s="164" t="str">
        <f t="shared" si="15"/>
        <v>ن4</v>
      </c>
      <c r="D552" s="184"/>
      <c r="E552" s="183" t="s">
        <v>2112</v>
      </c>
      <c r="F552" s="183" t="s">
        <v>2112</v>
      </c>
      <c r="G552" s="446" t="s">
        <v>2111</v>
      </c>
      <c r="H552" s="446"/>
      <c r="I552" s="446"/>
      <c r="J552" s="446"/>
      <c r="K552" s="446"/>
      <c r="L552" s="446"/>
      <c r="M552" s="446"/>
      <c r="N552" s="446"/>
      <c r="O552" s="446"/>
      <c r="P552" s="446"/>
      <c r="Q552" s="446"/>
      <c r="R552" s="446"/>
      <c r="S552" s="446"/>
      <c r="T552" s="446"/>
      <c r="U552" s="446"/>
      <c r="V552" s="446"/>
      <c r="W552" s="446"/>
      <c r="X552" s="446"/>
      <c r="Y552" s="446"/>
      <c r="Z552" s="446"/>
      <c r="AA552" s="446"/>
      <c r="AB552" s="182" t="s">
        <v>2110</v>
      </c>
      <c r="AC552" s="181"/>
      <c r="AD552" s="181"/>
      <c r="AE552" s="181"/>
      <c r="AF552" s="179"/>
      <c r="AG552" s="179"/>
      <c r="AH552" s="180"/>
      <c r="AI552" s="180"/>
      <c r="AJ552" s="179"/>
      <c r="AK552" s="179"/>
    </row>
    <row r="553" spans="1:37" ht="15" customHeight="1" outlineLevel="4">
      <c r="A553" s="178" t="s">
        <v>3500</v>
      </c>
      <c r="B553" s="165" t="str">
        <f t="shared" si="15"/>
        <v>ن</v>
      </c>
      <c r="C553" s="164" t="str">
        <f t="shared" si="15"/>
        <v>ن4</v>
      </c>
      <c r="E553" s="177"/>
      <c r="F553" s="171" t="s">
        <v>2109</v>
      </c>
      <c r="G553" s="447"/>
      <c r="H553" s="428"/>
      <c r="I553" s="174"/>
      <c r="J553" s="174"/>
      <c r="K553" s="447"/>
      <c r="L553" s="448"/>
      <c r="M553" s="427"/>
      <c r="N553" s="427"/>
      <c r="O553" s="428"/>
      <c r="P553" s="174"/>
      <c r="Q553" s="174"/>
      <c r="R553" s="174"/>
      <c r="S553" s="176"/>
      <c r="T553" s="175"/>
      <c r="U553" s="175"/>
      <c r="V553" s="175"/>
      <c r="W553" s="175"/>
      <c r="X553" s="175"/>
      <c r="Y553" s="175"/>
      <c r="Z553" s="174"/>
      <c r="AA553" s="174"/>
      <c r="AB553" s="173"/>
      <c r="AC553" s="168"/>
      <c r="AD553" s="168"/>
      <c r="AE553" s="168"/>
      <c r="AF553" s="166"/>
      <c r="AG553" s="166"/>
      <c r="AH553" s="167"/>
      <c r="AI553" s="167"/>
      <c r="AJ553" s="166"/>
      <c r="AK553" s="166"/>
    </row>
    <row r="554" spans="1:37" ht="9" hidden="1" customHeight="1" outlineLevel="3">
      <c r="B554" s="165" t="str">
        <f t="shared" si="15"/>
        <v>ن</v>
      </c>
      <c r="C554" s="164" t="str">
        <f t="shared" si="15"/>
        <v>ن4</v>
      </c>
      <c r="E554" s="172"/>
      <c r="F554" s="171"/>
      <c r="G554" s="170"/>
      <c r="H554" s="169"/>
      <c r="I554" s="169"/>
      <c r="J554" s="169"/>
      <c r="K554" s="170"/>
      <c r="L554" s="170"/>
      <c r="M554" s="169"/>
      <c r="N554" s="169"/>
      <c r="O554" s="169"/>
      <c r="P554" s="169"/>
      <c r="Q554" s="169"/>
      <c r="R554" s="169"/>
      <c r="S554" s="170"/>
      <c r="T554" s="170"/>
      <c r="U554" s="170"/>
      <c r="V554" s="170"/>
      <c r="W554" s="170"/>
      <c r="X554" s="170"/>
      <c r="Y554" s="170"/>
      <c r="Z554" s="169"/>
      <c r="AA554" s="169"/>
      <c r="AB554" s="168"/>
      <c r="AC554" s="168"/>
      <c r="AD554" s="168"/>
      <c r="AE554" s="168"/>
      <c r="AF554" s="166"/>
      <c r="AG554" s="166"/>
      <c r="AH554" s="167"/>
      <c r="AI554" s="167"/>
      <c r="AJ554" s="166"/>
      <c r="AK554" s="166"/>
    </row>
    <row r="555" spans="1:37" ht="9" hidden="1" customHeight="1" outlineLevel="2">
      <c r="B555" s="165" t="str">
        <f t="shared" si="15"/>
        <v>ن</v>
      </c>
      <c r="C555" s="164" t="str">
        <f t="shared" si="15"/>
        <v>ن4</v>
      </c>
      <c r="E555" s="172"/>
      <c r="F555" s="171"/>
      <c r="G555" s="170"/>
      <c r="H555" s="169"/>
      <c r="I555" s="169"/>
      <c r="J555" s="169"/>
      <c r="K555" s="170"/>
      <c r="L555" s="170"/>
      <c r="M555" s="169"/>
      <c r="N555" s="169"/>
      <c r="O555" s="169"/>
      <c r="P555" s="169"/>
      <c r="Q555" s="169"/>
      <c r="R555" s="169"/>
      <c r="S555" s="170"/>
      <c r="T555" s="170"/>
      <c r="U555" s="170"/>
      <c r="V555" s="170"/>
      <c r="W555" s="170"/>
      <c r="X555" s="170"/>
      <c r="Y555" s="170"/>
      <c r="Z555" s="169"/>
      <c r="AA555" s="169"/>
      <c r="AB555" s="168"/>
      <c r="AC555" s="168"/>
      <c r="AD555" s="168"/>
      <c r="AE555" s="168"/>
      <c r="AF555" s="166"/>
      <c r="AG555" s="166"/>
      <c r="AH555" s="167"/>
      <c r="AI555" s="167"/>
      <c r="AJ555" s="166"/>
      <c r="AK555" s="166"/>
    </row>
    <row r="556" spans="1:37" ht="14.1" hidden="1" customHeight="1" outlineLevel="1">
      <c r="B556" s="165" t="str">
        <f t="shared" si="15"/>
        <v>ن</v>
      </c>
      <c r="C556" s="164" t="str">
        <f t="shared" si="15"/>
        <v>ن4</v>
      </c>
      <c r="AF556" s="158"/>
    </row>
    <row r="557" spans="1:37" ht="14.1" hidden="1" customHeight="1">
      <c r="B557" s="165" t="str">
        <f t="shared" si="15"/>
        <v>ن</v>
      </c>
      <c r="C557" s="164" t="str">
        <f t="shared" si="15"/>
        <v>ن4</v>
      </c>
      <c r="AF557" s="158"/>
    </row>
    <row r="558" spans="1:37" ht="14.1" hidden="1" customHeight="1"/>
    <row r="559" spans="1:37" ht="14.1" hidden="1" customHeight="1"/>
    <row r="560" spans="1:37" ht="14.1" hidden="1" customHeight="1"/>
    <row r="561" spans="1:1" ht="14.1" hidden="1" customHeight="1"/>
    <row r="562" spans="1:1" ht="14.1" hidden="1" customHeight="1"/>
    <row r="563" spans="1:1" ht="14.1" hidden="1" customHeight="1"/>
    <row r="564" spans="1:1" ht="14.1" hidden="1" customHeight="1"/>
    <row r="565" spans="1:1" ht="14.1" hidden="1" customHeight="1"/>
    <row r="566" spans="1:1" ht="14.1" hidden="1" customHeight="1"/>
    <row r="567" spans="1:1" ht="14.1" hidden="1" customHeight="1"/>
    <row r="568" spans="1:1" ht="14.1" hidden="1" customHeight="1"/>
    <row r="569" spans="1:1" ht="14.1" hidden="1" customHeight="1"/>
    <row r="570" spans="1:1" ht="14.1" customHeight="1">
      <c r="A570" s="178" t="s">
        <v>3500</v>
      </c>
    </row>
    <row r="571" spans="1:1" ht="14.1" customHeight="1">
      <c r="A571" s="178" t="s">
        <v>3500</v>
      </c>
    </row>
    <row r="572" spans="1:1" ht="14.1" customHeight="1">
      <c r="A572" s="178" t="s">
        <v>3500</v>
      </c>
    </row>
    <row r="573" spans="1:1" ht="14.1" hidden="1" customHeight="1"/>
    <row r="574" spans="1:1" ht="14.1" hidden="1" customHeight="1"/>
    <row r="575" spans="1:1" ht="14.1" hidden="1" customHeight="1"/>
    <row r="576" spans="1:1" ht="14.1" hidden="1" customHeight="1"/>
    <row r="577" spans="1:1" ht="14.1" hidden="1" customHeight="1"/>
    <row r="578" spans="1:1" ht="14.1" hidden="1" customHeight="1"/>
    <row r="579" spans="1:1" ht="14.1" customHeight="1">
      <c r="A579" s="178" t="s">
        <v>3500</v>
      </c>
    </row>
  </sheetData>
  <autoFilter ref="A5:AZ578" xr:uid="{00000000-0009-0000-0000-000003000000}">
    <filterColumn colId="0">
      <filters>
        <filter val="5"/>
      </filters>
    </filterColumn>
  </autoFilter>
  <mergeCells count="552">
    <mergeCell ref="G549:AA549"/>
    <mergeCell ref="G552:AA552"/>
    <mergeCell ref="G553:H553"/>
    <mergeCell ref="K553:O553"/>
    <mergeCell ref="G529:U529"/>
    <mergeCell ref="G531:AA531"/>
    <mergeCell ref="G534:AA534"/>
    <mergeCell ref="G542:AA542"/>
    <mergeCell ref="G543:AA543"/>
    <mergeCell ref="G546:AA546"/>
    <mergeCell ref="G523:U523"/>
    <mergeCell ref="G524:U524"/>
    <mergeCell ref="G525:U525"/>
    <mergeCell ref="G526:U526"/>
    <mergeCell ref="G527:U527"/>
    <mergeCell ref="G528:U528"/>
    <mergeCell ref="G515:AA515"/>
    <mergeCell ref="G516:AA516"/>
    <mergeCell ref="G517:AA517"/>
    <mergeCell ref="G520:AA520"/>
    <mergeCell ref="G521:U521"/>
    <mergeCell ref="G522:U522"/>
    <mergeCell ref="G507:H507"/>
    <mergeCell ref="G508:H508"/>
    <mergeCell ref="G509:H509"/>
    <mergeCell ref="G510:H510"/>
    <mergeCell ref="G511:H511"/>
    <mergeCell ref="G512:H512"/>
    <mergeCell ref="G501:H501"/>
    <mergeCell ref="G502:H502"/>
    <mergeCell ref="G503:AA503"/>
    <mergeCell ref="G504:H504"/>
    <mergeCell ref="G505:H505"/>
    <mergeCell ref="G506:H506"/>
    <mergeCell ref="G495:H495"/>
    <mergeCell ref="G496:H496"/>
    <mergeCell ref="G497:H497"/>
    <mergeCell ref="G498:H498"/>
    <mergeCell ref="G499:H499"/>
    <mergeCell ref="G500:H500"/>
    <mergeCell ref="G489:H489"/>
    <mergeCell ref="G490:H490"/>
    <mergeCell ref="G491:H491"/>
    <mergeCell ref="G492:H492"/>
    <mergeCell ref="G493:H493"/>
    <mergeCell ref="G494:AA494"/>
    <mergeCell ref="G483:H483"/>
    <mergeCell ref="G484:H484"/>
    <mergeCell ref="G485:H485"/>
    <mergeCell ref="G486:AA486"/>
    <mergeCell ref="G487:H487"/>
    <mergeCell ref="G488:H488"/>
    <mergeCell ref="AC476:AD476"/>
    <mergeCell ref="G477:Q477"/>
    <mergeCell ref="G478:H478"/>
    <mergeCell ref="G479:H479"/>
    <mergeCell ref="G481:AA481"/>
    <mergeCell ref="G482:H482"/>
    <mergeCell ref="W475:X475"/>
    <mergeCell ref="Y475:Z475"/>
    <mergeCell ref="AA475:AB475"/>
    <mergeCell ref="AC475:AD475"/>
    <mergeCell ref="G476:Q476"/>
    <mergeCell ref="S476:T476"/>
    <mergeCell ref="U476:V476"/>
    <mergeCell ref="W476:X476"/>
    <mergeCell ref="Y476:Z476"/>
    <mergeCell ref="AA476:AB476"/>
    <mergeCell ref="G473:Q473"/>
    <mergeCell ref="G474:Q474"/>
    <mergeCell ref="G475:P475"/>
    <mergeCell ref="Q475:R475"/>
    <mergeCell ref="S475:T475"/>
    <mergeCell ref="U475:V475"/>
    <mergeCell ref="G467:Q467"/>
    <mergeCell ref="G468:Q468"/>
    <mergeCell ref="G469:Q469"/>
    <mergeCell ref="G470:Q470"/>
    <mergeCell ref="G471:Q471"/>
    <mergeCell ref="G472:Q472"/>
    <mergeCell ref="U465:V465"/>
    <mergeCell ref="W465:X465"/>
    <mergeCell ref="Y465:Z465"/>
    <mergeCell ref="AA465:AB465"/>
    <mergeCell ref="AC465:AD465"/>
    <mergeCell ref="G466:AA466"/>
    <mergeCell ref="G461:Q461"/>
    <mergeCell ref="G462:Q462"/>
    <mergeCell ref="G463:Q463"/>
    <mergeCell ref="G464:Q464"/>
    <mergeCell ref="G465:Q465"/>
    <mergeCell ref="S465:T465"/>
    <mergeCell ref="G455:Q455"/>
    <mergeCell ref="G456:Q456"/>
    <mergeCell ref="G457:Q457"/>
    <mergeCell ref="G458:Q458"/>
    <mergeCell ref="G459:AA459"/>
    <mergeCell ref="G460:Q460"/>
    <mergeCell ref="G449:Q449"/>
    <mergeCell ref="G450:Q450"/>
    <mergeCell ref="G451:Q451"/>
    <mergeCell ref="G452:Q452"/>
    <mergeCell ref="G453:Q453"/>
    <mergeCell ref="G454:Q454"/>
    <mergeCell ref="G443:Q443"/>
    <mergeCell ref="G444:Q444"/>
    <mergeCell ref="G445:H445"/>
    <mergeCell ref="G446:Q446"/>
    <mergeCell ref="G447:AA447"/>
    <mergeCell ref="G448:Q448"/>
    <mergeCell ref="G437:Q437"/>
    <mergeCell ref="G438:Q438"/>
    <mergeCell ref="G439:Q439"/>
    <mergeCell ref="G440:Q440"/>
    <mergeCell ref="G441:Q441"/>
    <mergeCell ref="G442:Q442"/>
    <mergeCell ref="G431:Q431"/>
    <mergeCell ref="G432:Q432"/>
    <mergeCell ref="G433:Q433"/>
    <mergeCell ref="G434:Q434"/>
    <mergeCell ref="G435:AA435"/>
    <mergeCell ref="G436:Q436"/>
    <mergeCell ref="G425:Q425"/>
    <mergeCell ref="G426:Q426"/>
    <mergeCell ref="G427:Q427"/>
    <mergeCell ref="G428:Q428"/>
    <mergeCell ref="G429:Q429"/>
    <mergeCell ref="G430:Q430"/>
    <mergeCell ref="G419:AA419"/>
    <mergeCell ref="G420:H420"/>
    <mergeCell ref="G421:Q421"/>
    <mergeCell ref="G422:Q422"/>
    <mergeCell ref="G423:Q423"/>
    <mergeCell ref="G424:Q424"/>
    <mergeCell ref="I412:K412"/>
    <mergeCell ref="M412:Q412"/>
    <mergeCell ref="I413:K413"/>
    <mergeCell ref="M413:Q413"/>
    <mergeCell ref="G417:AA417"/>
    <mergeCell ref="G418:AA418"/>
    <mergeCell ref="H405:Z405"/>
    <mergeCell ref="H406:Z406"/>
    <mergeCell ref="G409:AA409"/>
    <mergeCell ref="I410:K410"/>
    <mergeCell ref="M410:Q410"/>
    <mergeCell ref="I411:K411"/>
    <mergeCell ref="M411:Q411"/>
    <mergeCell ref="H399:Z399"/>
    <mergeCell ref="H400:Z400"/>
    <mergeCell ref="H401:Z401"/>
    <mergeCell ref="H402:Z402"/>
    <mergeCell ref="H403:Z403"/>
    <mergeCell ref="H404:Z404"/>
    <mergeCell ref="H393:Z393"/>
    <mergeCell ref="H394:Z394"/>
    <mergeCell ref="H395:Z395"/>
    <mergeCell ref="H396:Z396"/>
    <mergeCell ref="H397:Z397"/>
    <mergeCell ref="H398:Z398"/>
    <mergeCell ref="G390:H390"/>
    <mergeCell ref="G391:AA391"/>
    <mergeCell ref="I392:J392"/>
    <mergeCell ref="K392:L392"/>
    <mergeCell ref="M392:N392"/>
    <mergeCell ref="O392:P392"/>
    <mergeCell ref="Q392:R392"/>
    <mergeCell ref="S392:T392"/>
    <mergeCell ref="U392:Z392"/>
    <mergeCell ref="G385:H385"/>
    <mergeCell ref="J385:K385"/>
    <mergeCell ref="G386:AA386"/>
    <mergeCell ref="G387:H387"/>
    <mergeCell ref="G388:H388"/>
    <mergeCell ref="G389:H389"/>
    <mergeCell ref="G379:AA379"/>
    <mergeCell ref="G382:AA382"/>
    <mergeCell ref="J383:AA383"/>
    <mergeCell ref="J384:L384"/>
    <mergeCell ref="M384:N384"/>
    <mergeCell ref="O384:P384"/>
    <mergeCell ref="Q384:R384"/>
    <mergeCell ref="S384:T384"/>
    <mergeCell ref="G372:AA372"/>
    <mergeCell ref="G373:AA373"/>
    <mergeCell ref="G374:AA374"/>
    <mergeCell ref="G375:AA375"/>
    <mergeCell ref="G377:AA377"/>
    <mergeCell ref="G378:AA378"/>
    <mergeCell ref="G366:AA366"/>
    <mergeCell ref="G367:AA367"/>
    <mergeCell ref="G368:AA368"/>
    <mergeCell ref="G369:AA369"/>
    <mergeCell ref="G370:AA370"/>
    <mergeCell ref="G371:AA371"/>
    <mergeCell ref="G352:AA352"/>
    <mergeCell ref="G353:AA353"/>
    <mergeCell ref="G354:AA354"/>
    <mergeCell ref="G355:AA355"/>
    <mergeCell ref="G363:AA363"/>
    <mergeCell ref="G364:AA364"/>
    <mergeCell ref="G349:H349"/>
    <mergeCell ref="M349:O349"/>
    <mergeCell ref="Q349:S349"/>
    <mergeCell ref="U349:W349"/>
    <mergeCell ref="G350:AA350"/>
    <mergeCell ref="G351:AA351"/>
    <mergeCell ref="G347:H347"/>
    <mergeCell ref="M347:O347"/>
    <mergeCell ref="Q347:S347"/>
    <mergeCell ref="U347:W347"/>
    <mergeCell ref="G348:H348"/>
    <mergeCell ref="M348:O348"/>
    <mergeCell ref="Q348:S348"/>
    <mergeCell ref="U348:W348"/>
    <mergeCell ref="G345:H345"/>
    <mergeCell ref="M345:O345"/>
    <mergeCell ref="Q345:S345"/>
    <mergeCell ref="U345:W345"/>
    <mergeCell ref="G346:H346"/>
    <mergeCell ref="M346:O346"/>
    <mergeCell ref="Q346:S346"/>
    <mergeCell ref="U346:W346"/>
    <mergeCell ref="G342:AA342"/>
    <mergeCell ref="G343:H343"/>
    <mergeCell ref="M343:O343"/>
    <mergeCell ref="Q343:S343"/>
    <mergeCell ref="U343:W343"/>
    <mergeCell ref="G344:H344"/>
    <mergeCell ref="M344:O344"/>
    <mergeCell ref="Q344:S344"/>
    <mergeCell ref="U344:W344"/>
    <mergeCell ref="G336:AA336"/>
    <mergeCell ref="G337:AA337"/>
    <mergeCell ref="G338:AA338"/>
    <mergeCell ref="G339:AA339"/>
    <mergeCell ref="G340:AA340"/>
    <mergeCell ref="G341:AA341"/>
    <mergeCell ref="G330:AA330"/>
    <mergeCell ref="G331:AA331"/>
    <mergeCell ref="G332:AA332"/>
    <mergeCell ref="G333:AA333"/>
    <mergeCell ref="G334:AA334"/>
    <mergeCell ref="G335:AA335"/>
    <mergeCell ref="G324:AA324"/>
    <mergeCell ref="G325:AA325"/>
    <mergeCell ref="G326:AA326"/>
    <mergeCell ref="G327:AA327"/>
    <mergeCell ref="G328:AA328"/>
    <mergeCell ref="G329:AA329"/>
    <mergeCell ref="G318:AA318"/>
    <mergeCell ref="G319:AA319"/>
    <mergeCell ref="G320:AA320"/>
    <mergeCell ref="G321:AA321"/>
    <mergeCell ref="G322:AA322"/>
    <mergeCell ref="G323:AA323"/>
    <mergeCell ref="G312:AA312"/>
    <mergeCell ref="G313:AA313"/>
    <mergeCell ref="G314:AA314"/>
    <mergeCell ref="G315:AA315"/>
    <mergeCell ref="G316:AA316"/>
    <mergeCell ref="G317:AA317"/>
    <mergeCell ref="G306:O306"/>
    <mergeCell ref="G307:AA307"/>
    <mergeCell ref="G308:AA308"/>
    <mergeCell ref="G309:AA309"/>
    <mergeCell ref="G310:AA310"/>
    <mergeCell ref="G311:AA311"/>
    <mergeCell ref="G299:AA299"/>
    <mergeCell ref="G300:AA300"/>
    <mergeCell ref="G301:AA301"/>
    <mergeCell ref="G302:AA302"/>
    <mergeCell ref="G303:AA303"/>
    <mergeCell ref="G305:AA305"/>
    <mergeCell ref="G292:I292"/>
    <mergeCell ref="G294:AA294"/>
    <mergeCell ref="G295:AA295"/>
    <mergeCell ref="G296:AA296"/>
    <mergeCell ref="G297:AA297"/>
    <mergeCell ref="G298:AA298"/>
    <mergeCell ref="G286:AA286"/>
    <mergeCell ref="G287:I287"/>
    <mergeCell ref="G288:I288"/>
    <mergeCell ref="G289:I289"/>
    <mergeCell ref="G290:I290"/>
    <mergeCell ref="G291:I291"/>
    <mergeCell ref="G278:AB278"/>
    <mergeCell ref="G280:AA280"/>
    <mergeCell ref="G281:AA281"/>
    <mergeCell ref="G282:AA282"/>
    <mergeCell ref="G283:AA283"/>
    <mergeCell ref="G284:AA284"/>
    <mergeCell ref="G271:AA271"/>
    <mergeCell ref="I272:K272"/>
    <mergeCell ref="M272:O272"/>
    <mergeCell ref="G274:AA274"/>
    <mergeCell ref="G275:AA275"/>
    <mergeCell ref="G277:AA277"/>
    <mergeCell ref="J263:K263"/>
    <mergeCell ref="J264:K264"/>
    <mergeCell ref="J265:K265"/>
    <mergeCell ref="H267:AB267"/>
    <mergeCell ref="G268:AA268"/>
    <mergeCell ref="G269:AA269"/>
    <mergeCell ref="J257:K257"/>
    <mergeCell ref="J258:K258"/>
    <mergeCell ref="J259:K259"/>
    <mergeCell ref="J260:K260"/>
    <mergeCell ref="J261:K261"/>
    <mergeCell ref="J262:K262"/>
    <mergeCell ref="G253:AA253"/>
    <mergeCell ref="H254:AB254"/>
    <mergeCell ref="G255:AA255"/>
    <mergeCell ref="I256:K256"/>
    <mergeCell ref="O256:S256"/>
    <mergeCell ref="U256:Y256"/>
    <mergeCell ref="G244:AA244"/>
    <mergeCell ref="G245:AA245"/>
    <mergeCell ref="G246:AA246"/>
    <mergeCell ref="G247:AA247"/>
    <mergeCell ref="G248:AA248"/>
    <mergeCell ref="G249:AA249"/>
    <mergeCell ref="G237:AA237"/>
    <mergeCell ref="G238:AA238"/>
    <mergeCell ref="G239:AA239"/>
    <mergeCell ref="G240:AA240"/>
    <mergeCell ref="G241:AA241"/>
    <mergeCell ref="G242:AA242"/>
    <mergeCell ref="Y229:AA229"/>
    <mergeCell ref="Y230:AA230"/>
    <mergeCell ref="G233:AA233"/>
    <mergeCell ref="G234:AA234"/>
    <mergeCell ref="G235:AA235"/>
    <mergeCell ref="G236:N236"/>
    <mergeCell ref="O236:AA236"/>
    <mergeCell ref="G220:AA220"/>
    <mergeCell ref="G221:AA221"/>
    <mergeCell ref="G222:AA222"/>
    <mergeCell ref="G226:AB226"/>
    <mergeCell ref="G227:AB227"/>
    <mergeCell ref="G228:AB228"/>
    <mergeCell ref="G212:AA212"/>
    <mergeCell ref="G213:AA213"/>
    <mergeCell ref="G214:AA214"/>
    <mergeCell ref="G215:AA215"/>
    <mergeCell ref="G216:AA216"/>
    <mergeCell ref="G217:AA217"/>
    <mergeCell ref="G206:AA206"/>
    <mergeCell ref="G207:AA207"/>
    <mergeCell ref="G208:AA208"/>
    <mergeCell ref="G209:AA209"/>
    <mergeCell ref="G210:AA210"/>
    <mergeCell ref="G211:AA211"/>
    <mergeCell ref="G199:AA199"/>
    <mergeCell ref="G200:AA200"/>
    <mergeCell ref="G201:AA201"/>
    <mergeCell ref="G202:AA202"/>
    <mergeCell ref="G203:AA203"/>
    <mergeCell ref="G204:AA204"/>
    <mergeCell ref="G193:AA193"/>
    <mergeCell ref="G194:AA194"/>
    <mergeCell ref="G195:AA195"/>
    <mergeCell ref="G196:AA196"/>
    <mergeCell ref="G197:AA197"/>
    <mergeCell ref="G198:AA198"/>
    <mergeCell ref="G187:AA187"/>
    <mergeCell ref="G188:AA188"/>
    <mergeCell ref="G189:AA189"/>
    <mergeCell ref="G190:AA190"/>
    <mergeCell ref="G191:AA191"/>
    <mergeCell ref="G192:AA192"/>
    <mergeCell ref="G179:AA179"/>
    <mergeCell ref="G180:AA180"/>
    <mergeCell ref="G181:AA181"/>
    <mergeCell ref="G184:AA184"/>
    <mergeCell ref="G185:AA185"/>
    <mergeCell ref="G186:AA186"/>
    <mergeCell ref="G173:AA173"/>
    <mergeCell ref="G174:AA174"/>
    <mergeCell ref="G175:AA175"/>
    <mergeCell ref="G176:AA176"/>
    <mergeCell ref="G177:AA177"/>
    <mergeCell ref="G178:AA178"/>
    <mergeCell ref="G167:AA167"/>
    <mergeCell ref="G168:AA168"/>
    <mergeCell ref="G169:AA169"/>
    <mergeCell ref="G170:AA170"/>
    <mergeCell ref="G171:AA171"/>
    <mergeCell ref="G172:AA172"/>
    <mergeCell ref="G161:AA161"/>
    <mergeCell ref="G162:AA162"/>
    <mergeCell ref="G163:AA163"/>
    <mergeCell ref="G164:AA164"/>
    <mergeCell ref="G165:AA165"/>
    <mergeCell ref="G166:AA166"/>
    <mergeCell ref="G155:AA155"/>
    <mergeCell ref="G156:AA156"/>
    <mergeCell ref="G157:AA157"/>
    <mergeCell ref="G158:AA158"/>
    <mergeCell ref="G159:AA159"/>
    <mergeCell ref="G160:AA160"/>
    <mergeCell ref="G145:AA145"/>
    <mergeCell ref="G146:AA146"/>
    <mergeCell ref="G147:AA147"/>
    <mergeCell ref="G148:AA148"/>
    <mergeCell ref="G153:AA153"/>
    <mergeCell ref="G154:AA154"/>
    <mergeCell ref="G138:AA138"/>
    <mergeCell ref="G139:AA139"/>
    <mergeCell ref="G140:AA140"/>
    <mergeCell ref="G141:AA141"/>
    <mergeCell ref="G143:AA143"/>
    <mergeCell ref="G144:AA144"/>
    <mergeCell ref="G130:AA130"/>
    <mergeCell ref="G131:AA131"/>
    <mergeCell ref="G133:AA133"/>
    <mergeCell ref="G134:AA134"/>
    <mergeCell ref="G135:AA135"/>
    <mergeCell ref="G136:AA136"/>
    <mergeCell ref="G122:AA122"/>
    <mergeCell ref="G123:AA123"/>
    <mergeCell ref="G126:AA126"/>
    <mergeCell ref="G127:AA127"/>
    <mergeCell ref="G128:AA128"/>
    <mergeCell ref="G129:AA129"/>
    <mergeCell ref="G114:AA114"/>
    <mergeCell ref="G117:AA117"/>
    <mergeCell ref="G118:AA118"/>
    <mergeCell ref="G119:AA119"/>
    <mergeCell ref="G120:AA120"/>
    <mergeCell ref="G121:AA121"/>
    <mergeCell ref="G105:AA105"/>
    <mergeCell ref="G107:AA107"/>
    <mergeCell ref="G108:AA108"/>
    <mergeCell ref="G110:AA110"/>
    <mergeCell ref="G111:AA111"/>
    <mergeCell ref="G113:AA113"/>
    <mergeCell ref="G99:AA99"/>
    <mergeCell ref="G100:AA100"/>
    <mergeCell ref="G101:AA101"/>
    <mergeCell ref="G102:AA102"/>
    <mergeCell ref="G103:AA103"/>
    <mergeCell ref="G104:AA104"/>
    <mergeCell ref="G91:AA91"/>
    <mergeCell ref="G92:AA92"/>
    <mergeCell ref="G93:AA93"/>
    <mergeCell ref="G94:AA94"/>
    <mergeCell ref="G95:AA95"/>
    <mergeCell ref="G98:AA98"/>
    <mergeCell ref="G85:AA85"/>
    <mergeCell ref="G86:AA86"/>
    <mergeCell ref="G87:AA87"/>
    <mergeCell ref="G88:AA88"/>
    <mergeCell ref="G89:AA89"/>
    <mergeCell ref="G90:AA90"/>
    <mergeCell ref="G79:AA79"/>
    <mergeCell ref="G80:AA80"/>
    <mergeCell ref="G81:AA81"/>
    <mergeCell ref="G82:AA82"/>
    <mergeCell ref="G83:AA83"/>
    <mergeCell ref="G84:AA84"/>
    <mergeCell ref="G71:AA71"/>
    <mergeCell ref="G72:AA72"/>
    <mergeCell ref="G73:AA73"/>
    <mergeCell ref="G74:AA74"/>
    <mergeCell ref="G75:AA75"/>
    <mergeCell ref="G78:AA78"/>
    <mergeCell ref="G64:AA64"/>
    <mergeCell ref="G65:AA65"/>
    <mergeCell ref="G66:AA66"/>
    <mergeCell ref="G67:AA67"/>
    <mergeCell ref="G68:AA68"/>
    <mergeCell ref="G69:AA69"/>
    <mergeCell ref="G57:AA57"/>
    <mergeCell ref="G58:AA58"/>
    <mergeCell ref="G59:AA59"/>
    <mergeCell ref="G60:AA60"/>
    <mergeCell ref="G61:AA61"/>
    <mergeCell ref="G63:AA63"/>
    <mergeCell ref="G50:AA50"/>
    <mergeCell ref="G51:AA51"/>
    <mergeCell ref="G52:AA52"/>
    <mergeCell ref="G54:AA54"/>
    <mergeCell ref="G55:AA55"/>
    <mergeCell ref="G56:AA56"/>
    <mergeCell ref="G44:AA44"/>
    <mergeCell ref="G45:AA45"/>
    <mergeCell ref="G46:AA46"/>
    <mergeCell ref="G47:AA47"/>
    <mergeCell ref="G48:AA48"/>
    <mergeCell ref="G49:AA49"/>
    <mergeCell ref="G37:AA37"/>
    <mergeCell ref="G38:AA38"/>
    <mergeCell ref="G39:AA39"/>
    <mergeCell ref="G40:AA40"/>
    <mergeCell ref="G41:AA41"/>
    <mergeCell ref="G43:AA43"/>
    <mergeCell ref="G30:AA30"/>
    <mergeCell ref="G31:AA31"/>
    <mergeCell ref="G32:AA32"/>
    <mergeCell ref="G33:AA33"/>
    <mergeCell ref="G34:AA34"/>
    <mergeCell ref="G35:AA35"/>
    <mergeCell ref="G21:AA21"/>
    <mergeCell ref="G25:AA25"/>
    <mergeCell ref="G26:AA26"/>
    <mergeCell ref="G27:AA27"/>
    <mergeCell ref="G28:AA28"/>
    <mergeCell ref="G29:AA29"/>
    <mergeCell ref="G15:AA15"/>
    <mergeCell ref="G16:AA16"/>
    <mergeCell ref="G17:AA17"/>
    <mergeCell ref="G18:AA18"/>
    <mergeCell ref="G19:AA19"/>
    <mergeCell ref="G20:AA20"/>
    <mergeCell ref="G9:AA9"/>
    <mergeCell ref="G10:AA10"/>
    <mergeCell ref="G11:AA11"/>
    <mergeCell ref="G12:AA12"/>
    <mergeCell ref="G13:AA13"/>
    <mergeCell ref="G14:AA14"/>
    <mergeCell ref="G7:AA7"/>
    <mergeCell ref="G8:AA8"/>
    <mergeCell ref="O4:S4"/>
    <mergeCell ref="U4:Y4"/>
    <mergeCell ref="B6:E6"/>
    <mergeCell ref="F6:F7"/>
    <mergeCell ref="G6:AB6"/>
    <mergeCell ref="AN6:AO6"/>
    <mergeCell ref="AC1:AC5"/>
    <mergeCell ref="AD1:AD7"/>
    <mergeCell ref="AE1:AE5"/>
    <mergeCell ref="AH1:AH4"/>
    <mergeCell ref="B2:H2"/>
    <mergeCell ref="J2:M2"/>
    <mergeCell ref="O2:S2"/>
    <mergeCell ref="U2:Y2"/>
    <mergeCell ref="B3:H3"/>
    <mergeCell ref="J3:M3"/>
    <mergeCell ref="B1:H1"/>
    <mergeCell ref="J1:M1"/>
    <mergeCell ref="N1:N4"/>
    <mergeCell ref="O1:S1"/>
    <mergeCell ref="T1:T4"/>
    <mergeCell ref="U1:Y1"/>
    <mergeCell ref="O3:S3"/>
    <mergeCell ref="U3:Y3"/>
    <mergeCell ref="B4:H4"/>
    <mergeCell ref="J4:M4"/>
    <mergeCell ref="AP6:AQ6"/>
    <mergeCell ref="AR6:AS6"/>
    <mergeCell ref="AT6:AU6"/>
    <mergeCell ref="AV6:AW6"/>
  </mergeCells>
  <conditionalFormatting sqref="AL11:AV11">
    <cfRule type="iconSet" priority="38">
      <iconSet iconSet="3Symbols2" showValue="0">
        <cfvo type="percent" val="0"/>
        <cfvo type="num" val="2"/>
        <cfvo type="num" val="3"/>
      </iconSet>
    </cfRule>
  </conditionalFormatting>
  <conditionalFormatting sqref="AL156:AV156">
    <cfRule type="iconSet" priority="39">
      <iconSet iconSet="3Symbols2" showValue="0">
        <cfvo type="percent" val="0"/>
        <cfvo type="num" val="2"/>
        <cfvo type="num" val="3"/>
      </iconSet>
    </cfRule>
  </conditionalFormatting>
  <conditionalFormatting sqref="AL185:AV185">
    <cfRule type="iconSet" priority="40">
      <iconSet iconSet="3Symbols2" showValue="0">
        <cfvo type="percent" val="0"/>
        <cfvo type="num" val="2"/>
        <cfvo type="num" val="3"/>
      </iconSet>
    </cfRule>
  </conditionalFormatting>
  <conditionalFormatting sqref="AL206:AV206">
    <cfRule type="iconSet" priority="41">
      <iconSet iconSet="3Symbols2" showValue="0">
        <cfvo type="percent" val="0"/>
        <cfvo type="num" val="2"/>
        <cfvo type="num" val="3"/>
      </iconSet>
    </cfRule>
  </conditionalFormatting>
  <conditionalFormatting sqref="AL221:AX221">
    <cfRule type="iconSet" priority="42">
      <iconSet iconSet="3Symbols2" showValue="0">
        <cfvo type="percent" val="0"/>
        <cfvo type="num" val="2"/>
        <cfvo type="num" val="3"/>
      </iconSet>
    </cfRule>
  </conditionalFormatting>
  <conditionalFormatting sqref="AL234:AX234">
    <cfRule type="iconSet" priority="43">
      <iconSet iconSet="3Symbols2" showValue="0">
        <cfvo type="percent" val="0"/>
        <cfvo type="num" val="2"/>
        <cfvo type="num" val="3"/>
      </iconSet>
    </cfRule>
  </conditionalFormatting>
  <conditionalFormatting sqref="AL244:AX244">
    <cfRule type="iconSet" priority="44">
      <iconSet iconSet="3Symbols2" showValue="0">
        <cfvo type="percent" val="0"/>
        <cfvo type="num" val="2"/>
        <cfvo type="num" val="3"/>
      </iconSet>
    </cfRule>
  </conditionalFormatting>
  <conditionalFormatting sqref="AL268:AX268">
    <cfRule type="iconSet" priority="45">
      <iconSet iconSet="3Symbols2" showValue="0">
        <cfvo type="percent" val="0"/>
        <cfvo type="num" val="2"/>
        <cfvo type="num" val="3"/>
      </iconSet>
    </cfRule>
  </conditionalFormatting>
  <conditionalFormatting sqref="AL271:AX271">
    <cfRule type="iconSet" priority="46">
      <iconSet iconSet="3Symbols2" showValue="0">
        <cfvo type="percent" val="0"/>
        <cfvo type="num" val="2"/>
        <cfvo type="num" val="3"/>
      </iconSet>
    </cfRule>
  </conditionalFormatting>
  <conditionalFormatting sqref="AL274:AX274">
    <cfRule type="iconSet" priority="47">
      <iconSet iconSet="3Symbols2" showValue="0">
        <cfvo type="percent" val="0"/>
        <cfvo type="num" val="2"/>
        <cfvo type="num" val="3"/>
      </iconSet>
    </cfRule>
  </conditionalFormatting>
  <conditionalFormatting sqref="AL277:AX277">
    <cfRule type="iconSet" priority="48">
      <iconSet iconSet="3Symbols2" showValue="0">
        <cfvo type="percent" val="0"/>
        <cfvo type="num" val="2"/>
        <cfvo type="num" val="3"/>
      </iconSet>
    </cfRule>
  </conditionalFormatting>
  <conditionalFormatting sqref="AL280:AX280">
    <cfRule type="iconSet" priority="49">
      <iconSet iconSet="3Symbols2" showValue="0">
        <cfvo type="percent" val="0"/>
        <cfvo type="num" val="2"/>
        <cfvo type="num" val="3"/>
      </iconSet>
    </cfRule>
  </conditionalFormatting>
  <conditionalFormatting sqref="AL286:AX286">
    <cfRule type="iconSet" priority="50">
      <iconSet iconSet="3Symbols2" showValue="0">
        <cfvo type="percent" val="0"/>
        <cfvo type="num" val="2"/>
        <cfvo type="num" val="3"/>
      </iconSet>
    </cfRule>
  </conditionalFormatting>
  <conditionalFormatting sqref="AL294:AX294">
    <cfRule type="iconSet" priority="51">
      <iconSet iconSet="3Symbols2" showValue="0">
        <cfvo type="percent" val="0"/>
        <cfvo type="num" val="2"/>
        <cfvo type="num" val="3"/>
      </iconSet>
    </cfRule>
  </conditionalFormatting>
  <conditionalFormatting sqref="AL305:AX305">
    <cfRule type="iconSet" priority="52">
      <iconSet iconSet="3Symbols2" showValue="0">
        <cfvo type="percent" val="0"/>
        <cfvo type="num" val="2"/>
        <cfvo type="num" val="3"/>
      </iconSet>
    </cfRule>
  </conditionalFormatting>
  <conditionalFormatting sqref="AL366:AX366">
    <cfRule type="iconSet" priority="53">
      <iconSet iconSet="3Symbols2" showValue="0">
        <cfvo type="percent" val="0"/>
        <cfvo type="num" val="2"/>
        <cfvo type="num" val="3"/>
      </iconSet>
    </cfRule>
  </conditionalFormatting>
  <conditionalFormatting sqref="AL377:AX377">
    <cfRule type="iconSet" priority="54">
      <iconSet iconSet="3Symbols2" showValue="0">
        <cfvo type="percent" val="0"/>
        <cfvo type="num" val="2"/>
        <cfvo type="num" val="3"/>
      </iconSet>
    </cfRule>
  </conditionalFormatting>
  <conditionalFormatting sqref="AL383:AX383">
    <cfRule type="iconSet" priority="55">
      <iconSet iconSet="3Symbols2" showValue="0">
        <cfvo type="percent" val="0"/>
        <cfvo type="num" val="2"/>
        <cfvo type="num" val="3"/>
      </iconSet>
    </cfRule>
  </conditionalFormatting>
  <conditionalFormatting sqref="AL384:AX384">
    <cfRule type="iconSet" priority="56">
      <iconSet iconSet="3Symbols2" showValue="0">
        <cfvo type="percent" val="0"/>
        <cfvo type="num" val="2"/>
        <cfvo type="num" val="3"/>
      </iconSet>
    </cfRule>
  </conditionalFormatting>
  <conditionalFormatting sqref="AL392:AX392">
    <cfRule type="iconSet" priority="57">
      <iconSet iconSet="3Symbols2" showValue="0">
        <cfvo type="percent" val="0"/>
        <cfvo type="num" val="2"/>
        <cfvo type="num" val="3"/>
      </iconSet>
    </cfRule>
  </conditionalFormatting>
  <conditionalFormatting sqref="AL410:AX410">
    <cfRule type="iconSet" priority="58">
      <iconSet iconSet="3Symbols2" showValue="0">
        <cfvo type="percent" val="0"/>
        <cfvo type="num" val="2"/>
        <cfvo type="num" val="3"/>
      </iconSet>
    </cfRule>
  </conditionalFormatting>
  <conditionalFormatting sqref="AL419:AX419">
    <cfRule type="iconSet" priority="59">
      <iconSet iconSet="3Symbols2" showValue="0">
        <cfvo type="percent" val="0"/>
        <cfvo type="num" val="2"/>
        <cfvo type="num" val="3"/>
      </iconSet>
    </cfRule>
  </conditionalFormatting>
  <conditionalFormatting sqref="AL517:AX517">
    <cfRule type="iconSet" priority="60">
      <iconSet iconSet="3Symbols2" showValue="0">
        <cfvo type="percent" val="0"/>
        <cfvo type="num" val="2"/>
        <cfvo type="num" val="3"/>
      </iconSet>
    </cfRule>
  </conditionalFormatting>
  <conditionalFormatting sqref="AL520:AX520">
    <cfRule type="iconSet" priority="61">
      <iconSet iconSet="3Symbols2" showValue="0">
        <cfvo type="percent" val="0"/>
        <cfvo type="num" val="2"/>
        <cfvo type="num" val="3"/>
      </iconSet>
    </cfRule>
  </conditionalFormatting>
  <conditionalFormatting sqref="AL531:AX531">
    <cfRule type="iconSet" priority="62">
      <iconSet iconSet="3Symbols2" showValue="0">
        <cfvo type="percent" val="0"/>
        <cfvo type="num" val="2"/>
        <cfvo type="num" val="3"/>
      </iconSet>
    </cfRule>
  </conditionalFormatting>
  <conditionalFormatting sqref="AL534:AX534">
    <cfRule type="iconSet" priority="63">
      <iconSet iconSet="3Symbols2" showValue="0">
        <cfvo type="percent" val="0"/>
        <cfvo type="num" val="2"/>
        <cfvo type="num" val="3"/>
      </iconSet>
    </cfRule>
  </conditionalFormatting>
  <conditionalFormatting sqref="AL543:AX543">
    <cfRule type="iconSet" priority="64">
      <iconSet iconSet="3Symbols2" showValue="0">
        <cfvo type="percent" val="0"/>
        <cfvo type="num" val="2"/>
        <cfvo type="num" val="3"/>
      </iconSet>
    </cfRule>
  </conditionalFormatting>
  <conditionalFormatting sqref="AL546:AX546">
    <cfRule type="iconSet" priority="65">
      <iconSet iconSet="3Symbols2" showValue="0">
        <cfvo type="percent" val="0"/>
        <cfvo type="num" val="2"/>
        <cfvo type="num" val="3"/>
      </iconSet>
    </cfRule>
  </conditionalFormatting>
  <conditionalFormatting sqref="AL549:AX549">
    <cfRule type="iconSet" priority="66">
      <iconSet iconSet="3Symbols2" showValue="0">
        <cfvo type="percent" val="0"/>
        <cfvo type="num" val="2"/>
        <cfvo type="num" val="3"/>
      </iconSet>
    </cfRule>
  </conditionalFormatting>
  <conditionalFormatting sqref="AL552:AX552">
    <cfRule type="iconSet" priority="67">
      <iconSet iconSet="3Symbols2" showValue="0">
        <cfvo type="percent" val="0"/>
        <cfvo type="num" val="2"/>
        <cfvo type="num" val="3"/>
      </iconSet>
    </cfRule>
  </conditionalFormatting>
  <conditionalFormatting sqref="AL1:XFD4 AN5:XFD5 AL6:XFD6 BF7:XFD8 AX9:AX10 AZ9:XFD20 AL9:AV219 AZ21:BB21 BD21:XFD21 AX22:AX219 AZ22:XFD219 AL220:XFD223 AW224:XFD224 AL225:XFD226 AW227:XFD227 AL228:XFD390 AL391:AV391 AY391:XFD391 AL392:XFD1048576">
    <cfRule type="expression" dxfId="0" priority="3">
      <formula>ROW()=CELL("ROW")</formula>
    </cfRule>
  </conditionalFormatting>
  <conditionalFormatting sqref="AX22:AX25 AL13:AU14 AL15:AV25">
    <cfRule type="iconSet" priority="4">
      <iconSet iconSet="3Symbols2" showValue="0">
        <cfvo type="percent" val="0"/>
        <cfvo type="num" val="2"/>
        <cfvo type="num" val="3"/>
      </iconSet>
    </cfRule>
  </conditionalFormatting>
  <conditionalFormatting sqref="AX27 AL27:AV27">
    <cfRule type="iconSet" priority="20">
      <iconSet iconSet="3Symbols2" showValue="0">
        <cfvo type="percent" val="0"/>
        <cfvo type="num" val="2"/>
        <cfvo type="num" val="3"/>
      </iconSet>
    </cfRule>
  </conditionalFormatting>
  <conditionalFormatting sqref="AX28 AL38:AV42 AL44:AV53 AL55:AV62 AL64:AV70 AL100:AV106 AL108:AV109 AL111:AV112 AL128:AV132 AL134:AV137 AL139:AV142 AL12:AV12 AL28:AV36 AX78 AL72:AV78 AX98 AL80:AV98 AX117 AL114:AV117 AX126 AL119:AV126 AX153 AL144:AV155 AL157:AV184 AL186:AV205 AL207:AV219 AW224:AX224 AV13:AV14 AX26 AL26:AV26 AX9:AX10 AL9:AV10 AM267:AX267 AL220:AX220 AL233:AX233 AL382:AX382 AL391:AV391 AL235:AX243 AL385:AX390 AL518:AX519 AL532:AX533 AL544:AX545 AL547:AX548 AL550:AX551 AL553:AX65276 AL269:AX270 AL272:AX273 AL306:AX306 AL222:AX223 AL229:AX229 AL225:AX226 AL521:AX530 AL1:AX4 AL245:AX253 AL411:AX418 AL420:AX516 AL393:AX409 AL535:AX542">
    <cfRule type="iconSet" priority="21">
      <iconSet iconSet="3Symbols2" showValue="0">
        <cfvo type="percent" val="0"/>
        <cfvo type="num" val="2"/>
        <cfvo type="num" val="3"/>
      </iconSet>
    </cfRule>
  </conditionalFormatting>
  <conditionalFormatting sqref="AX29:AX36">
    <cfRule type="iconSet" priority="22">
      <iconSet iconSet="3Symbols2" showValue="0">
        <cfvo type="percent" val="0"/>
        <cfvo type="num" val="2"/>
        <cfvo type="num" val="3"/>
      </iconSet>
    </cfRule>
  </conditionalFormatting>
  <conditionalFormatting sqref="AX37 AL37:AV37">
    <cfRule type="iconSet" priority="19">
      <iconSet iconSet="3Symbols2" showValue="0">
        <cfvo type="percent" val="0"/>
        <cfvo type="num" val="2"/>
        <cfvo type="num" val="3"/>
      </iconSet>
    </cfRule>
  </conditionalFormatting>
  <conditionalFormatting sqref="AX38:AX42">
    <cfRule type="iconSet" priority="23">
      <iconSet iconSet="3Symbols2" showValue="0">
        <cfvo type="percent" val="0"/>
        <cfvo type="num" val="2"/>
        <cfvo type="num" val="3"/>
      </iconSet>
    </cfRule>
  </conditionalFormatting>
  <conditionalFormatting sqref="AX43 AL43:AV43">
    <cfRule type="iconSet" priority="18">
      <iconSet iconSet="3Symbols2" showValue="0">
        <cfvo type="percent" val="0"/>
        <cfvo type="num" val="2"/>
        <cfvo type="num" val="3"/>
      </iconSet>
    </cfRule>
  </conditionalFormatting>
  <conditionalFormatting sqref="AX44:AX53">
    <cfRule type="iconSet" priority="24">
      <iconSet iconSet="3Symbols2" showValue="0">
        <cfvo type="percent" val="0"/>
        <cfvo type="num" val="2"/>
        <cfvo type="num" val="3"/>
      </iconSet>
    </cfRule>
  </conditionalFormatting>
  <conditionalFormatting sqref="AX54 AL54:AV54">
    <cfRule type="iconSet" priority="17">
      <iconSet iconSet="3Symbols2" showValue="0">
        <cfvo type="percent" val="0"/>
        <cfvo type="num" val="2"/>
        <cfvo type="num" val="3"/>
      </iconSet>
    </cfRule>
  </conditionalFormatting>
  <conditionalFormatting sqref="AX55:AX62">
    <cfRule type="iconSet" priority="25">
      <iconSet iconSet="3Symbols2" showValue="0">
        <cfvo type="percent" val="0"/>
        <cfvo type="num" val="2"/>
        <cfvo type="num" val="3"/>
      </iconSet>
    </cfRule>
  </conditionalFormatting>
  <conditionalFormatting sqref="AX63 AL63:AV63">
    <cfRule type="iconSet" priority="16">
      <iconSet iconSet="3Symbols2" showValue="0">
        <cfvo type="percent" val="0"/>
        <cfvo type="num" val="2"/>
        <cfvo type="num" val="3"/>
      </iconSet>
    </cfRule>
  </conditionalFormatting>
  <conditionalFormatting sqref="AX64:AX70">
    <cfRule type="iconSet" priority="26">
      <iconSet iconSet="3Symbols2" showValue="0">
        <cfvo type="percent" val="0"/>
        <cfvo type="num" val="2"/>
        <cfvo type="num" val="3"/>
      </iconSet>
    </cfRule>
  </conditionalFormatting>
  <conditionalFormatting sqref="AX71 AL71:AV71">
    <cfRule type="iconSet" priority="15">
      <iconSet iconSet="3Symbols2" showValue="0">
        <cfvo type="percent" val="0"/>
        <cfvo type="num" val="2"/>
        <cfvo type="num" val="3"/>
      </iconSet>
    </cfRule>
  </conditionalFormatting>
  <conditionalFormatting sqref="AX72:AX77">
    <cfRule type="iconSet" priority="27">
      <iconSet iconSet="3Symbols2" showValue="0">
        <cfvo type="percent" val="0"/>
        <cfvo type="num" val="2"/>
        <cfvo type="num" val="3"/>
      </iconSet>
    </cfRule>
  </conditionalFormatting>
  <conditionalFormatting sqref="AX79 AL79:AV79">
    <cfRule type="iconSet" priority="14">
      <iconSet iconSet="3Symbols2" showValue="0">
        <cfvo type="percent" val="0"/>
        <cfvo type="num" val="2"/>
        <cfvo type="num" val="3"/>
      </iconSet>
    </cfRule>
  </conditionalFormatting>
  <conditionalFormatting sqref="AX80:AX97">
    <cfRule type="iconSet" priority="28">
      <iconSet iconSet="3Symbols2" showValue="0">
        <cfvo type="percent" val="0"/>
        <cfvo type="num" val="2"/>
        <cfvo type="num" val="3"/>
      </iconSet>
    </cfRule>
  </conditionalFormatting>
  <conditionalFormatting sqref="AX99 AL99:AV99">
    <cfRule type="iconSet" priority="13">
      <iconSet iconSet="3Symbols2" showValue="0">
        <cfvo type="percent" val="0"/>
        <cfvo type="num" val="2"/>
        <cfvo type="num" val="3"/>
      </iconSet>
    </cfRule>
  </conditionalFormatting>
  <conditionalFormatting sqref="AX100:AX106">
    <cfRule type="iconSet" priority="29">
      <iconSet iconSet="3Symbols2" showValue="0">
        <cfvo type="percent" val="0"/>
        <cfvo type="num" val="2"/>
        <cfvo type="num" val="3"/>
      </iconSet>
    </cfRule>
  </conditionalFormatting>
  <conditionalFormatting sqref="AX107 AL107:AV107">
    <cfRule type="iconSet" priority="12">
      <iconSet iconSet="3Symbols2" showValue="0">
        <cfvo type="percent" val="0"/>
        <cfvo type="num" val="2"/>
        <cfvo type="num" val="3"/>
      </iconSet>
    </cfRule>
  </conditionalFormatting>
  <conditionalFormatting sqref="AX108:AX109">
    <cfRule type="iconSet" priority="30">
      <iconSet iconSet="3Symbols2" showValue="0">
        <cfvo type="percent" val="0"/>
        <cfvo type="num" val="2"/>
        <cfvo type="num" val="3"/>
      </iconSet>
    </cfRule>
  </conditionalFormatting>
  <conditionalFormatting sqref="AX110 AL110:AV110">
    <cfRule type="iconSet" priority="11">
      <iconSet iconSet="3Symbols2" showValue="0">
        <cfvo type="percent" val="0"/>
        <cfvo type="num" val="2"/>
        <cfvo type="num" val="3"/>
      </iconSet>
    </cfRule>
  </conditionalFormatting>
  <conditionalFormatting sqref="AX111:AX112">
    <cfRule type="iconSet" priority="31">
      <iconSet iconSet="3Symbols2" showValue="0">
        <cfvo type="percent" val="0"/>
        <cfvo type="num" val="2"/>
        <cfvo type="num" val="3"/>
      </iconSet>
    </cfRule>
  </conditionalFormatting>
  <conditionalFormatting sqref="AX113 AL113:AV113">
    <cfRule type="iconSet" priority="10">
      <iconSet iconSet="3Symbols2" showValue="0">
        <cfvo type="percent" val="0"/>
        <cfvo type="num" val="2"/>
        <cfvo type="num" val="3"/>
      </iconSet>
    </cfRule>
  </conditionalFormatting>
  <conditionalFormatting sqref="AX114:AX116">
    <cfRule type="iconSet" priority="32">
      <iconSet iconSet="3Symbols2" showValue="0">
        <cfvo type="percent" val="0"/>
        <cfvo type="num" val="2"/>
        <cfvo type="num" val="3"/>
      </iconSet>
    </cfRule>
  </conditionalFormatting>
  <conditionalFormatting sqref="AX118 AL118:AV118">
    <cfRule type="iconSet" priority="9">
      <iconSet iconSet="3Symbols2" showValue="0">
        <cfvo type="percent" val="0"/>
        <cfvo type="num" val="2"/>
        <cfvo type="num" val="3"/>
      </iconSet>
    </cfRule>
  </conditionalFormatting>
  <conditionalFormatting sqref="AX119:AX125">
    <cfRule type="iconSet" priority="33">
      <iconSet iconSet="3Symbols2" showValue="0">
        <cfvo type="percent" val="0"/>
        <cfvo type="num" val="2"/>
        <cfvo type="num" val="3"/>
      </iconSet>
    </cfRule>
  </conditionalFormatting>
  <conditionalFormatting sqref="AX127 AL127:AV127">
    <cfRule type="iconSet" priority="8">
      <iconSet iconSet="3Symbols2" showValue="0">
        <cfvo type="percent" val="0"/>
        <cfvo type="num" val="2"/>
        <cfvo type="num" val="3"/>
      </iconSet>
    </cfRule>
  </conditionalFormatting>
  <conditionalFormatting sqref="AX128:AX132">
    <cfRule type="iconSet" priority="34">
      <iconSet iconSet="3Symbols2" showValue="0">
        <cfvo type="percent" val="0"/>
        <cfvo type="num" val="2"/>
        <cfvo type="num" val="3"/>
      </iconSet>
    </cfRule>
  </conditionalFormatting>
  <conditionalFormatting sqref="AX133 AL133:AV133">
    <cfRule type="iconSet" priority="7">
      <iconSet iconSet="3Symbols2" showValue="0">
        <cfvo type="percent" val="0"/>
        <cfvo type="num" val="2"/>
        <cfvo type="num" val="3"/>
      </iconSet>
    </cfRule>
  </conditionalFormatting>
  <conditionalFormatting sqref="AX134:AX137 AX139:AX142 AX145:AX152">
    <cfRule type="iconSet" priority="35">
      <iconSet iconSet="3Symbols2" showValue="0">
        <cfvo type="percent" val="0"/>
        <cfvo type="num" val="2"/>
        <cfvo type="num" val="3"/>
      </iconSet>
    </cfRule>
  </conditionalFormatting>
  <conditionalFormatting sqref="AX138 AL138:AV138">
    <cfRule type="iconSet" priority="6">
      <iconSet iconSet="3Symbols2" showValue="0">
        <cfvo type="percent" val="0"/>
        <cfvo type="num" val="2"/>
        <cfvo type="num" val="3"/>
      </iconSet>
    </cfRule>
  </conditionalFormatting>
  <conditionalFormatting sqref="AX143 AL143:AV143">
    <cfRule type="iconSet" priority="5">
      <iconSet iconSet="3Symbols2" showValue="0">
        <cfvo type="percent" val="0"/>
        <cfvo type="num" val="2"/>
        <cfvo type="num" val="3"/>
      </iconSet>
    </cfRule>
  </conditionalFormatting>
  <conditionalFormatting sqref="AX153:AX158">
    <cfRule type="iconSet" priority="36">
      <iconSet iconSet="3Symbols2" showValue="0">
        <cfvo type="percent" val="0"/>
        <cfvo type="num" val="2"/>
        <cfvo type="num" val="3"/>
      </iconSet>
    </cfRule>
  </conditionalFormatting>
  <conditionalFormatting sqref="AX157:AX183">
    <cfRule type="iconSet" priority="37">
      <iconSet iconSet="3Symbols2" showValue="0">
        <cfvo type="percent" val="0"/>
        <cfvo type="num" val="2"/>
        <cfvo type="num" val="3"/>
      </iconSet>
    </cfRule>
  </conditionalFormatting>
  <conditionalFormatting sqref="BE5">
    <cfRule type="iconSet" priority="2">
      <iconSet iconSet="3Symbols2" showValue="0">
        <cfvo type="percent" val="0"/>
        <cfvo type="num" val="2"/>
        <cfvo type="num" val="3"/>
      </iconSet>
    </cfRule>
  </conditionalFormatting>
  <conditionalFormatting sqref="BE6">
    <cfRule type="iconSet" priority="1">
      <iconSet iconSet="3Symbols2" showValue="0">
        <cfvo type="percent" val="0"/>
        <cfvo type="num" val="2"/>
        <cfvo type="num" val="3"/>
      </iconSet>
    </cfRule>
  </conditionalFormatting>
  <hyperlinks>
    <hyperlink ref="AB201" location="Sheet2!A792" display="نموذج" xr:uid="{908C6D39-0C0B-41BB-A732-5A043005FA0E}"/>
    <hyperlink ref="AE424" r:id="rId1" display="IFRS\IAS 2 Inventories" xr:uid="{6270F5A2-9CFC-4AF1-ACD3-E0038AEF972E}"/>
    <hyperlink ref="AE442" r:id="rId2" display="IFRS\IAS 16 Property, Plant and Equipment" xr:uid="{29D8769F-F08B-43BF-9E43-91F518145580}"/>
    <hyperlink ref="AE460" r:id="rId3" display="IFRS\IAS 19 Employee Benefits" xr:uid="{25CC91B8-07CE-4C55-98B5-C93B66DB82F8}"/>
    <hyperlink ref="AE436" r:id="rId4" display="IFRS\IAS 38 Intangible Assets" xr:uid="{D76782FA-CC5A-4599-929F-D15808DD9616}"/>
    <hyperlink ref="AE443" r:id="rId5" display="IFRS\IAS 36 Impairment of Assets" xr:uid="{0E6550B8-0706-4068-9E81-DAE52DD29806}"/>
    <hyperlink ref="AE450" r:id="rId6" display="IFRS\IAS 24 Related Party Disclosures" xr:uid="{0378489C-AF83-45F1-8EFE-CFC0751858FB}"/>
    <hyperlink ref="AE451" r:id="rId7" display="IFRS\IAS 24 Related Party Disclosures" xr:uid="{A4D54F01-2F12-4AC1-A989-9166FA4076B4}"/>
    <hyperlink ref="AE500" r:id="rId8" display="IFRS\IAS 12 Income Taxes" xr:uid="{BFC72E9E-0510-4CA4-9E72-E4397F7F70B6}"/>
  </hyperlinks>
  <printOptions horizontalCentered="1"/>
  <pageMargins left="0.23611109999999999" right="0.23611109999999999" top="0.74791660000000004" bottom="0.74791660000000004" header="0.3152778" footer="0.3152778"/>
  <pageSetup paperSize="9" scale="25" fitToHeight="0" orientation="portrait" r:id="rId9"/>
  <headerFooter>
    <oddHeader>&amp;L&amp;"Arial,Bold Italic"&amp;12 مكتب مسعود الرفيدي
محاسبون ومراجعون قانونيون
هـ . ف : 0112916104
Email : alrufaidicpa@gmail.com
الرياض – المملكه العربية السعودية</oddHeader>
    <oddFooter>&amp;C&amp;P / &amp;N
&amp;D / &amp;T</oddFooter>
  </headerFooter>
  <rowBreaks count="18" manualBreakCount="18">
    <brk id="24" man="1"/>
    <brk id="77" man="1"/>
    <brk id="97" man="1"/>
    <brk id="116" man="1"/>
    <brk id="125" man="1"/>
    <brk id="152" man="1"/>
    <brk id="183" man="1"/>
    <brk id="219" man="1"/>
    <brk id="232" man="1"/>
    <brk id="252" man="1"/>
    <brk id="266" man="1"/>
    <brk id="381" man="1"/>
    <brk id="390" man="1"/>
    <brk id="408" man="1"/>
    <brk id="416" man="1"/>
    <brk id="514" man="1"/>
    <brk id="541" man="1"/>
    <brk id="55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4BD0-7DEC-4C61-A019-D5AE16BB762C}">
  <dimension ref="A1"/>
  <sheetViews>
    <sheetView rightToLeft="1" view="pageBreakPreview" zoomScale="60" workbookViewId="0"/>
  </sheetViews>
  <sheetFormatPr defaultRowHeight="14.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97D9-EB08-41A4-944A-1373CA542695}">
  <dimension ref="A1:J612"/>
  <sheetViews>
    <sheetView rightToLeft="1" view="pageBreakPreview" topLeftCell="A375" zoomScale="106" zoomScaleSheetLayoutView="106" workbookViewId="0">
      <selection activeCell="C387" sqref="C387"/>
    </sheetView>
  </sheetViews>
  <sheetFormatPr defaultRowHeight="14.25"/>
  <cols>
    <col min="1" max="6" width="6.625" style="273" customWidth="1"/>
    <col min="7" max="7" width="32.875" style="273" customWidth="1"/>
    <col min="8" max="16384" width="9" style="273"/>
  </cols>
  <sheetData>
    <row r="1" spans="1:10" s="151" customFormat="1">
      <c r="A1" s="151" t="s">
        <v>1219</v>
      </c>
      <c r="B1" s="151" t="s">
        <v>2972</v>
      </c>
      <c r="C1" s="151">
        <v>1</v>
      </c>
      <c r="D1" s="151">
        <v>2</v>
      </c>
      <c r="E1" s="151">
        <v>3</v>
      </c>
      <c r="F1" s="151">
        <v>4</v>
      </c>
      <c r="G1" s="151">
        <v>5</v>
      </c>
      <c r="H1" s="151" t="s">
        <v>2969</v>
      </c>
    </row>
    <row r="2" spans="1:10">
      <c r="A2" s="273">
        <v>0</v>
      </c>
      <c r="D2" s="273" t="s">
        <v>2979</v>
      </c>
      <c r="E2" s="273" t="s">
        <v>2972</v>
      </c>
      <c r="I2" s="273" t="s">
        <v>2971</v>
      </c>
      <c r="J2" s="273" t="s">
        <v>2970</v>
      </c>
    </row>
    <row r="3" spans="1:10">
      <c r="A3" s="273">
        <v>0</v>
      </c>
      <c r="E3" s="273">
        <v>1</v>
      </c>
      <c r="F3" s="273">
        <v>2</v>
      </c>
      <c r="G3" s="273">
        <v>3</v>
      </c>
      <c r="H3" s="273">
        <v>4</v>
      </c>
      <c r="J3" s="273" t="s">
        <v>2969</v>
      </c>
    </row>
    <row r="4" spans="1:10">
      <c r="A4" s="273">
        <v>1</v>
      </c>
      <c r="B4" s="273" t="s">
        <v>2968</v>
      </c>
      <c r="C4" s="273" t="s">
        <v>2968</v>
      </c>
      <c r="D4" s="273" t="s">
        <v>2968</v>
      </c>
      <c r="E4" s="273" t="s">
        <v>2968</v>
      </c>
      <c r="F4" s="273" t="s">
        <v>2968</v>
      </c>
      <c r="G4" s="273" t="s">
        <v>2967</v>
      </c>
    </row>
    <row r="5" spans="1:10">
      <c r="A5" s="273">
        <v>2</v>
      </c>
      <c r="B5" s="273" t="s">
        <v>2968</v>
      </c>
      <c r="C5" s="273" t="s">
        <v>2965</v>
      </c>
      <c r="D5" s="273" t="s">
        <v>2965</v>
      </c>
      <c r="E5" s="273" t="s">
        <v>2965</v>
      </c>
      <c r="F5" s="273" t="s">
        <v>2965</v>
      </c>
      <c r="G5" s="273" t="s">
        <v>2964</v>
      </c>
    </row>
    <row r="6" spans="1:10">
      <c r="A6" s="273">
        <v>3</v>
      </c>
      <c r="B6" s="273" t="s">
        <v>2968</v>
      </c>
      <c r="C6" s="273" t="s">
        <v>2965</v>
      </c>
      <c r="D6" s="273" t="s">
        <v>2963</v>
      </c>
      <c r="E6" s="273" t="s">
        <v>2963</v>
      </c>
      <c r="F6" s="273" t="s">
        <v>2963</v>
      </c>
      <c r="G6" s="273" t="s">
        <v>2962</v>
      </c>
    </row>
    <row r="7" spans="1:10">
      <c r="A7" s="273">
        <v>4</v>
      </c>
      <c r="B7" s="273" t="s">
        <v>2968</v>
      </c>
      <c r="C7" s="273" t="s">
        <v>2965</v>
      </c>
      <c r="D7" s="273" t="s">
        <v>2963</v>
      </c>
      <c r="E7" s="273" t="s">
        <v>2961</v>
      </c>
      <c r="F7" s="273" t="s">
        <v>2961</v>
      </c>
      <c r="G7" s="273" t="s">
        <v>2960</v>
      </c>
    </row>
    <row r="8" spans="1:10">
      <c r="A8" s="273">
        <v>5</v>
      </c>
      <c r="B8" s="273" t="s">
        <v>2968</v>
      </c>
      <c r="C8" s="273" t="s">
        <v>2965</v>
      </c>
      <c r="D8" s="273" t="s">
        <v>2963</v>
      </c>
      <c r="F8" s="273" t="s">
        <v>2958</v>
      </c>
      <c r="G8" s="273" t="s">
        <v>2957</v>
      </c>
    </row>
    <row r="9" spans="1:10">
      <c r="A9" s="273">
        <v>5</v>
      </c>
      <c r="B9" s="273" t="s">
        <v>2968</v>
      </c>
      <c r="C9" s="273" t="s">
        <v>2965</v>
      </c>
      <c r="D9" s="273" t="s">
        <v>2963</v>
      </c>
      <c r="F9" s="273" t="s">
        <v>2955</v>
      </c>
      <c r="G9" s="273" t="s">
        <v>2954</v>
      </c>
    </row>
    <row r="10" spans="1:10">
      <c r="A10" s="273">
        <v>5</v>
      </c>
      <c r="B10" s="273" t="s">
        <v>2968</v>
      </c>
      <c r="C10" s="273" t="s">
        <v>2965</v>
      </c>
      <c r="D10" s="273" t="s">
        <v>2963</v>
      </c>
      <c r="F10" s="273" t="s">
        <v>2952</v>
      </c>
      <c r="G10" s="273" t="s">
        <v>2951</v>
      </c>
    </row>
    <row r="11" spans="1:10">
      <c r="A11" s="273">
        <v>5</v>
      </c>
      <c r="B11" s="273" t="s">
        <v>2968</v>
      </c>
      <c r="C11" s="273" t="s">
        <v>2965</v>
      </c>
      <c r="D11" s="273" t="s">
        <v>2963</v>
      </c>
      <c r="F11" s="273" t="s">
        <v>2949</v>
      </c>
      <c r="G11" s="273" t="s">
        <v>2948</v>
      </c>
    </row>
    <row r="12" spans="1:10">
      <c r="A12" s="273">
        <v>5</v>
      </c>
      <c r="B12" s="273" t="s">
        <v>2968</v>
      </c>
      <c r="C12" s="273" t="s">
        <v>2965</v>
      </c>
      <c r="D12" s="273" t="s">
        <v>2963</v>
      </c>
      <c r="F12" s="273" t="s">
        <v>2946</v>
      </c>
      <c r="G12" s="273" t="s">
        <v>2945</v>
      </c>
    </row>
    <row r="13" spans="1:10">
      <c r="A13" s="273">
        <v>5</v>
      </c>
      <c r="B13" s="273" t="s">
        <v>2968</v>
      </c>
      <c r="C13" s="273" t="s">
        <v>2965</v>
      </c>
      <c r="D13" s="273" t="s">
        <v>2963</v>
      </c>
      <c r="F13" s="273" t="s">
        <v>2943</v>
      </c>
      <c r="G13" s="273" t="s">
        <v>2942</v>
      </c>
    </row>
    <row r="14" spans="1:10">
      <c r="A14" s="273">
        <v>5</v>
      </c>
      <c r="B14" s="273" t="s">
        <v>2968</v>
      </c>
      <c r="C14" s="273" t="s">
        <v>2965</v>
      </c>
      <c r="D14" s="273" t="s">
        <v>2963</v>
      </c>
      <c r="F14" s="273" t="s">
        <v>2940</v>
      </c>
      <c r="G14" s="273" t="s">
        <v>2939</v>
      </c>
    </row>
    <row r="15" spans="1:10">
      <c r="A15" s="273">
        <v>5</v>
      </c>
      <c r="B15" s="273" t="s">
        <v>2968</v>
      </c>
      <c r="C15" s="273" t="s">
        <v>2965</v>
      </c>
      <c r="D15" s="273" t="s">
        <v>2963</v>
      </c>
      <c r="F15" s="273" t="s">
        <v>2936</v>
      </c>
      <c r="G15" s="273" t="s">
        <v>2935</v>
      </c>
    </row>
    <row r="16" spans="1:10">
      <c r="A16" s="273">
        <v>5</v>
      </c>
      <c r="B16" s="273" t="s">
        <v>2968</v>
      </c>
      <c r="C16" s="273" t="s">
        <v>2965</v>
      </c>
      <c r="D16" s="273" t="s">
        <v>2963</v>
      </c>
      <c r="F16" s="273" t="s">
        <v>2933</v>
      </c>
      <c r="G16" s="273" t="s">
        <v>2932</v>
      </c>
    </row>
    <row r="17" spans="1:7">
      <c r="A17" s="273">
        <v>5</v>
      </c>
      <c r="B17" s="273" t="s">
        <v>2968</v>
      </c>
      <c r="C17" s="273" t="s">
        <v>2965</v>
      </c>
      <c r="D17" s="273" t="s">
        <v>2963</v>
      </c>
      <c r="F17" s="273" t="s">
        <v>2930</v>
      </c>
      <c r="G17" s="273" t="s">
        <v>2929</v>
      </c>
    </row>
    <row r="18" spans="1:7">
      <c r="A18" s="273">
        <v>3</v>
      </c>
      <c r="B18" s="273" t="s">
        <v>2968</v>
      </c>
      <c r="C18" s="273" t="s">
        <v>2965</v>
      </c>
      <c r="D18" s="273" t="s">
        <v>2963</v>
      </c>
    </row>
    <row r="19" spans="1:7">
      <c r="A19" s="273">
        <v>3</v>
      </c>
      <c r="B19" s="273" t="s">
        <v>2968</v>
      </c>
      <c r="C19" s="273" t="s">
        <v>2965</v>
      </c>
      <c r="D19" s="273" t="s">
        <v>2963</v>
      </c>
    </row>
    <row r="20" spans="1:7">
      <c r="A20" s="273">
        <v>3</v>
      </c>
      <c r="B20" s="273" t="s">
        <v>2968</v>
      </c>
      <c r="C20" s="273" t="s">
        <v>2965</v>
      </c>
      <c r="D20" s="273" t="s">
        <v>2963</v>
      </c>
    </row>
    <row r="21" spans="1:7">
      <c r="A21" s="273">
        <v>2</v>
      </c>
      <c r="B21" s="273" t="s">
        <v>2968</v>
      </c>
      <c r="C21" s="273" t="s">
        <v>2923</v>
      </c>
      <c r="D21" s="273" t="s">
        <v>2923</v>
      </c>
      <c r="E21" s="273" t="s">
        <v>2923</v>
      </c>
      <c r="F21" s="273" t="s">
        <v>2923</v>
      </c>
      <c r="G21" s="273" t="s">
        <v>2922</v>
      </c>
    </row>
    <row r="22" spans="1:7">
      <c r="A22" s="273">
        <v>3</v>
      </c>
      <c r="B22" s="273" t="s">
        <v>2968</v>
      </c>
      <c r="C22" s="273" t="s">
        <v>2923</v>
      </c>
      <c r="D22" s="273" t="s">
        <v>2921</v>
      </c>
      <c r="E22" s="273" t="s">
        <v>2921</v>
      </c>
      <c r="F22" s="273" t="s">
        <v>2921</v>
      </c>
      <c r="G22" s="273" t="s">
        <v>2920</v>
      </c>
    </row>
    <row r="23" spans="1:7">
      <c r="A23" s="273">
        <v>4</v>
      </c>
      <c r="B23" s="273" t="s">
        <v>2968</v>
      </c>
      <c r="C23" s="273" t="s">
        <v>2923</v>
      </c>
      <c r="D23" s="273" t="s">
        <v>2921</v>
      </c>
      <c r="E23" s="273" t="s">
        <v>2919</v>
      </c>
      <c r="F23" s="273" t="s">
        <v>2919</v>
      </c>
      <c r="G23" s="273" t="s">
        <v>2918</v>
      </c>
    </row>
    <row r="24" spans="1:7">
      <c r="A24" s="273">
        <v>5</v>
      </c>
      <c r="B24" s="273" t="s">
        <v>2968</v>
      </c>
      <c r="C24" s="273" t="s">
        <v>2923</v>
      </c>
      <c r="D24" s="273" t="s">
        <v>2921</v>
      </c>
      <c r="E24" s="273" t="s">
        <v>2919</v>
      </c>
      <c r="F24" s="273" t="s">
        <v>2916</v>
      </c>
      <c r="G24" s="273" t="s">
        <v>2915</v>
      </c>
    </row>
    <row r="25" spans="1:7">
      <c r="A25" s="273">
        <v>5</v>
      </c>
      <c r="B25" s="273" t="s">
        <v>2968</v>
      </c>
      <c r="C25" s="273" t="s">
        <v>2923</v>
      </c>
      <c r="D25" s="273" t="s">
        <v>2921</v>
      </c>
      <c r="E25" s="273" t="s">
        <v>2919</v>
      </c>
      <c r="F25" s="273" t="s">
        <v>2914</v>
      </c>
      <c r="G25" s="273" t="s">
        <v>2913</v>
      </c>
    </row>
    <row r="26" spans="1:7">
      <c r="A26" s="273">
        <v>5</v>
      </c>
      <c r="B26" s="273" t="s">
        <v>2968</v>
      </c>
      <c r="C26" s="273" t="s">
        <v>2923</v>
      </c>
      <c r="D26" s="273" t="s">
        <v>2921</v>
      </c>
      <c r="E26" s="273" t="s">
        <v>2919</v>
      </c>
      <c r="F26" s="273" t="s">
        <v>2912</v>
      </c>
      <c r="G26" s="273" t="s">
        <v>2911</v>
      </c>
    </row>
    <row r="27" spans="1:7">
      <c r="A27" s="273">
        <v>5</v>
      </c>
      <c r="B27" s="273" t="s">
        <v>2968</v>
      </c>
      <c r="C27" s="273" t="s">
        <v>2923</v>
      </c>
      <c r="D27" s="273" t="s">
        <v>2921</v>
      </c>
      <c r="E27" s="273" t="s">
        <v>2919</v>
      </c>
      <c r="F27" s="273" t="s">
        <v>2910</v>
      </c>
      <c r="G27" s="273" t="s">
        <v>2909</v>
      </c>
    </row>
    <row r="28" spans="1:7">
      <c r="A28" s="273">
        <v>5</v>
      </c>
      <c r="B28" s="273" t="s">
        <v>2968</v>
      </c>
      <c r="C28" s="273" t="s">
        <v>2923</v>
      </c>
      <c r="D28" s="273" t="s">
        <v>2921</v>
      </c>
      <c r="E28" s="273" t="s">
        <v>2919</v>
      </c>
      <c r="F28" s="273" t="s">
        <v>2908</v>
      </c>
      <c r="G28" s="273" t="s">
        <v>2907</v>
      </c>
    </row>
    <row r="29" spans="1:7">
      <c r="A29" s="273">
        <v>5</v>
      </c>
      <c r="B29" s="273" t="s">
        <v>2968</v>
      </c>
      <c r="C29" s="273" t="s">
        <v>2923</v>
      </c>
      <c r="D29" s="273" t="s">
        <v>2921</v>
      </c>
      <c r="E29" s="273" t="s">
        <v>2919</v>
      </c>
      <c r="F29" s="273" t="s">
        <v>2906</v>
      </c>
      <c r="G29" s="273" t="s">
        <v>2905</v>
      </c>
    </row>
    <row r="30" spans="1:7">
      <c r="A30" s="273">
        <v>5</v>
      </c>
      <c r="B30" s="273" t="s">
        <v>2968</v>
      </c>
      <c r="C30" s="273" t="s">
        <v>2923</v>
      </c>
      <c r="D30" s="273" t="s">
        <v>2921</v>
      </c>
      <c r="E30" s="273" t="s">
        <v>2919</v>
      </c>
      <c r="F30" s="273" t="s">
        <v>2904</v>
      </c>
      <c r="G30" s="273" t="s">
        <v>2903</v>
      </c>
    </row>
    <row r="31" spans="1:7">
      <c r="A31" s="273">
        <v>5</v>
      </c>
      <c r="B31" s="273" t="s">
        <v>2968</v>
      </c>
      <c r="C31" s="273" t="s">
        <v>2923</v>
      </c>
      <c r="D31" s="273" t="s">
        <v>2921</v>
      </c>
      <c r="E31" s="273" t="s">
        <v>2919</v>
      </c>
      <c r="F31" s="273" t="s">
        <v>2902</v>
      </c>
      <c r="G31" s="273" t="s">
        <v>2901</v>
      </c>
    </row>
    <row r="32" spans="1:7">
      <c r="A32" s="273">
        <v>4</v>
      </c>
      <c r="B32" s="273" t="s">
        <v>2968</v>
      </c>
      <c r="C32" s="273" t="s">
        <v>2923</v>
      </c>
      <c r="D32" s="273" t="s">
        <v>2921</v>
      </c>
      <c r="E32" s="273" t="s">
        <v>2919</v>
      </c>
    </row>
    <row r="33" spans="1:7">
      <c r="A33" s="273">
        <v>4</v>
      </c>
      <c r="B33" s="273" t="s">
        <v>2968</v>
      </c>
      <c r="C33" s="273" t="s">
        <v>2923</v>
      </c>
      <c r="D33" s="273" t="s">
        <v>2921</v>
      </c>
      <c r="E33" s="273" t="s">
        <v>2900</v>
      </c>
      <c r="F33" s="273" t="s">
        <v>2900</v>
      </c>
      <c r="G33" s="273" t="s">
        <v>2899</v>
      </c>
    </row>
    <row r="34" spans="1:7">
      <c r="A34" s="273">
        <v>5</v>
      </c>
      <c r="B34" s="273" t="s">
        <v>2968</v>
      </c>
      <c r="C34" s="273" t="s">
        <v>2923</v>
      </c>
      <c r="D34" s="273" t="s">
        <v>2921</v>
      </c>
      <c r="E34" s="273" t="s">
        <v>2900</v>
      </c>
      <c r="F34" s="273" t="s">
        <v>2897</v>
      </c>
      <c r="G34" s="273" t="s">
        <v>2896</v>
      </c>
    </row>
    <row r="35" spans="1:7">
      <c r="A35" s="273">
        <v>5</v>
      </c>
      <c r="B35" s="273" t="s">
        <v>2968</v>
      </c>
      <c r="C35" s="273" t="s">
        <v>2923</v>
      </c>
      <c r="D35" s="273" t="s">
        <v>2921</v>
      </c>
      <c r="E35" s="273" t="s">
        <v>2900</v>
      </c>
      <c r="F35" s="273" t="s">
        <v>2895</v>
      </c>
      <c r="G35" s="273" t="s">
        <v>2894</v>
      </c>
    </row>
    <row r="36" spans="1:7">
      <c r="A36" s="273">
        <v>5</v>
      </c>
      <c r="B36" s="273" t="s">
        <v>2968</v>
      </c>
      <c r="C36" s="273" t="s">
        <v>2923</v>
      </c>
      <c r="D36" s="273" t="s">
        <v>2921</v>
      </c>
      <c r="E36" s="273" t="s">
        <v>2900</v>
      </c>
      <c r="F36" s="273" t="s">
        <v>2893</v>
      </c>
      <c r="G36" s="273" t="s">
        <v>2892</v>
      </c>
    </row>
    <row r="37" spans="1:7">
      <c r="A37" s="273">
        <v>5</v>
      </c>
      <c r="B37" s="273" t="s">
        <v>2968</v>
      </c>
      <c r="C37" s="273" t="s">
        <v>2923</v>
      </c>
      <c r="D37" s="273" t="s">
        <v>2921</v>
      </c>
      <c r="E37" s="273" t="s">
        <v>2900</v>
      </c>
      <c r="F37" s="273" t="s">
        <v>2891</v>
      </c>
      <c r="G37" s="273" t="s">
        <v>2890</v>
      </c>
    </row>
    <row r="38" spans="1:7">
      <c r="A38" s="273">
        <v>4</v>
      </c>
      <c r="B38" s="273" t="s">
        <v>2968</v>
      </c>
      <c r="C38" s="273" t="s">
        <v>2923</v>
      </c>
      <c r="D38" s="273" t="s">
        <v>2921</v>
      </c>
      <c r="E38" s="273" t="s">
        <v>2900</v>
      </c>
    </row>
    <row r="39" spans="1:7">
      <c r="A39" s="273">
        <v>4</v>
      </c>
      <c r="B39" s="273" t="s">
        <v>2968</v>
      </c>
      <c r="C39" s="273" t="s">
        <v>2923</v>
      </c>
      <c r="D39" s="273" t="s">
        <v>2921</v>
      </c>
      <c r="E39" s="273" t="s">
        <v>2889</v>
      </c>
      <c r="F39" s="273" t="s">
        <v>2889</v>
      </c>
      <c r="G39" s="273" t="s">
        <v>488</v>
      </c>
    </row>
    <row r="40" spans="1:7">
      <c r="A40" s="273">
        <v>5</v>
      </c>
      <c r="B40" s="273" t="s">
        <v>2968</v>
      </c>
      <c r="C40" s="273" t="s">
        <v>2923</v>
      </c>
      <c r="D40" s="273" t="s">
        <v>2921</v>
      </c>
      <c r="E40" s="273" t="s">
        <v>2889</v>
      </c>
      <c r="F40" s="273" t="s">
        <v>2887</v>
      </c>
      <c r="G40" s="273" t="s">
        <v>2886</v>
      </c>
    </row>
    <row r="41" spans="1:7">
      <c r="A41" s="273">
        <v>5</v>
      </c>
      <c r="B41" s="273" t="s">
        <v>2968</v>
      </c>
      <c r="C41" s="273" t="s">
        <v>2923</v>
      </c>
      <c r="D41" s="273" t="s">
        <v>2921</v>
      </c>
      <c r="E41" s="273" t="s">
        <v>2889</v>
      </c>
      <c r="F41" s="273" t="s">
        <v>2885</v>
      </c>
      <c r="G41" s="273" t="s">
        <v>2884</v>
      </c>
    </row>
    <row r="42" spans="1:7">
      <c r="A42" s="273">
        <v>5</v>
      </c>
      <c r="B42" s="273" t="s">
        <v>2968</v>
      </c>
      <c r="C42" s="273" t="s">
        <v>2923</v>
      </c>
      <c r="D42" s="273" t="s">
        <v>2921</v>
      </c>
      <c r="E42" s="273" t="s">
        <v>2889</v>
      </c>
      <c r="F42" s="273" t="s">
        <v>2883</v>
      </c>
      <c r="G42" s="273" t="s">
        <v>2882</v>
      </c>
    </row>
    <row r="43" spans="1:7">
      <c r="A43" s="273">
        <v>5</v>
      </c>
      <c r="B43" s="273" t="s">
        <v>2968</v>
      </c>
      <c r="C43" s="273" t="s">
        <v>2923</v>
      </c>
      <c r="D43" s="273" t="s">
        <v>2921</v>
      </c>
      <c r="E43" s="273" t="s">
        <v>2889</v>
      </c>
      <c r="F43" s="273" t="s">
        <v>2881</v>
      </c>
      <c r="G43" s="273" t="s">
        <v>2880</v>
      </c>
    </row>
    <row r="44" spans="1:7">
      <c r="A44" s="273">
        <v>5</v>
      </c>
      <c r="B44" s="273" t="s">
        <v>2968</v>
      </c>
      <c r="C44" s="273" t="s">
        <v>2923</v>
      </c>
      <c r="D44" s="273" t="s">
        <v>2921</v>
      </c>
      <c r="E44" s="273" t="s">
        <v>2889</v>
      </c>
      <c r="F44" s="273" t="s">
        <v>2879</v>
      </c>
      <c r="G44" s="273" t="s">
        <v>2878</v>
      </c>
    </row>
    <row r="45" spans="1:7">
      <c r="A45" s="273">
        <v>5</v>
      </c>
      <c r="B45" s="273" t="s">
        <v>2968</v>
      </c>
      <c r="C45" s="273" t="s">
        <v>2923</v>
      </c>
      <c r="D45" s="273" t="s">
        <v>2921</v>
      </c>
      <c r="E45" s="273" t="s">
        <v>2889</v>
      </c>
      <c r="F45" s="273" t="s">
        <v>2877</v>
      </c>
      <c r="G45" s="273" t="s">
        <v>2876</v>
      </c>
    </row>
    <row r="46" spans="1:7">
      <c r="A46" s="273">
        <v>5</v>
      </c>
      <c r="B46" s="273" t="s">
        <v>2968</v>
      </c>
      <c r="C46" s="273" t="s">
        <v>2923</v>
      </c>
      <c r="D46" s="273" t="s">
        <v>2921</v>
      </c>
      <c r="E46" s="273" t="s">
        <v>2889</v>
      </c>
      <c r="F46" s="273" t="s">
        <v>2875</v>
      </c>
      <c r="G46" s="273" t="s">
        <v>2874</v>
      </c>
    </row>
    <row r="47" spans="1:7">
      <c r="A47" s="273">
        <v>5</v>
      </c>
      <c r="B47" s="273" t="s">
        <v>2968</v>
      </c>
      <c r="C47" s="273" t="s">
        <v>2923</v>
      </c>
      <c r="D47" s="273" t="s">
        <v>2921</v>
      </c>
      <c r="E47" s="273" t="s">
        <v>2889</v>
      </c>
      <c r="F47" s="273" t="s">
        <v>2873</v>
      </c>
      <c r="G47" s="273" t="s">
        <v>2872</v>
      </c>
    </row>
    <row r="48" spans="1:7">
      <c r="A48" s="273">
        <v>5</v>
      </c>
      <c r="B48" s="273" t="s">
        <v>2968</v>
      </c>
      <c r="C48" s="273" t="s">
        <v>2923</v>
      </c>
      <c r="D48" s="273" t="s">
        <v>2921</v>
      </c>
      <c r="E48" s="273" t="s">
        <v>2889</v>
      </c>
      <c r="F48" s="273" t="s">
        <v>2871</v>
      </c>
      <c r="G48" s="273" t="s">
        <v>2870</v>
      </c>
    </row>
    <row r="49" spans="1:7">
      <c r="A49" s="273">
        <v>4</v>
      </c>
      <c r="B49" s="273" t="s">
        <v>2968</v>
      </c>
      <c r="C49" s="273" t="s">
        <v>2923</v>
      </c>
      <c r="D49" s="273" t="s">
        <v>2921</v>
      </c>
      <c r="E49" s="273" t="s">
        <v>2889</v>
      </c>
    </row>
    <row r="50" spans="1:7">
      <c r="A50" s="273">
        <v>4</v>
      </c>
      <c r="B50" s="273" t="s">
        <v>2968</v>
      </c>
      <c r="C50" s="273" t="s">
        <v>2923</v>
      </c>
      <c r="D50" s="273" t="s">
        <v>2921</v>
      </c>
      <c r="E50" s="273" t="s">
        <v>2869</v>
      </c>
      <c r="F50" s="273" t="s">
        <v>2869</v>
      </c>
      <c r="G50" s="273" t="s">
        <v>2868</v>
      </c>
    </row>
    <row r="51" spans="1:7">
      <c r="A51" s="273">
        <v>5</v>
      </c>
      <c r="B51" s="273" t="s">
        <v>2968</v>
      </c>
      <c r="C51" s="273" t="s">
        <v>2923</v>
      </c>
      <c r="D51" s="273" t="s">
        <v>2921</v>
      </c>
      <c r="E51" s="273" t="s">
        <v>2869</v>
      </c>
      <c r="F51" s="273" t="s">
        <v>2866</v>
      </c>
      <c r="G51" s="273" t="s">
        <v>2865</v>
      </c>
    </row>
    <row r="52" spans="1:7">
      <c r="A52" s="273">
        <v>5</v>
      </c>
      <c r="B52" s="273" t="s">
        <v>2968</v>
      </c>
      <c r="C52" s="273" t="s">
        <v>2923</v>
      </c>
      <c r="D52" s="273" t="s">
        <v>2921</v>
      </c>
      <c r="E52" s="273" t="s">
        <v>2869</v>
      </c>
      <c r="F52" s="273" t="s">
        <v>2864</v>
      </c>
      <c r="G52" s="273" t="s">
        <v>2863</v>
      </c>
    </row>
    <row r="53" spans="1:7">
      <c r="A53" s="273">
        <v>5</v>
      </c>
      <c r="B53" s="273" t="s">
        <v>2968</v>
      </c>
      <c r="C53" s="273" t="s">
        <v>2923</v>
      </c>
      <c r="D53" s="273" t="s">
        <v>2921</v>
      </c>
      <c r="E53" s="273" t="s">
        <v>2869</v>
      </c>
      <c r="F53" s="273" t="s">
        <v>2862</v>
      </c>
      <c r="G53" s="273" t="s">
        <v>2861</v>
      </c>
    </row>
    <row r="54" spans="1:7">
      <c r="A54" s="273">
        <v>5</v>
      </c>
      <c r="B54" s="273" t="s">
        <v>2968</v>
      </c>
      <c r="C54" s="273" t="s">
        <v>2923</v>
      </c>
      <c r="D54" s="273" t="s">
        <v>2921</v>
      </c>
      <c r="E54" s="273" t="s">
        <v>2869</v>
      </c>
      <c r="F54" s="273" t="s">
        <v>2860</v>
      </c>
      <c r="G54" s="273" t="s">
        <v>2859</v>
      </c>
    </row>
    <row r="55" spans="1:7">
      <c r="A55" s="273">
        <v>5</v>
      </c>
      <c r="B55" s="273" t="s">
        <v>2968</v>
      </c>
      <c r="C55" s="273" t="s">
        <v>2923</v>
      </c>
      <c r="D55" s="273" t="s">
        <v>2921</v>
      </c>
      <c r="E55" s="273" t="s">
        <v>2869</v>
      </c>
      <c r="F55" s="273" t="s">
        <v>2858</v>
      </c>
      <c r="G55" s="273" t="s">
        <v>2857</v>
      </c>
    </row>
    <row r="56" spans="1:7">
      <c r="A56" s="273">
        <v>5</v>
      </c>
      <c r="B56" s="273" t="s">
        <v>2968</v>
      </c>
      <c r="C56" s="273" t="s">
        <v>2923</v>
      </c>
      <c r="D56" s="273" t="s">
        <v>2921</v>
      </c>
      <c r="E56" s="273" t="s">
        <v>2869</v>
      </c>
      <c r="F56" s="273" t="s">
        <v>2856</v>
      </c>
      <c r="G56" s="273" t="s">
        <v>2855</v>
      </c>
    </row>
    <row r="57" spans="1:7">
      <c r="A57" s="273">
        <v>5</v>
      </c>
      <c r="B57" s="273" t="s">
        <v>2968</v>
      </c>
      <c r="C57" s="273" t="s">
        <v>2923</v>
      </c>
      <c r="D57" s="273" t="s">
        <v>2921</v>
      </c>
      <c r="E57" s="273" t="s">
        <v>2869</v>
      </c>
      <c r="F57" s="273" t="s">
        <v>2854</v>
      </c>
      <c r="G57" s="273" t="s">
        <v>2853</v>
      </c>
    </row>
    <row r="58" spans="1:7">
      <c r="A58" s="273">
        <v>4</v>
      </c>
      <c r="B58" s="273" t="s">
        <v>2968</v>
      </c>
      <c r="C58" s="273" t="s">
        <v>2923</v>
      </c>
      <c r="D58" s="273" t="s">
        <v>2921</v>
      </c>
      <c r="E58" s="273" t="s">
        <v>2869</v>
      </c>
    </row>
    <row r="59" spans="1:7">
      <c r="A59" s="273">
        <v>4</v>
      </c>
      <c r="B59" s="273" t="s">
        <v>2968</v>
      </c>
      <c r="C59" s="273" t="s">
        <v>2923</v>
      </c>
      <c r="D59" s="273" t="s">
        <v>2921</v>
      </c>
      <c r="E59" s="273" t="s">
        <v>2852</v>
      </c>
      <c r="F59" s="273" t="s">
        <v>2852</v>
      </c>
      <c r="G59" s="273" t="s">
        <v>2851</v>
      </c>
    </row>
    <row r="60" spans="1:7">
      <c r="A60" s="273">
        <v>5</v>
      </c>
      <c r="B60" s="273" t="s">
        <v>2968</v>
      </c>
      <c r="C60" s="273" t="s">
        <v>2923</v>
      </c>
      <c r="D60" s="273" t="s">
        <v>2921</v>
      </c>
      <c r="E60" s="273" t="s">
        <v>2852</v>
      </c>
      <c r="F60" s="273" t="s">
        <v>2849</v>
      </c>
      <c r="G60" s="273" t="s">
        <v>2848</v>
      </c>
    </row>
    <row r="61" spans="1:7">
      <c r="A61" s="273">
        <v>5</v>
      </c>
      <c r="B61" s="273" t="s">
        <v>2968</v>
      </c>
      <c r="C61" s="273" t="s">
        <v>2923</v>
      </c>
      <c r="D61" s="273" t="s">
        <v>2921</v>
      </c>
      <c r="E61" s="273" t="s">
        <v>2852</v>
      </c>
      <c r="F61" s="273" t="s">
        <v>2847</v>
      </c>
      <c r="G61" s="273" t="s">
        <v>2846</v>
      </c>
    </row>
    <row r="62" spans="1:7">
      <c r="A62" s="273">
        <v>5</v>
      </c>
      <c r="B62" s="273" t="s">
        <v>2968</v>
      </c>
      <c r="C62" s="273" t="s">
        <v>2923</v>
      </c>
      <c r="D62" s="273" t="s">
        <v>2921</v>
      </c>
      <c r="E62" s="273" t="s">
        <v>2852</v>
      </c>
      <c r="F62" s="273" t="s">
        <v>2845</v>
      </c>
      <c r="G62" s="273" t="s">
        <v>2844</v>
      </c>
    </row>
    <row r="63" spans="1:7">
      <c r="A63" s="273">
        <v>5</v>
      </c>
      <c r="B63" s="273" t="s">
        <v>2968</v>
      </c>
      <c r="C63" s="273" t="s">
        <v>2923</v>
      </c>
      <c r="D63" s="273" t="s">
        <v>2921</v>
      </c>
      <c r="E63" s="273" t="s">
        <v>2852</v>
      </c>
      <c r="F63" s="273" t="s">
        <v>2843</v>
      </c>
      <c r="G63" s="273" t="s">
        <v>2842</v>
      </c>
    </row>
    <row r="64" spans="1:7">
      <c r="A64" s="273">
        <v>5</v>
      </c>
      <c r="B64" s="273" t="s">
        <v>2968</v>
      </c>
      <c r="C64" s="273" t="s">
        <v>2923</v>
      </c>
      <c r="D64" s="273" t="s">
        <v>2921</v>
      </c>
      <c r="E64" s="273" t="s">
        <v>2852</v>
      </c>
      <c r="F64" s="273" t="s">
        <v>2841</v>
      </c>
      <c r="G64" s="273" t="s">
        <v>2840</v>
      </c>
    </row>
    <row r="65" spans="1:7">
      <c r="A65" s="273">
        <v>5</v>
      </c>
      <c r="B65" s="273" t="s">
        <v>2968</v>
      </c>
      <c r="C65" s="273" t="s">
        <v>2923</v>
      </c>
      <c r="D65" s="273" t="s">
        <v>2921</v>
      </c>
      <c r="E65" s="273" t="s">
        <v>2852</v>
      </c>
      <c r="F65" s="273" t="s">
        <v>2839</v>
      </c>
      <c r="G65" s="273" t="s">
        <v>2838</v>
      </c>
    </row>
    <row r="66" spans="1:7">
      <c r="A66" s="273">
        <v>4</v>
      </c>
      <c r="B66" s="273" t="s">
        <v>2968</v>
      </c>
      <c r="C66" s="273" t="s">
        <v>2923</v>
      </c>
      <c r="D66" s="273" t="s">
        <v>2921</v>
      </c>
      <c r="E66" s="273" t="s">
        <v>2852</v>
      </c>
    </row>
    <row r="67" spans="1:7">
      <c r="A67" s="273">
        <v>4</v>
      </c>
      <c r="B67" s="273" t="s">
        <v>2968</v>
      </c>
      <c r="C67" s="273" t="s">
        <v>2923</v>
      </c>
      <c r="D67" s="273" t="s">
        <v>2921</v>
      </c>
      <c r="E67" s="273" t="s">
        <v>2837</v>
      </c>
      <c r="F67" s="273" t="s">
        <v>2837</v>
      </c>
      <c r="G67" s="273" t="s">
        <v>2836</v>
      </c>
    </row>
    <row r="68" spans="1:7">
      <c r="A68" s="273">
        <v>5</v>
      </c>
      <c r="B68" s="273" t="s">
        <v>2968</v>
      </c>
      <c r="C68" s="273" t="s">
        <v>2923</v>
      </c>
      <c r="D68" s="273" t="s">
        <v>2921</v>
      </c>
      <c r="E68" s="273" t="s">
        <v>2837</v>
      </c>
      <c r="F68" s="273" t="s">
        <v>2834</v>
      </c>
      <c r="G68" s="273" t="s">
        <v>2833</v>
      </c>
    </row>
    <row r="69" spans="1:7">
      <c r="A69" s="273">
        <v>5</v>
      </c>
      <c r="B69" s="273" t="s">
        <v>2968</v>
      </c>
      <c r="C69" s="273" t="s">
        <v>2923</v>
      </c>
      <c r="D69" s="273" t="s">
        <v>2921</v>
      </c>
      <c r="E69" s="273" t="s">
        <v>2837</v>
      </c>
      <c r="F69" s="273" t="s">
        <v>2832</v>
      </c>
      <c r="G69" s="273" t="s">
        <v>2831</v>
      </c>
    </row>
    <row r="70" spans="1:7">
      <c r="A70" s="273">
        <v>5</v>
      </c>
      <c r="B70" s="273" t="s">
        <v>2968</v>
      </c>
      <c r="C70" s="273" t="s">
        <v>2923</v>
      </c>
      <c r="D70" s="273" t="s">
        <v>2921</v>
      </c>
      <c r="E70" s="273" t="s">
        <v>2837</v>
      </c>
      <c r="F70" s="273" t="s">
        <v>2830</v>
      </c>
      <c r="G70" s="273" t="s">
        <v>2829</v>
      </c>
    </row>
    <row r="71" spans="1:7">
      <c r="A71" s="273">
        <v>5</v>
      </c>
      <c r="B71" s="273" t="s">
        <v>2968</v>
      </c>
      <c r="C71" s="273" t="s">
        <v>2923</v>
      </c>
      <c r="D71" s="273" t="s">
        <v>2921</v>
      </c>
      <c r="E71" s="273" t="s">
        <v>2837</v>
      </c>
      <c r="F71" s="273" t="s">
        <v>2828</v>
      </c>
      <c r="G71" s="273" t="s">
        <v>2827</v>
      </c>
    </row>
    <row r="72" spans="1:7">
      <c r="A72" s="273">
        <v>4</v>
      </c>
      <c r="B72" s="273" t="s">
        <v>2968</v>
      </c>
      <c r="C72" s="273" t="s">
        <v>2923</v>
      </c>
      <c r="D72" s="273" t="s">
        <v>2921</v>
      </c>
      <c r="E72" s="273" t="s">
        <v>2837</v>
      </c>
    </row>
    <row r="73" spans="1:7">
      <c r="A73" s="273">
        <v>4</v>
      </c>
      <c r="B73" s="273" t="s">
        <v>2968</v>
      </c>
      <c r="C73" s="273" t="s">
        <v>2923</v>
      </c>
      <c r="D73" s="273" t="s">
        <v>2921</v>
      </c>
      <c r="E73" s="273" t="s">
        <v>2837</v>
      </c>
    </row>
    <row r="74" spans="1:7">
      <c r="A74" s="273">
        <v>3</v>
      </c>
      <c r="B74" s="273" t="s">
        <v>2968</v>
      </c>
      <c r="C74" s="273" t="s">
        <v>2923</v>
      </c>
      <c r="D74" s="273" t="s">
        <v>2826</v>
      </c>
      <c r="E74" s="273" t="s">
        <v>2826</v>
      </c>
      <c r="F74" s="273" t="s">
        <v>2826</v>
      </c>
      <c r="G74" s="273" t="s">
        <v>2825</v>
      </c>
    </row>
    <row r="75" spans="1:7">
      <c r="A75" s="273">
        <v>4</v>
      </c>
      <c r="B75" s="273" t="s">
        <v>2968</v>
      </c>
      <c r="C75" s="273" t="s">
        <v>2923</v>
      </c>
      <c r="D75" s="273" t="s">
        <v>2826</v>
      </c>
      <c r="E75" s="273" t="s">
        <v>2824</v>
      </c>
      <c r="F75" s="273" t="s">
        <v>2824</v>
      </c>
      <c r="G75" s="273" t="s">
        <v>2823</v>
      </c>
    </row>
    <row r="76" spans="1:7">
      <c r="A76" s="273">
        <v>5</v>
      </c>
      <c r="B76" s="273" t="s">
        <v>2968</v>
      </c>
      <c r="C76" s="273" t="s">
        <v>2923</v>
      </c>
      <c r="D76" s="273" t="s">
        <v>2826</v>
      </c>
      <c r="E76" s="273" t="s">
        <v>2824</v>
      </c>
      <c r="F76" s="273" t="s">
        <v>2821</v>
      </c>
      <c r="G76" s="273" t="s">
        <v>2820</v>
      </c>
    </row>
    <row r="77" spans="1:7">
      <c r="A77" s="273">
        <v>5</v>
      </c>
      <c r="B77" s="273" t="s">
        <v>2968</v>
      </c>
      <c r="C77" s="273" t="s">
        <v>2923</v>
      </c>
      <c r="D77" s="273" t="s">
        <v>2826</v>
      </c>
      <c r="E77" s="273" t="s">
        <v>2824</v>
      </c>
      <c r="F77" s="273" t="s">
        <v>2819</v>
      </c>
      <c r="G77" s="273" t="s">
        <v>2818</v>
      </c>
    </row>
    <row r="78" spans="1:7">
      <c r="A78" s="273">
        <v>5</v>
      </c>
      <c r="B78" s="273" t="s">
        <v>2968</v>
      </c>
      <c r="C78" s="273" t="s">
        <v>2923</v>
      </c>
      <c r="D78" s="273" t="s">
        <v>2826</v>
      </c>
      <c r="E78" s="273" t="s">
        <v>2824</v>
      </c>
      <c r="F78" s="273" t="s">
        <v>2817</v>
      </c>
      <c r="G78" s="273" t="s">
        <v>2816</v>
      </c>
    </row>
    <row r="79" spans="1:7">
      <c r="A79" s="273">
        <v>5</v>
      </c>
      <c r="B79" s="273" t="s">
        <v>2968</v>
      </c>
      <c r="C79" s="273" t="s">
        <v>2923</v>
      </c>
      <c r="D79" s="273" t="s">
        <v>2826</v>
      </c>
      <c r="E79" s="273" t="s">
        <v>2824</v>
      </c>
      <c r="F79" s="273" t="s">
        <v>2815</v>
      </c>
      <c r="G79" s="273" t="s">
        <v>2814</v>
      </c>
    </row>
    <row r="80" spans="1:7">
      <c r="A80" s="273">
        <v>5</v>
      </c>
      <c r="B80" s="273" t="s">
        <v>2968</v>
      </c>
      <c r="C80" s="273" t="s">
        <v>2923</v>
      </c>
      <c r="D80" s="273" t="s">
        <v>2826</v>
      </c>
      <c r="E80" s="273" t="s">
        <v>2824</v>
      </c>
      <c r="F80" s="273" t="s">
        <v>2813</v>
      </c>
      <c r="G80" s="273" t="s">
        <v>2812</v>
      </c>
    </row>
    <row r="81" spans="1:7">
      <c r="A81" s="273">
        <v>5</v>
      </c>
      <c r="B81" s="273" t="s">
        <v>2968</v>
      </c>
      <c r="C81" s="273" t="s">
        <v>2923</v>
      </c>
      <c r="D81" s="273" t="s">
        <v>2826</v>
      </c>
      <c r="E81" s="273" t="s">
        <v>2824</v>
      </c>
      <c r="F81" s="273" t="s">
        <v>2811</v>
      </c>
      <c r="G81" s="273" t="s">
        <v>2810</v>
      </c>
    </row>
    <row r="82" spans="1:7">
      <c r="A82" s="273">
        <v>5</v>
      </c>
      <c r="B82" s="273" t="s">
        <v>2968</v>
      </c>
      <c r="C82" s="273" t="s">
        <v>2923</v>
      </c>
      <c r="D82" s="273" t="s">
        <v>2826</v>
      </c>
      <c r="E82" s="273" t="s">
        <v>2824</v>
      </c>
      <c r="F82" s="273" t="s">
        <v>2809</v>
      </c>
      <c r="G82" s="273" t="s">
        <v>2808</v>
      </c>
    </row>
    <row r="83" spans="1:7">
      <c r="A83" s="273">
        <v>5</v>
      </c>
      <c r="B83" s="273" t="s">
        <v>2968</v>
      </c>
      <c r="C83" s="273" t="s">
        <v>2923</v>
      </c>
      <c r="D83" s="273" t="s">
        <v>2826</v>
      </c>
      <c r="E83" s="273" t="s">
        <v>2824</v>
      </c>
      <c r="F83" s="273" t="s">
        <v>2807</v>
      </c>
      <c r="G83" s="273" t="s">
        <v>2806</v>
      </c>
    </row>
    <row r="84" spans="1:7">
      <c r="A84" s="273">
        <v>5</v>
      </c>
      <c r="B84" s="273" t="s">
        <v>2968</v>
      </c>
      <c r="C84" s="273" t="s">
        <v>2923</v>
      </c>
      <c r="D84" s="273" t="s">
        <v>2826</v>
      </c>
      <c r="E84" s="273" t="s">
        <v>2824</v>
      </c>
      <c r="F84" s="273" t="s">
        <v>2805</v>
      </c>
      <c r="G84" s="273" t="s">
        <v>2804</v>
      </c>
    </row>
    <row r="85" spans="1:7">
      <c r="A85" s="273">
        <v>5</v>
      </c>
      <c r="B85" s="273" t="s">
        <v>2968</v>
      </c>
      <c r="C85" s="273" t="s">
        <v>2923</v>
      </c>
      <c r="D85" s="273" t="s">
        <v>2826</v>
      </c>
      <c r="E85" s="273" t="s">
        <v>2824</v>
      </c>
      <c r="F85" s="273" t="s">
        <v>2803</v>
      </c>
      <c r="G85" s="273" t="s">
        <v>2802</v>
      </c>
    </row>
    <row r="86" spans="1:7">
      <c r="A86" s="273">
        <v>5</v>
      </c>
      <c r="B86" s="273" t="s">
        <v>2968</v>
      </c>
      <c r="C86" s="273" t="s">
        <v>2923</v>
      </c>
      <c r="D86" s="273" t="s">
        <v>2826</v>
      </c>
      <c r="E86" s="273" t="s">
        <v>2824</v>
      </c>
      <c r="F86" s="273" t="s">
        <v>2801</v>
      </c>
      <c r="G86" s="273" t="s">
        <v>2800</v>
      </c>
    </row>
    <row r="87" spans="1:7">
      <c r="A87" s="273">
        <v>5</v>
      </c>
      <c r="B87" s="273" t="s">
        <v>2968</v>
      </c>
      <c r="C87" s="273" t="s">
        <v>2923</v>
      </c>
      <c r="D87" s="273" t="s">
        <v>2826</v>
      </c>
      <c r="E87" s="273" t="s">
        <v>2824</v>
      </c>
      <c r="F87" s="273" t="s">
        <v>2799</v>
      </c>
      <c r="G87" s="273" t="s">
        <v>2798</v>
      </c>
    </row>
    <row r="88" spans="1:7">
      <c r="A88" s="273">
        <v>5</v>
      </c>
      <c r="B88" s="273" t="s">
        <v>2968</v>
      </c>
      <c r="C88" s="273" t="s">
        <v>2923</v>
      </c>
      <c r="D88" s="273" t="s">
        <v>2826</v>
      </c>
      <c r="E88" s="273" t="s">
        <v>2824</v>
      </c>
      <c r="F88" s="273" t="s">
        <v>2797</v>
      </c>
      <c r="G88" s="273" t="s">
        <v>2796</v>
      </c>
    </row>
    <row r="89" spans="1:7">
      <c r="A89" s="273">
        <v>5</v>
      </c>
      <c r="B89" s="273" t="s">
        <v>2968</v>
      </c>
      <c r="C89" s="273" t="s">
        <v>2923</v>
      </c>
      <c r="D89" s="273" t="s">
        <v>2826</v>
      </c>
      <c r="E89" s="273" t="s">
        <v>2824</v>
      </c>
      <c r="F89" s="273" t="s">
        <v>2795</v>
      </c>
      <c r="G89" s="273" t="s">
        <v>2794</v>
      </c>
    </row>
    <row r="90" spans="1:7">
      <c r="A90" s="273">
        <v>5</v>
      </c>
      <c r="B90" s="273" t="s">
        <v>2968</v>
      </c>
      <c r="C90" s="273" t="s">
        <v>2923</v>
      </c>
      <c r="D90" s="273" t="s">
        <v>2826</v>
      </c>
      <c r="E90" s="273" t="s">
        <v>2824</v>
      </c>
      <c r="F90" s="273" t="s">
        <v>2793</v>
      </c>
      <c r="G90" s="273" t="s">
        <v>2792</v>
      </c>
    </row>
    <row r="91" spans="1:7">
      <c r="A91" s="273">
        <v>5</v>
      </c>
      <c r="B91" s="273" t="s">
        <v>2968</v>
      </c>
      <c r="C91" s="273" t="s">
        <v>2923</v>
      </c>
      <c r="D91" s="273" t="s">
        <v>2826</v>
      </c>
      <c r="E91" s="273" t="s">
        <v>2824</v>
      </c>
      <c r="F91" s="273" t="s">
        <v>2791</v>
      </c>
      <c r="G91" s="273" t="s">
        <v>2790</v>
      </c>
    </row>
    <row r="92" spans="1:7">
      <c r="A92" s="273">
        <v>4</v>
      </c>
      <c r="B92" s="273" t="s">
        <v>2968</v>
      </c>
      <c r="C92" s="273" t="s">
        <v>2923</v>
      </c>
      <c r="D92" s="273" t="s">
        <v>2826</v>
      </c>
      <c r="E92" s="273" t="s">
        <v>2824</v>
      </c>
    </row>
    <row r="93" spans="1:7">
      <c r="A93" s="273">
        <v>4</v>
      </c>
      <c r="B93" s="273" t="s">
        <v>2968</v>
      </c>
      <c r="C93" s="273" t="s">
        <v>2923</v>
      </c>
      <c r="D93" s="273" t="s">
        <v>2826</v>
      </c>
      <c r="E93" s="273" t="s">
        <v>2824</v>
      </c>
    </row>
    <row r="94" spans="1:7">
      <c r="A94" s="273">
        <v>3</v>
      </c>
      <c r="B94" s="273" t="s">
        <v>2968</v>
      </c>
      <c r="C94" s="273" t="s">
        <v>2923</v>
      </c>
      <c r="D94" s="273" t="s">
        <v>2788</v>
      </c>
      <c r="E94" s="273" t="s">
        <v>2788</v>
      </c>
      <c r="F94" s="273" t="s">
        <v>2788</v>
      </c>
      <c r="G94" s="273" t="s">
        <v>2787</v>
      </c>
    </row>
    <row r="95" spans="1:7">
      <c r="A95" s="273">
        <v>4</v>
      </c>
      <c r="B95" s="273" t="s">
        <v>2968</v>
      </c>
      <c r="C95" s="273" t="s">
        <v>2923</v>
      </c>
      <c r="D95" s="273" t="s">
        <v>2788</v>
      </c>
      <c r="E95" s="273" t="s">
        <v>2785</v>
      </c>
      <c r="F95" s="273" t="s">
        <v>2785</v>
      </c>
      <c r="G95" s="273" t="s">
        <v>2784</v>
      </c>
    </row>
    <row r="96" spans="1:7">
      <c r="A96" s="273">
        <v>5</v>
      </c>
      <c r="B96" s="273" t="s">
        <v>2968</v>
      </c>
      <c r="C96" s="273" t="s">
        <v>2923</v>
      </c>
      <c r="D96" s="273" t="s">
        <v>2788</v>
      </c>
      <c r="E96" s="273" t="s">
        <v>2785</v>
      </c>
      <c r="F96" s="273" t="s">
        <v>2782</v>
      </c>
      <c r="G96" s="273" t="s">
        <v>2781</v>
      </c>
    </row>
    <row r="97" spans="1:7">
      <c r="A97" s="273">
        <v>5</v>
      </c>
      <c r="B97" s="273" t="s">
        <v>2968</v>
      </c>
      <c r="C97" s="273" t="s">
        <v>2923</v>
      </c>
      <c r="D97" s="273" t="s">
        <v>2788</v>
      </c>
      <c r="E97" s="273" t="s">
        <v>2785</v>
      </c>
      <c r="F97" s="273" t="s">
        <v>2780</v>
      </c>
      <c r="G97" s="273" t="s">
        <v>2779</v>
      </c>
    </row>
    <row r="98" spans="1:7">
      <c r="A98" s="273">
        <v>5</v>
      </c>
      <c r="B98" s="273" t="s">
        <v>2968</v>
      </c>
      <c r="C98" s="273" t="s">
        <v>2923</v>
      </c>
      <c r="D98" s="273" t="s">
        <v>2788</v>
      </c>
      <c r="E98" s="273" t="s">
        <v>2785</v>
      </c>
      <c r="F98" s="273" t="s">
        <v>2778</v>
      </c>
      <c r="G98" s="273" t="s">
        <v>2777</v>
      </c>
    </row>
    <row r="99" spans="1:7">
      <c r="A99" s="273">
        <v>5</v>
      </c>
      <c r="B99" s="273" t="s">
        <v>2968</v>
      </c>
      <c r="C99" s="273" t="s">
        <v>2923</v>
      </c>
      <c r="D99" s="273" t="s">
        <v>2788</v>
      </c>
      <c r="E99" s="273" t="s">
        <v>2785</v>
      </c>
      <c r="F99" s="273" t="s">
        <v>2776</v>
      </c>
      <c r="G99" s="273" t="s">
        <v>2775</v>
      </c>
    </row>
    <row r="100" spans="1:7">
      <c r="A100" s="273">
        <v>5</v>
      </c>
      <c r="B100" s="273" t="s">
        <v>2968</v>
      </c>
      <c r="C100" s="273" t="s">
        <v>2923</v>
      </c>
      <c r="D100" s="273" t="s">
        <v>2788</v>
      </c>
      <c r="E100" s="273" t="s">
        <v>2785</v>
      </c>
      <c r="F100" s="273" t="s">
        <v>2774</v>
      </c>
      <c r="G100" s="273" t="s">
        <v>2773</v>
      </c>
    </row>
    <row r="101" spans="1:7">
      <c r="A101" s="273">
        <v>5</v>
      </c>
      <c r="B101" s="273" t="s">
        <v>2968</v>
      </c>
      <c r="C101" s="273" t="s">
        <v>2923</v>
      </c>
      <c r="D101" s="273" t="s">
        <v>2788</v>
      </c>
      <c r="E101" s="273" t="s">
        <v>2785</v>
      </c>
      <c r="F101" s="273" t="s">
        <v>2772</v>
      </c>
      <c r="G101" s="273" t="s">
        <v>2771</v>
      </c>
    </row>
    <row r="102" spans="1:7">
      <c r="A102" s="273">
        <v>4</v>
      </c>
      <c r="B102" s="273" t="s">
        <v>2968</v>
      </c>
      <c r="C102" s="273" t="s">
        <v>2923</v>
      </c>
      <c r="D102" s="273" t="s">
        <v>2788</v>
      </c>
      <c r="E102" s="273" t="s">
        <v>2785</v>
      </c>
    </row>
    <row r="103" spans="1:7">
      <c r="A103" s="273">
        <v>4</v>
      </c>
      <c r="B103" s="273" t="s">
        <v>2968</v>
      </c>
      <c r="C103" s="273" t="s">
        <v>2923</v>
      </c>
      <c r="D103" s="273" t="s">
        <v>2788</v>
      </c>
      <c r="E103" s="273" t="s">
        <v>2770</v>
      </c>
      <c r="F103" s="273" t="s">
        <v>2770</v>
      </c>
      <c r="G103" s="273" t="s">
        <v>2769</v>
      </c>
    </row>
    <row r="104" spans="1:7">
      <c r="A104" s="273">
        <v>5</v>
      </c>
      <c r="B104" s="273" t="s">
        <v>2968</v>
      </c>
      <c r="C104" s="273" t="s">
        <v>2923</v>
      </c>
      <c r="D104" s="273" t="s">
        <v>2788</v>
      </c>
      <c r="E104" s="273" t="s">
        <v>2770</v>
      </c>
      <c r="F104" s="273" t="s">
        <v>2767</v>
      </c>
      <c r="G104" s="273" t="s">
        <v>2980</v>
      </c>
    </row>
    <row r="105" spans="1:7">
      <c r="A105" s="273">
        <v>4</v>
      </c>
      <c r="B105" s="273" t="s">
        <v>2968</v>
      </c>
      <c r="C105" s="273" t="s">
        <v>2923</v>
      </c>
      <c r="D105" s="273" t="s">
        <v>2788</v>
      </c>
      <c r="E105" s="273" t="s">
        <v>2770</v>
      </c>
    </row>
    <row r="106" spans="1:7">
      <c r="A106" s="273">
        <v>4</v>
      </c>
      <c r="B106" s="273" t="s">
        <v>2968</v>
      </c>
      <c r="C106" s="273" t="s">
        <v>2923</v>
      </c>
      <c r="D106" s="273" t="s">
        <v>2788</v>
      </c>
      <c r="E106" s="273" t="s">
        <v>2766</v>
      </c>
      <c r="F106" s="273" t="s">
        <v>2766</v>
      </c>
      <c r="G106" s="273" t="s">
        <v>2765</v>
      </c>
    </row>
    <row r="107" spans="1:7">
      <c r="A107" s="273">
        <v>5</v>
      </c>
      <c r="B107" s="273" t="s">
        <v>2968</v>
      </c>
      <c r="C107" s="273" t="s">
        <v>2923</v>
      </c>
      <c r="D107" s="273" t="s">
        <v>2788</v>
      </c>
      <c r="E107" s="273" t="s">
        <v>2766</v>
      </c>
      <c r="F107" s="273" t="s">
        <v>2763</v>
      </c>
      <c r="G107" s="273" t="s">
        <v>2980</v>
      </c>
    </row>
    <row r="108" spans="1:7">
      <c r="A108" s="273">
        <v>4</v>
      </c>
      <c r="B108" s="273" t="s">
        <v>2968</v>
      </c>
      <c r="C108" s="273" t="s">
        <v>2923</v>
      </c>
      <c r="D108" s="273" t="s">
        <v>2788</v>
      </c>
      <c r="E108" s="273" t="s">
        <v>2766</v>
      </c>
    </row>
    <row r="109" spans="1:7">
      <c r="A109" s="273">
        <v>4</v>
      </c>
      <c r="B109" s="273" t="s">
        <v>2968</v>
      </c>
      <c r="C109" s="273" t="s">
        <v>2923</v>
      </c>
      <c r="D109" s="273" t="s">
        <v>2788</v>
      </c>
      <c r="E109" s="273" t="s">
        <v>2762</v>
      </c>
      <c r="F109" s="273" t="s">
        <v>2762</v>
      </c>
      <c r="G109" s="273" t="s">
        <v>2761</v>
      </c>
    </row>
    <row r="110" spans="1:7">
      <c r="A110" s="273">
        <v>5</v>
      </c>
      <c r="B110" s="273" t="s">
        <v>2968</v>
      </c>
      <c r="C110" s="273" t="s">
        <v>2923</v>
      </c>
      <c r="D110" s="273" t="s">
        <v>2788</v>
      </c>
      <c r="E110" s="273" t="s">
        <v>2762</v>
      </c>
      <c r="F110" s="273" t="s">
        <v>2759</v>
      </c>
      <c r="G110" s="273" t="s">
        <v>2980</v>
      </c>
    </row>
    <row r="111" spans="1:7">
      <c r="A111" s="273">
        <v>4</v>
      </c>
      <c r="B111" s="273" t="s">
        <v>2968</v>
      </c>
      <c r="C111" s="273" t="s">
        <v>2923</v>
      </c>
      <c r="D111" s="273" t="s">
        <v>2788</v>
      </c>
      <c r="E111" s="273" t="s">
        <v>2762</v>
      </c>
    </row>
    <row r="112" spans="1:7">
      <c r="A112" s="273">
        <v>4</v>
      </c>
      <c r="B112" s="273" t="s">
        <v>2968</v>
      </c>
      <c r="C112" s="273" t="s">
        <v>2923</v>
      </c>
      <c r="D112" s="273" t="s">
        <v>2788</v>
      </c>
      <c r="E112" s="273" t="s">
        <v>2762</v>
      </c>
    </row>
    <row r="113" spans="1:7">
      <c r="A113" s="273">
        <v>3</v>
      </c>
      <c r="B113" s="273" t="s">
        <v>2968</v>
      </c>
      <c r="C113" s="273" t="s">
        <v>2923</v>
      </c>
      <c r="D113" s="273" t="s">
        <v>2757</v>
      </c>
      <c r="E113" s="273" t="s">
        <v>2757</v>
      </c>
      <c r="F113" s="273" t="s">
        <v>2757</v>
      </c>
      <c r="G113" s="273" t="s">
        <v>2756</v>
      </c>
    </row>
    <row r="114" spans="1:7">
      <c r="A114" s="273">
        <v>4</v>
      </c>
      <c r="B114" s="273" t="s">
        <v>2968</v>
      </c>
      <c r="C114" s="273" t="s">
        <v>2923</v>
      </c>
      <c r="D114" s="273" t="s">
        <v>2757</v>
      </c>
      <c r="E114" s="273" t="s">
        <v>2754</v>
      </c>
      <c r="F114" s="273" t="s">
        <v>2754</v>
      </c>
      <c r="G114" s="273" t="s">
        <v>2981</v>
      </c>
    </row>
    <row r="115" spans="1:7">
      <c r="A115" s="273">
        <v>5</v>
      </c>
      <c r="B115" s="273" t="s">
        <v>2968</v>
      </c>
      <c r="C115" s="273" t="s">
        <v>2923</v>
      </c>
      <c r="D115" s="273" t="s">
        <v>2757</v>
      </c>
      <c r="E115" s="273" t="s">
        <v>2754</v>
      </c>
      <c r="F115" s="273" t="s">
        <v>2751</v>
      </c>
      <c r="G115" s="273" t="s">
        <v>2982</v>
      </c>
    </row>
    <row r="116" spans="1:7">
      <c r="A116" s="273">
        <v>5</v>
      </c>
      <c r="B116" s="273" t="s">
        <v>2968</v>
      </c>
      <c r="C116" s="273" t="s">
        <v>2923</v>
      </c>
      <c r="D116" s="273" t="s">
        <v>2757</v>
      </c>
      <c r="E116" s="273" t="s">
        <v>2754</v>
      </c>
      <c r="F116" s="273" t="s">
        <v>2749</v>
      </c>
      <c r="G116" s="273" t="s">
        <v>2983</v>
      </c>
    </row>
    <row r="117" spans="1:7">
      <c r="A117" s="273">
        <v>5</v>
      </c>
      <c r="B117" s="273" t="s">
        <v>2968</v>
      </c>
      <c r="C117" s="273" t="s">
        <v>2923</v>
      </c>
      <c r="D117" s="273" t="s">
        <v>2757</v>
      </c>
      <c r="E117" s="273" t="s">
        <v>2754</v>
      </c>
      <c r="F117" s="273" t="s">
        <v>2747</v>
      </c>
      <c r="G117" s="273" t="s">
        <v>2984</v>
      </c>
    </row>
    <row r="118" spans="1:7">
      <c r="A118" s="273">
        <v>5</v>
      </c>
      <c r="B118" s="273" t="s">
        <v>2968</v>
      </c>
      <c r="C118" s="273" t="s">
        <v>2923</v>
      </c>
      <c r="D118" s="273" t="s">
        <v>2757</v>
      </c>
      <c r="E118" s="273" t="s">
        <v>2754</v>
      </c>
      <c r="F118" s="273" t="s">
        <v>2745</v>
      </c>
      <c r="G118" s="273" t="s">
        <v>2985</v>
      </c>
    </row>
    <row r="119" spans="1:7">
      <c r="A119" s="273">
        <v>5</v>
      </c>
      <c r="B119" s="273" t="s">
        <v>2968</v>
      </c>
      <c r="C119" s="273" t="s">
        <v>2923</v>
      </c>
      <c r="D119" s="273" t="s">
        <v>2757</v>
      </c>
      <c r="E119" s="273" t="s">
        <v>2754</v>
      </c>
      <c r="F119" s="273" t="s">
        <v>2743</v>
      </c>
      <c r="G119" s="273" t="s">
        <v>2986</v>
      </c>
    </row>
    <row r="120" spans="1:7">
      <c r="A120" s="273">
        <v>4</v>
      </c>
      <c r="B120" s="273" t="s">
        <v>2968</v>
      </c>
      <c r="C120" s="273" t="s">
        <v>2923</v>
      </c>
      <c r="D120" s="273" t="s">
        <v>2757</v>
      </c>
      <c r="E120" s="273" t="s">
        <v>2754</v>
      </c>
    </row>
    <row r="121" spans="1:7">
      <c r="A121" s="273">
        <v>4</v>
      </c>
      <c r="B121" s="273" t="s">
        <v>2968</v>
      </c>
      <c r="C121" s="273" t="s">
        <v>2923</v>
      </c>
      <c r="D121" s="273" t="s">
        <v>2757</v>
      </c>
      <c r="E121" s="273" t="s">
        <v>2754</v>
      </c>
    </row>
    <row r="122" spans="1:7">
      <c r="A122" s="273">
        <v>3</v>
      </c>
      <c r="B122" s="273" t="s">
        <v>2968</v>
      </c>
      <c r="C122" s="273" t="s">
        <v>2923</v>
      </c>
      <c r="D122" s="273" t="s">
        <v>2741</v>
      </c>
      <c r="E122" s="273" t="s">
        <v>2741</v>
      </c>
      <c r="F122" s="273" t="s">
        <v>2741</v>
      </c>
      <c r="G122" s="273" t="s">
        <v>2740</v>
      </c>
    </row>
    <row r="123" spans="1:7">
      <c r="A123" s="273">
        <v>4</v>
      </c>
      <c r="B123" s="273" t="s">
        <v>2968</v>
      </c>
      <c r="C123" s="273" t="s">
        <v>2923</v>
      </c>
      <c r="D123" s="273" t="s">
        <v>2741</v>
      </c>
      <c r="E123" s="273" t="s">
        <v>2738</v>
      </c>
      <c r="F123" s="273" t="s">
        <v>2738</v>
      </c>
      <c r="G123" s="273" t="s">
        <v>2737</v>
      </c>
    </row>
    <row r="124" spans="1:7">
      <c r="A124" s="273">
        <v>5</v>
      </c>
      <c r="B124" s="273" t="s">
        <v>2968</v>
      </c>
      <c r="C124" s="273" t="s">
        <v>2923</v>
      </c>
      <c r="D124" s="273" t="s">
        <v>2741</v>
      </c>
      <c r="E124" s="273" t="s">
        <v>2738</v>
      </c>
      <c r="F124" s="273" t="s">
        <v>2736</v>
      </c>
      <c r="G124" s="273" t="s">
        <v>2735</v>
      </c>
    </row>
    <row r="125" spans="1:7">
      <c r="A125" s="273">
        <v>5</v>
      </c>
      <c r="B125" s="273" t="s">
        <v>2968</v>
      </c>
      <c r="C125" s="273" t="s">
        <v>2923</v>
      </c>
      <c r="D125" s="273" t="s">
        <v>2741</v>
      </c>
      <c r="E125" s="273" t="s">
        <v>2738</v>
      </c>
      <c r="F125" s="273" t="s">
        <v>2734</v>
      </c>
      <c r="G125" s="273" t="s">
        <v>2987</v>
      </c>
    </row>
    <row r="126" spans="1:7">
      <c r="A126" s="273">
        <v>5</v>
      </c>
      <c r="B126" s="273" t="s">
        <v>2968</v>
      </c>
      <c r="C126" s="273" t="s">
        <v>2923</v>
      </c>
      <c r="D126" s="273" t="s">
        <v>2741</v>
      </c>
      <c r="E126" s="273" t="s">
        <v>2738</v>
      </c>
      <c r="F126" s="273" t="s">
        <v>2732</v>
      </c>
      <c r="G126" s="273" t="s">
        <v>2731</v>
      </c>
    </row>
    <row r="127" spans="1:7">
      <c r="A127" s="273">
        <v>5</v>
      </c>
      <c r="B127" s="273" t="s">
        <v>2968</v>
      </c>
      <c r="C127" s="273" t="s">
        <v>2923</v>
      </c>
      <c r="D127" s="273" t="s">
        <v>2741</v>
      </c>
      <c r="E127" s="273" t="s">
        <v>2738</v>
      </c>
      <c r="F127" s="273" t="s">
        <v>2730</v>
      </c>
      <c r="G127" s="273" t="s">
        <v>2988</v>
      </c>
    </row>
    <row r="128" spans="1:7">
      <c r="A128" s="273">
        <v>4</v>
      </c>
      <c r="B128" s="273" t="s">
        <v>2968</v>
      </c>
      <c r="C128" s="273" t="s">
        <v>2923</v>
      </c>
      <c r="D128" s="273" t="s">
        <v>2741</v>
      </c>
      <c r="E128" s="273" t="s">
        <v>2738</v>
      </c>
    </row>
    <row r="129" spans="1:7">
      <c r="A129" s="273">
        <v>4</v>
      </c>
      <c r="B129" s="273" t="s">
        <v>2968</v>
      </c>
      <c r="C129" s="273" t="s">
        <v>2923</v>
      </c>
      <c r="D129" s="273" t="s">
        <v>2741</v>
      </c>
      <c r="E129" s="273" t="s">
        <v>2728</v>
      </c>
      <c r="F129" s="273" t="s">
        <v>2728</v>
      </c>
      <c r="G129" s="273" t="s">
        <v>2727</v>
      </c>
    </row>
    <row r="130" spans="1:7">
      <c r="A130" s="273">
        <v>5</v>
      </c>
      <c r="B130" s="273" t="s">
        <v>2968</v>
      </c>
      <c r="C130" s="273" t="s">
        <v>2923</v>
      </c>
      <c r="D130" s="273" t="s">
        <v>2741</v>
      </c>
      <c r="E130" s="273" t="s">
        <v>2728</v>
      </c>
      <c r="F130" s="273" t="s">
        <v>2726</v>
      </c>
      <c r="G130" s="273" t="s">
        <v>2989</v>
      </c>
    </row>
    <row r="131" spans="1:7">
      <c r="A131" s="273">
        <v>5</v>
      </c>
      <c r="B131" s="273" t="s">
        <v>2968</v>
      </c>
      <c r="C131" s="273" t="s">
        <v>2923</v>
      </c>
      <c r="D131" s="273" t="s">
        <v>2741</v>
      </c>
      <c r="E131" s="273" t="s">
        <v>2728</v>
      </c>
      <c r="F131" s="273" t="s">
        <v>2724</v>
      </c>
      <c r="G131" s="273" t="s">
        <v>2723</v>
      </c>
    </row>
    <row r="132" spans="1:7">
      <c r="A132" s="273">
        <v>5</v>
      </c>
      <c r="B132" s="273" t="s">
        <v>2968</v>
      </c>
      <c r="C132" s="273" t="s">
        <v>2923</v>
      </c>
      <c r="D132" s="273" t="s">
        <v>2741</v>
      </c>
      <c r="E132" s="273" t="s">
        <v>2728</v>
      </c>
      <c r="F132" s="273" t="s">
        <v>2722</v>
      </c>
      <c r="G132" s="273" t="s">
        <v>2721</v>
      </c>
    </row>
    <row r="133" spans="1:7">
      <c r="A133" s="273">
        <v>4</v>
      </c>
      <c r="B133" s="273" t="s">
        <v>2968</v>
      </c>
      <c r="C133" s="273" t="s">
        <v>2923</v>
      </c>
      <c r="D133" s="273" t="s">
        <v>2741</v>
      </c>
      <c r="E133" s="273" t="s">
        <v>2728</v>
      </c>
    </row>
    <row r="134" spans="1:7">
      <c r="A134" s="273">
        <v>4</v>
      </c>
      <c r="B134" s="273" t="s">
        <v>2968</v>
      </c>
      <c r="C134" s="273" t="s">
        <v>2923</v>
      </c>
      <c r="D134" s="273" t="s">
        <v>2741</v>
      </c>
      <c r="E134" s="273" t="s">
        <v>2720</v>
      </c>
      <c r="F134" s="273" t="s">
        <v>2720</v>
      </c>
      <c r="G134" s="273" t="s">
        <v>2719</v>
      </c>
    </row>
    <row r="135" spans="1:7">
      <c r="A135" s="273">
        <v>5</v>
      </c>
      <c r="B135" s="273" t="s">
        <v>2968</v>
      </c>
      <c r="C135" s="273" t="s">
        <v>2923</v>
      </c>
      <c r="D135" s="273" t="s">
        <v>2741</v>
      </c>
      <c r="E135" s="273" t="s">
        <v>2720</v>
      </c>
      <c r="F135" s="273" t="s">
        <v>2718</v>
      </c>
      <c r="G135" s="273" t="s">
        <v>2717</v>
      </c>
    </row>
    <row r="136" spans="1:7">
      <c r="A136" s="273">
        <v>5</v>
      </c>
      <c r="B136" s="273" t="s">
        <v>2968</v>
      </c>
      <c r="C136" s="273" t="s">
        <v>2923</v>
      </c>
      <c r="D136" s="273" t="s">
        <v>2741</v>
      </c>
      <c r="E136" s="273" t="s">
        <v>2720</v>
      </c>
      <c r="F136" s="273" t="s">
        <v>2716</v>
      </c>
      <c r="G136" s="273" t="s">
        <v>2715</v>
      </c>
    </row>
    <row r="137" spans="1:7">
      <c r="A137" s="273">
        <v>5</v>
      </c>
      <c r="B137" s="273" t="s">
        <v>2968</v>
      </c>
      <c r="C137" s="273" t="s">
        <v>2923</v>
      </c>
      <c r="D137" s="273" t="s">
        <v>2741</v>
      </c>
      <c r="E137" s="273" t="s">
        <v>2720</v>
      </c>
      <c r="F137" s="273" t="s">
        <v>2714</v>
      </c>
      <c r="G137" s="273" t="s">
        <v>2713</v>
      </c>
    </row>
    <row r="138" spans="1:7">
      <c r="A138" s="273">
        <v>4</v>
      </c>
      <c r="B138" s="273" t="s">
        <v>2968</v>
      </c>
      <c r="C138" s="273" t="s">
        <v>2923</v>
      </c>
      <c r="D138" s="273" t="s">
        <v>2741</v>
      </c>
      <c r="E138" s="273" t="s">
        <v>2720</v>
      </c>
    </row>
    <row r="139" spans="1:7">
      <c r="A139" s="273">
        <v>4</v>
      </c>
      <c r="B139" s="273" t="s">
        <v>2968</v>
      </c>
      <c r="C139" s="273" t="s">
        <v>2923</v>
      </c>
      <c r="D139" s="273" t="s">
        <v>2741</v>
      </c>
      <c r="E139" s="273" t="s">
        <v>2712</v>
      </c>
      <c r="F139" s="273" t="s">
        <v>2712</v>
      </c>
      <c r="G139" s="273" t="s">
        <v>2711</v>
      </c>
    </row>
    <row r="140" spans="1:7">
      <c r="A140" s="273">
        <v>5</v>
      </c>
      <c r="B140" s="273" t="s">
        <v>2968</v>
      </c>
      <c r="C140" s="273" t="s">
        <v>2923</v>
      </c>
      <c r="D140" s="273" t="s">
        <v>2741</v>
      </c>
      <c r="E140" s="273" t="s">
        <v>2712</v>
      </c>
      <c r="F140" s="273" t="s">
        <v>2710</v>
      </c>
      <c r="G140" s="273" t="s">
        <v>2709</v>
      </c>
    </row>
    <row r="141" spans="1:7">
      <c r="A141" s="273">
        <v>5</v>
      </c>
      <c r="B141" s="273" t="s">
        <v>2968</v>
      </c>
      <c r="C141" s="273" t="s">
        <v>2923</v>
      </c>
      <c r="D141" s="273" t="s">
        <v>2741</v>
      </c>
      <c r="E141" s="273" t="s">
        <v>2712</v>
      </c>
      <c r="F141" s="273" t="s">
        <v>2708</v>
      </c>
      <c r="G141" s="273" t="s">
        <v>2707</v>
      </c>
    </row>
    <row r="142" spans="1:7">
      <c r="A142" s="273">
        <v>5</v>
      </c>
      <c r="B142" s="273" t="s">
        <v>2968</v>
      </c>
      <c r="C142" s="273" t="s">
        <v>2923</v>
      </c>
      <c r="D142" s="273" t="s">
        <v>2741</v>
      </c>
      <c r="E142" s="273" t="s">
        <v>2712</v>
      </c>
      <c r="F142" s="273" t="s">
        <v>2706</v>
      </c>
      <c r="G142" s="273" t="s">
        <v>2705</v>
      </c>
    </row>
    <row r="143" spans="1:7">
      <c r="A143" s="273">
        <v>5</v>
      </c>
      <c r="B143" s="273" t="s">
        <v>2968</v>
      </c>
      <c r="C143" s="273" t="s">
        <v>2923</v>
      </c>
      <c r="D143" s="273" t="s">
        <v>2741</v>
      </c>
      <c r="E143" s="273" t="s">
        <v>2712</v>
      </c>
      <c r="F143" s="273" t="s">
        <v>2704</v>
      </c>
      <c r="G143" s="273" t="s">
        <v>2703</v>
      </c>
    </row>
    <row r="144" spans="1:7">
      <c r="A144" s="273">
        <v>5</v>
      </c>
      <c r="B144" s="273" t="s">
        <v>2968</v>
      </c>
      <c r="C144" s="273" t="s">
        <v>2923</v>
      </c>
      <c r="D144" s="273" t="s">
        <v>2741</v>
      </c>
      <c r="E144" s="273" t="s">
        <v>2712</v>
      </c>
      <c r="F144" s="273" t="s">
        <v>2702</v>
      </c>
      <c r="G144" s="273" t="s">
        <v>2701</v>
      </c>
    </row>
    <row r="145" spans="1:7">
      <c r="A145" s="273">
        <v>4</v>
      </c>
      <c r="B145" s="273" t="s">
        <v>2968</v>
      </c>
      <c r="C145" s="273" t="s">
        <v>2923</v>
      </c>
      <c r="D145" s="273" t="s">
        <v>2741</v>
      </c>
      <c r="E145" s="273" t="s">
        <v>2712</v>
      </c>
    </row>
    <row r="146" spans="1:7">
      <c r="A146" s="273">
        <v>4</v>
      </c>
      <c r="B146" s="273" t="s">
        <v>2968</v>
      </c>
      <c r="C146" s="273" t="s">
        <v>2923</v>
      </c>
      <c r="D146" s="273" t="s">
        <v>2741</v>
      </c>
      <c r="E146" s="273" t="s">
        <v>2712</v>
      </c>
    </row>
    <row r="147" spans="1:7">
      <c r="A147" s="273">
        <v>4</v>
      </c>
      <c r="B147" s="273" t="s">
        <v>2968</v>
      </c>
      <c r="C147" s="273" t="s">
        <v>2923</v>
      </c>
      <c r="D147" s="273" t="s">
        <v>2741</v>
      </c>
      <c r="E147" s="273" t="s">
        <v>2712</v>
      </c>
    </row>
    <row r="148" spans="1:7">
      <c r="A148" s="273">
        <v>4</v>
      </c>
      <c r="B148" s="273" t="s">
        <v>2968</v>
      </c>
      <c r="C148" s="273" t="s">
        <v>2923</v>
      </c>
      <c r="D148" s="273" t="s">
        <v>2741</v>
      </c>
      <c r="E148" s="273" t="s">
        <v>2712</v>
      </c>
    </row>
    <row r="149" spans="1:7">
      <c r="A149" s="273">
        <v>1</v>
      </c>
      <c r="B149" s="273" t="s">
        <v>2043</v>
      </c>
      <c r="C149" s="273" t="s">
        <v>2043</v>
      </c>
      <c r="D149" s="273" t="s">
        <v>2043</v>
      </c>
      <c r="E149" s="273" t="s">
        <v>2043</v>
      </c>
      <c r="F149" s="273" t="s">
        <v>2043</v>
      </c>
      <c r="G149" s="273" t="s">
        <v>2700</v>
      </c>
    </row>
    <row r="150" spans="1:7">
      <c r="A150" s="273">
        <v>2</v>
      </c>
      <c r="B150" s="273" t="s">
        <v>2043</v>
      </c>
      <c r="C150" s="273" t="s">
        <v>2699</v>
      </c>
      <c r="D150" s="273" t="s">
        <v>2699</v>
      </c>
      <c r="E150" s="273" t="s">
        <v>2699</v>
      </c>
      <c r="F150" s="273" t="s">
        <v>2699</v>
      </c>
      <c r="G150" s="273" t="s">
        <v>2698</v>
      </c>
    </row>
    <row r="151" spans="1:7">
      <c r="A151" s="273">
        <v>3</v>
      </c>
      <c r="B151" s="273" t="s">
        <v>2043</v>
      </c>
      <c r="C151" s="273" t="s">
        <v>2699</v>
      </c>
      <c r="D151" s="273" t="s">
        <v>2697</v>
      </c>
      <c r="E151" s="273" t="s">
        <v>2697</v>
      </c>
      <c r="F151" s="273" t="s">
        <v>2697</v>
      </c>
      <c r="G151" s="273" t="s">
        <v>2696</v>
      </c>
    </row>
    <row r="152" spans="1:7">
      <c r="A152" s="273">
        <v>4</v>
      </c>
      <c r="B152" s="273" t="s">
        <v>2043</v>
      </c>
      <c r="C152" s="273" t="s">
        <v>2699</v>
      </c>
      <c r="D152" s="273" t="s">
        <v>2697</v>
      </c>
      <c r="E152" s="273" t="s">
        <v>2695</v>
      </c>
      <c r="F152" s="273" t="s">
        <v>2695</v>
      </c>
      <c r="G152" s="273" t="s">
        <v>2990</v>
      </c>
    </row>
    <row r="153" spans="1:7">
      <c r="A153" s="273">
        <v>5</v>
      </c>
      <c r="B153" s="273" t="s">
        <v>2043</v>
      </c>
      <c r="C153" s="273" t="s">
        <v>2699</v>
      </c>
      <c r="D153" s="273" t="s">
        <v>2697</v>
      </c>
      <c r="E153" s="273" t="s">
        <v>2695</v>
      </c>
      <c r="F153" s="273" t="s">
        <v>2693</v>
      </c>
      <c r="G153" s="273" t="s">
        <v>2991</v>
      </c>
    </row>
    <row r="154" spans="1:7">
      <c r="A154" s="273">
        <v>5</v>
      </c>
      <c r="B154" s="273" t="s">
        <v>2043</v>
      </c>
      <c r="C154" s="273" t="s">
        <v>2699</v>
      </c>
      <c r="D154" s="273" t="s">
        <v>2697</v>
      </c>
      <c r="E154" s="273" t="s">
        <v>2695</v>
      </c>
      <c r="F154" s="273" t="s">
        <v>2691</v>
      </c>
      <c r="G154" s="273" t="s">
        <v>2992</v>
      </c>
    </row>
    <row r="155" spans="1:7">
      <c r="A155" s="273">
        <v>5</v>
      </c>
      <c r="B155" s="273" t="s">
        <v>2043</v>
      </c>
      <c r="C155" s="273" t="s">
        <v>2699</v>
      </c>
      <c r="D155" s="273" t="s">
        <v>2697</v>
      </c>
      <c r="E155" s="273" t="s">
        <v>2695</v>
      </c>
      <c r="F155" s="273" t="s">
        <v>2689</v>
      </c>
      <c r="G155" s="273" t="s">
        <v>2993</v>
      </c>
    </row>
    <row r="156" spans="1:7">
      <c r="A156" s="273">
        <v>5</v>
      </c>
      <c r="B156" s="273" t="s">
        <v>2043</v>
      </c>
      <c r="C156" s="273" t="s">
        <v>2699</v>
      </c>
      <c r="D156" s="273" t="s">
        <v>2697</v>
      </c>
      <c r="E156" s="273" t="s">
        <v>2695</v>
      </c>
      <c r="F156" s="273" t="s">
        <v>2687</v>
      </c>
      <c r="G156" s="273" t="s">
        <v>2994</v>
      </c>
    </row>
    <row r="157" spans="1:7">
      <c r="A157" s="273">
        <v>5</v>
      </c>
      <c r="B157" s="273" t="s">
        <v>2043</v>
      </c>
      <c r="C157" s="273" t="s">
        <v>2699</v>
      </c>
      <c r="D157" s="273" t="s">
        <v>2697</v>
      </c>
      <c r="E157" s="273" t="s">
        <v>2695</v>
      </c>
      <c r="F157" s="273" t="s">
        <v>2685</v>
      </c>
      <c r="G157" s="273" t="s">
        <v>2684</v>
      </c>
    </row>
    <row r="158" spans="1:7">
      <c r="A158" s="273">
        <v>5</v>
      </c>
      <c r="B158" s="273" t="s">
        <v>2043</v>
      </c>
      <c r="C158" s="273" t="s">
        <v>2699</v>
      </c>
      <c r="D158" s="273" t="s">
        <v>2697</v>
      </c>
      <c r="E158" s="273" t="s">
        <v>2695</v>
      </c>
      <c r="F158" s="273" t="s">
        <v>2683</v>
      </c>
      <c r="G158" s="273" t="s">
        <v>2682</v>
      </c>
    </row>
    <row r="159" spans="1:7">
      <c r="A159" s="273">
        <v>5</v>
      </c>
      <c r="B159" s="273" t="s">
        <v>2043</v>
      </c>
      <c r="C159" s="273" t="s">
        <v>2699</v>
      </c>
      <c r="D159" s="273" t="s">
        <v>2697</v>
      </c>
      <c r="E159" s="273" t="s">
        <v>2695</v>
      </c>
      <c r="F159" s="273" t="s">
        <v>2681</v>
      </c>
      <c r="G159" s="273" t="s">
        <v>2680</v>
      </c>
    </row>
    <row r="160" spans="1:7">
      <c r="A160" s="273">
        <v>5</v>
      </c>
      <c r="B160" s="273" t="s">
        <v>2043</v>
      </c>
      <c r="C160" s="273" t="s">
        <v>2699</v>
      </c>
      <c r="D160" s="273" t="s">
        <v>2697</v>
      </c>
      <c r="E160" s="273" t="s">
        <v>2695</v>
      </c>
      <c r="F160" s="273" t="s">
        <v>2679</v>
      </c>
      <c r="G160" s="273" t="s">
        <v>2678</v>
      </c>
    </row>
    <row r="161" spans="1:7">
      <c r="A161" s="273">
        <v>5</v>
      </c>
      <c r="B161" s="273" t="s">
        <v>2043</v>
      </c>
      <c r="C161" s="273" t="s">
        <v>2699</v>
      </c>
      <c r="D161" s="273" t="s">
        <v>2697</v>
      </c>
      <c r="E161" s="273" t="s">
        <v>2695</v>
      </c>
      <c r="F161" s="273" t="s">
        <v>2677</v>
      </c>
      <c r="G161" s="273" t="s">
        <v>2676</v>
      </c>
    </row>
    <row r="162" spans="1:7">
      <c r="A162" s="273">
        <v>5</v>
      </c>
      <c r="B162" s="273" t="s">
        <v>2043</v>
      </c>
      <c r="C162" s="273" t="s">
        <v>2699</v>
      </c>
      <c r="D162" s="273" t="s">
        <v>2697</v>
      </c>
      <c r="E162" s="273" t="s">
        <v>2695</v>
      </c>
      <c r="F162" s="273" t="s">
        <v>2675</v>
      </c>
      <c r="G162" s="273" t="s">
        <v>2674</v>
      </c>
    </row>
    <row r="163" spans="1:7">
      <c r="A163" s="273">
        <v>5</v>
      </c>
      <c r="B163" s="273" t="s">
        <v>2043</v>
      </c>
      <c r="C163" s="273" t="s">
        <v>2699</v>
      </c>
      <c r="D163" s="273" t="s">
        <v>2697</v>
      </c>
      <c r="E163" s="273" t="s">
        <v>2695</v>
      </c>
      <c r="F163" s="273" t="s">
        <v>2673</v>
      </c>
      <c r="G163" s="273" t="s">
        <v>2672</v>
      </c>
    </row>
    <row r="164" spans="1:7">
      <c r="A164" s="273">
        <v>5</v>
      </c>
      <c r="B164" s="273" t="s">
        <v>2043</v>
      </c>
      <c r="C164" s="273" t="s">
        <v>2699</v>
      </c>
      <c r="D164" s="273" t="s">
        <v>2697</v>
      </c>
      <c r="E164" s="273" t="s">
        <v>2695</v>
      </c>
      <c r="F164" s="273" t="s">
        <v>2671</v>
      </c>
      <c r="G164" s="273" t="s">
        <v>2670</v>
      </c>
    </row>
    <row r="165" spans="1:7">
      <c r="A165" s="273">
        <v>5</v>
      </c>
      <c r="B165" s="273" t="s">
        <v>2043</v>
      </c>
      <c r="C165" s="273" t="s">
        <v>2699</v>
      </c>
      <c r="D165" s="273" t="s">
        <v>2697</v>
      </c>
      <c r="E165" s="273" t="s">
        <v>2695</v>
      </c>
      <c r="F165" s="273" t="s">
        <v>2669</v>
      </c>
      <c r="G165" s="273" t="s">
        <v>2668</v>
      </c>
    </row>
    <row r="166" spans="1:7">
      <c r="A166" s="273">
        <v>5</v>
      </c>
      <c r="B166" s="273" t="s">
        <v>2043</v>
      </c>
      <c r="C166" s="273" t="s">
        <v>2699</v>
      </c>
      <c r="D166" s="273" t="s">
        <v>2697</v>
      </c>
      <c r="E166" s="273" t="s">
        <v>2695</v>
      </c>
      <c r="F166" s="273" t="s">
        <v>2667</v>
      </c>
      <c r="G166" s="273" t="s">
        <v>2666</v>
      </c>
    </row>
    <row r="167" spans="1:7">
      <c r="A167" s="273">
        <v>5</v>
      </c>
      <c r="B167" s="273" t="s">
        <v>2043</v>
      </c>
      <c r="C167" s="273" t="s">
        <v>2699</v>
      </c>
      <c r="D167" s="273" t="s">
        <v>2697</v>
      </c>
      <c r="E167" s="273" t="s">
        <v>2695</v>
      </c>
      <c r="F167" s="273" t="s">
        <v>2665</v>
      </c>
      <c r="G167" s="273" t="s">
        <v>2995</v>
      </c>
    </row>
    <row r="168" spans="1:7">
      <c r="A168" s="273">
        <v>5</v>
      </c>
      <c r="B168" s="273" t="s">
        <v>2043</v>
      </c>
      <c r="C168" s="273" t="s">
        <v>2699</v>
      </c>
      <c r="D168" s="273" t="s">
        <v>2697</v>
      </c>
      <c r="E168" s="273" t="s">
        <v>2695</v>
      </c>
      <c r="F168" s="273" t="s">
        <v>2663</v>
      </c>
      <c r="G168" s="273" t="s">
        <v>2996</v>
      </c>
    </row>
    <row r="169" spans="1:7">
      <c r="A169" s="273">
        <v>5</v>
      </c>
      <c r="B169" s="273" t="s">
        <v>2043</v>
      </c>
      <c r="C169" s="273" t="s">
        <v>2699</v>
      </c>
      <c r="D169" s="273" t="s">
        <v>2697</v>
      </c>
      <c r="E169" s="273" t="s">
        <v>2695</v>
      </c>
      <c r="F169" s="273" t="s">
        <v>2661</v>
      </c>
      <c r="G169" s="273" t="s">
        <v>2997</v>
      </c>
    </row>
    <row r="170" spans="1:7">
      <c r="A170" s="273">
        <v>5</v>
      </c>
      <c r="B170" s="273" t="s">
        <v>2043</v>
      </c>
      <c r="C170" s="273" t="s">
        <v>2699</v>
      </c>
      <c r="D170" s="273" t="s">
        <v>2697</v>
      </c>
      <c r="E170" s="273" t="s">
        <v>2695</v>
      </c>
      <c r="F170" s="273" t="s">
        <v>2659</v>
      </c>
      <c r="G170" s="273" t="s">
        <v>2998</v>
      </c>
    </row>
    <row r="171" spans="1:7">
      <c r="A171" s="273">
        <v>5</v>
      </c>
      <c r="B171" s="273" t="s">
        <v>2043</v>
      </c>
      <c r="C171" s="273" t="s">
        <v>2699</v>
      </c>
      <c r="D171" s="273" t="s">
        <v>2697</v>
      </c>
      <c r="E171" s="273" t="s">
        <v>2695</v>
      </c>
      <c r="F171" s="273" t="s">
        <v>2657</v>
      </c>
      <c r="G171" s="273" t="s">
        <v>2656</v>
      </c>
    </row>
    <row r="172" spans="1:7">
      <c r="A172" s="273">
        <v>5</v>
      </c>
      <c r="B172" s="273" t="s">
        <v>2043</v>
      </c>
      <c r="C172" s="273" t="s">
        <v>2699</v>
      </c>
      <c r="D172" s="273" t="s">
        <v>2697</v>
      </c>
      <c r="E172" s="273" t="s">
        <v>2695</v>
      </c>
      <c r="F172" s="273" t="s">
        <v>2655</v>
      </c>
      <c r="G172" s="273" t="s">
        <v>2999</v>
      </c>
    </row>
    <row r="173" spans="1:7">
      <c r="A173" s="273">
        <v>5</v>
      </c>
      <c r="B173" s="273" t="s">
        <v>2043</v>
      </c>
      <c r="C173" s="273" t="s">
        <v>2699</v>
      </c>
      <c r="D173" s="273" t="s">
        <v>2697</v>
      </c>
      <c r="E173" s="273" t="s">
        <v>2695</v>
      </c>
      <c r="F173" s="273" t="s">
        <v>2653</v>
      </c>
      <c r="G173" s="273" t="s">
        <v>3000</v>
      </c>
    </row>
    <row r="174" spans="1:7">
      <c r="A174" s="273">
        <v>5</v>
      </c>
      <c r="B174" s="273" t="s">
        <v>2043</v>
      </c>
      <c r="C174" s="273" t="s">
        <v>2699</v>
      </c>
      <c r="D174" s="273" t="s">
        <v>2697</v>
      </c>
      <c r="E174" s="273" t="s">
        <v>2695</v>
      </c>
      <c r="F174" s="273" t="s">
        <v>2651</v>
      </c>
      <c r="G174" s="273" t="s">
        <v>3001</v>
      </c>
    </row>
    <row r="175" spans="1:7">
      <c r="A175" s="273">
        <v>5</v>
      </c>
      <c r="B175" s="273" t="s">
        <v>2043</v>
      </c>
      <c r="C175" s="273" t="s">
        <v>2699</v>
      </c>
      <c r="D175" s="273" t="s">
        <v>2697</v>
      </c>
      <c r="E175" s="273" t="s">
        <v>2695</v>
      </c>
      <c r="F175" s="273" t="s">
        <v>2649</v>
      </c>
      <c r="G175" s="273" t="s">
        <v>3002</v>
      </c>
    </row>
    <row r="176" spans="1:7">
      <c r="A176" s="273">
        <v>5</v>
      </c>
      <c r="B176" s="273" t="s">
        <v>2043</v>
      </c>
      <c r="C176" s="273" t="s">
        <v>2699</v>
      </c>
      <c r="D176" s="273" t="s">
        <v>2697</v>
      </c>
      <c r="E176" s="273" t="s">
        <v>2695</v>
      </c>
      <c r="F176" s="273" t="s">
        <v>2647</v>
      </c>
      <c r="G176" s="273" t="s">
        <v>2646</v>
      </c>
    </row>
    <row r="177" spans="1:7">
      <c r="A177" s="273">
        <v>5</v>
      </c>
      <c r="B177" s="273" t="s">
        <v>2043</v>
      </c>
      <c r="C177" s="273" t="s">
        <v>2699</v>
      </c>
      <c r="D177" s="273" t="s">
        <v>2697</v>
      </c>
      <c r="E177" s="273" t="s">
        <v>2695</v>
      </c>
      <c r="F177" s="273" t="s">
        <v>2645</v>
      </c>
      <c r="G177" s="273" t="s">
        <v>3003</v>
      </c>
    </row>
    <row r="178" spans="1:7">
      <c r="A178" s="273">
        <v>4</v>
      </c>
      <c r="B178" s="273" t="s">
        <v>2043</v>
      </c>
      <c r="C178" s="273" t="s">
        <v>2699</v>
      </c>
      <c r="D178" s="273" t="s">
        <v>2697</v>
      </c>
      <c r="E178" s="273" t="s">
        <v>2695</v>
      </c>
    </row>
    <row r="179" spans="1:7">
      <c r="A179" s="273">
        <v>4</v>
      </c>
      <c r="B179" s="273" t="s">
        <v>2043</v>
      </c>
      <c r="C179" s="273" t="s">
        <v>2699</v>
      </c>
      <c r="D179" s="273" t="s">
        <v>2697</v>
      </c>
      <c r="E179" s="273" t="s">
        <v>2695</v>
      </c>
    </row>
    <row r="180" spans="1:7">
      <c r="A180" s="273">
        <v>3</v>
      </c>
      <c r="B180" s="273" t="s">
        <v>2043</v>
      </c>
      <c r="C180" s="273" t="s">
        <v>2699</v>
      </c>
      <c r="D180" s="273" t="s">
        <v>2641</v>
      </c>
      <c r="E180" s="273" t="s">
        <v>2641</v>
      </c>
      <c r="F180" s="273" t="s">
        <v>2641</v>
      </c>
      <c r="G180" s="273" t="s">
        <v>2640</v>
      </c>
    </row>
    <row r="181" spans="1:7">
      <c r="A181" s="273">
        <v>4</v>
      </c>
      <c r="B181" s="273" t="s">
        <v>2043</v>
      </c>
      <c r="C181" s="273" t="s">
        <v>2699</v>
      </c>
      <c r="D181" s="273" t="s">
        <v>2641</v>
      </c>
      <c r="E181" s="273" t="s">
        <v>2639</v>
      </c>
      <c r="F181" s="273" t="s">
        <v>2639</v>
      </c>
      <c r="G181" s="273" t="s">
        <v>2638</v>
      </c>
    </row>
    <row r="182" spans="1:7">
      <c r="A182" s="273">
        <v>5</v>
      </c>
      <c r="B182" s="273" t="s">
        <v>2043</v>
      </c>
      <c r="C182" s="273" t="s">
        <v>2699</v>
      </c>
      <c r="D182" s="273" t="s">
        <v>2641</v>
      </c>
      <c r="E182" s="273" t="s">
        <v>2639</v>
      </c>
      <c r="F182" s="273" t="s">
        <v>2637</v>
      </c>
      <c r="G182" s="273" t="s">
        <v>2636</v>
      </c>
    </row>
    <row r="183" spans="1:7">
      <c r="A183" s="273">
        <v>5</v>
      </c>
      <c r="B183" s="273" t="s">
        <v>2043</v>
      </c>
      <c r="C183" s="273" t="s">
        <v>2699</v>
      </c>
      <c r="D183" s="273" t="s">
        <v>2641</v>
      </c>
      <c r="E183" s="273" t="s">
        <v>2639</v>
      </c>
      <c r="F183" s="273" t="s">
        <v>2635</v>
      </c>
      <c r="G183" s="273" t="s">
        <v>2634</v>
      </c>
    </row>
    <row r="184" spans="1:7">
      <c r="A184" s="273">
        <v>5</v>
      </c>
      <c r="B184" s="273" t="s">
        <v>2043</v>
      </c>
      <c r="C184" s="273" t="s">
        <v>2699</v>
      </c>
      <c r="D184" s="273" t="s">
        <v>2641</v>
      </c>
      <c r="E184" s="273" t="s">
        <v>2639</v>
      </c>
      <c r="F184" s="273" t="s">
        <v>2633</v>
      </c>
      <c r="G184" s="273" t="s">
        <v>3004</v>
      </c>
    </row>
    <row r="185" spans="1:7">
      <c r="A185" s="273">
        <v>5</v>
      </c>
      <c r="B185" s="273" t="s">
        <v>2043</v>
      </c>
      <c r="C185" s="273" t="s">
        <v>2699</v>
      </c>
      <c r="D185" s="273" t="s">
        <v>2641</v>
      </c>
      <c r="E185" s="273" t="s">
        <v>2639</v>
      </c>
      <c r="F185" s="273" t="s">
        <v>2631</v>
      </c>
      <c r="G185" s="273" t="s">
        <v>2630</v>
      </c>
    </row>
    <row r="186" spans="1:7">
      <c r="A186" s="273">
        <v>5</v>
      </c>
      <c r="B186" s="273" t="s">
        <v>2043</v>
      </c>
      <c r="C186" s="273" t="s">
        <v>2699</v>
      </c>
      <c r="D186" s="273" t="s">
        <v>2641</v>
      </c>
      <c r="E186" s="273" t="s">
        <v>2639</v>
      </c>
      <c r="F186" s="273" t="s">
        <v>2629</v>
      </c>
      <c r="G186" s="273" t="s">
        <v>2628</v>
      </c>
    </row>
    <row r="187" spans="1:7">
      <c r="A187" s="273">
        <v>5</v>
      </c>
      <c r="B187" s="273" t="s">
        <v>2043</v>
      </c>
      <c r="C187" s="273" t="s">
        <v>2699</v>
      </c>
      <c r="D187" s="273" t="s">
        <v>2641</v>
      </c>
      <c r="E187" s="273" t="s">
        <v>2639</v>
      </c>
      <c r="F187" s="273" t="s">
        <v>2627</v>
      </c>
      <c r="G187" s="273" t="s">
        <v>3005</v>
      </c>
    </row>
    <row r="188" spans="1:7">
      <c r="A188" s="273">
        <v>5</v>
      </c>
      <c r="B188" s="273" t="s">
        <v>2043</v>
      </c>
      <c r="C188" s="273" t="s">
        <v>2699</v>
      </c>
      <c r="D188" s="273" t="s">
        <v>2641</v>
      </c>
      <c r="E188" s="273" t="s">
        <v>2639</v>
      </c>
      <c r="F188" s="273" t="s">
        <v>2625</v>
      </c>
      <c r="G188" s="273" t="s">
        <v>2624</v>
      </c>
    </row>
    <row r="189" spans="1:7">
      <c r="A189" s="273">
        <v>5</v>
      </c>
      <c r="B189" s="273" t="s">
        <v>2043</v>
      </c>
      <c r="C189" s="273" t="s">
        <v>2699</v>
      </c>
      <c r="D189" s="273" t="s">
        <v>2641</v>
      </c>
      <c r="E189" s="273" t="s">
        <v>2639</v>
      </c>
      <c r="F189" s="273" t="s">
        <v>2623</v>
      </c>
      <c r="G189" s="273" t="s">
        <v>2622</v>
      </c>
    </row>
    <row r="190" spans="1:7">
      <c r="A190" s="273">
        <v>5</v>
      </c>
      <c r="B190" s="273" t="s">
        <v>2043</v>
      </c>
      <c r="C190" s="273" t="s">
        <v>2699</v>
      </c>
      <c r="D190" s="273" t="s">
        <v>2641</v>
      </c>
      <c r="E190" s="273" t="s">
        <v>2639</v>
      </c>
      <c r="F190" s="273" t="s">
        <v>2621</v>
      </c>
      <c r="G190" s="273" t="s">
        <v>2620</v>
      </c>
    </row>
    <row r="191" spans="1:7">
      <c r="A191" s="273">
        <v>5</v>
      </c>
      <c r="B191" s="273" t="s">
        <v>2043</v>
      </c>
      <c r="C191" s="273" t="s">
        <v>2699</v>
      </c>
      <c r="D191" s="273" t="s">
        <v>2641</v>
      </c>
      <c r="E191" s="273" t="s">
        <v>2639</v>
      </c>
      <c r="F191" s="273" t="s">
        <v>2619</v>
      </c>
      <c r="G191" s="273" t="s">
        <v>2618</v>
      </c>
    </row>
    <row r="192" spans="1:7">
      <c r="A192" s="273">
        <v>5</v>
      </c>
      <c r="B192" s="273" t="s">
        <v>2043</v>
      </c>
      <c r="C192" s="273" t="s">
        <v>2699</v>
      </c>
      <c r="D192" s="273" t="s">
        <v>2641</v>
      </c>
      <c r="E192" s="273" t="s">
        <v>2639</v>
      </c>
      <c r="F192" s="273" t="s">
        <v>2617</v>
      </c>
      <c r="G192" s="273" t="s">
        <v>3006</v>
      </c>
    </row>
    <row r="193" spans="1:7">
      <c r="A193" s="273">
        <v>5</v>
      </c>
      <c r="B193" s="273" t="s">
        <v>2043</v>
      </c>
      <c r="C193" s="273" t="s">
        <v>2699</v>
      </c>
      <c r="D193" s="273" t="s">
        <v>2641</v>
      </c>
      <c r="E193" s="273" t="s">
        <v>2639</v>
      </c>
      <c r="F193" s="273" t="s">
        <v>2615</v>
      </c>
      <c r="G193" s="273" t="s">
        <v>2614</v>
      </c>
    </row>
    <row r="194" spans="1:7">
      <c r="A194" s="273">
        <v>5</v>
      </c>
      <c r="B194" s="273" t="s">
        <v>2043</v>
      </c>
      <c r="C194" s="273" t="s">
        <v>2699</v>
      </c>
      <c r="D194" s="273" t="s">
        <v>2641</v>
      </c>
      <c r="E194" s="273" t="s">
        <v>2639</v>
      </c>
      <c r="F194" s="273" t="s">
        <v>2613</v>
      </c>
      <c r="G194" s="273" t="s">
        <v>2612</v>
      </c>
    </row>
    <row r="195" spans="1:7">
      <c r="A195" s="273">
        <v>5</v>
      </c>
      <c r="B195" s="273" t="s">
        <v>2043</v>
      </c>
      <c r="C195" s="273" t="s">
        <v>2699</v>
      </c>
      <c r="D195" s="273" t="s">
        <v>2641</v>
      </c>
      <c r="E195" s="273" t="s">
        <v>2639</v>
      </c>
      <c r="F195" s="273" t="s">
        <v>2611</v>
      </c>
      <c r="G195" s="273" t="s">
        <v>3007</v>
      </c>
    </row>
    <row r="196" spans="1:7">
      <c r="A196" s="273">
        <v>5</v>
      </c>
      <c r="B196" s="273" t="s">
        <v>2043</v>
      </c>
      <c r="C196" s="273" t="s">
        <v>2699</v>
      </c>
      <c r="D196" s="273" t="s">
        <v>2641</v>
      </c>
      <c r="E196" s="273" t="s">
        <v>2639</v>
      </c>
      <c r="F196" s="273" t="s">
        <v>2609</v>
      </c>
      <c r="G196" s="273" t="s">
        <v>3008</v>
      </c>
    </row>
    <row r="197" spans="1:7">
      <c r="A197" s="273">
        <v>5</v>
      </c>
      <c r="B197" s="273" t="s">
        <v>2043</v>
      </c>
      <c r="C197" s="273" t="s">
        <v>2699</v>
      </c>
      <c r="D197" s="273" t="s">
        <v>2641</v>
      </c>
      <c r="E197" s="273" t="s">
        <v>2639</v>
      </c>
      <c r="F197" s="273" t="s">
        <v>2607</v>
      </c>
      <c r="G197" s="273" t="s">
        <v>2606</v>
      </c>
    </row>
    <row r="198" spans="1:7">
      <c r="A198" s="273">
        <v>5</v>
      </c>
      <c r="B198" s="273" t="s">
        <v>2043</v>
      </c>
      <c r="C198" s="273" t="s">
        <v>2699</v>
      </c>
      <c r="D198" s="273" t="s">
        <v>2641</v>
      </c>
      <c r="E198" s="273" t="s">
        <v>2639</v>
      </c>
      <c r="F198" s="273" t="s">
        <v>2604</v>
      </c>
      <c r="G198" s="273" t="s">
        <v>3009</v>
      </c>
    </row>
    <row r="199" spans="1:7">
      <c r="A199" s="273">
        <v>5</v>
      </c>
      <c r="B199" s="273" t="s">
        <v>2043</v>
      </c>
      <c r="C199" s="273" t="s">
        <v>2699</v>
      </c>
      <c r="D199" s="273" t="s">
        <v>2641</v>
      </c>
      <c r="E199" s="273" t="s">
        <v>2639</v>
      </c>
      <c r="F199" s="273" t="s">
        <v>2602</v>
      </c>
    </row>
    <row r="200" spans="1:7">
      <c r="A200" s="273">
        <v>5</v>
      </c>
      <c r="B200" s="273" t="s">
        <v>2043</v>
      </c>
      <c r="C200" s="273" t="s">
        <v>2699</v>
      </c>
      <c r="D200" s="273" t="s">
        <v>2641</v>
      </c>
      <c r="E200" s="273" t="s">
        <v>2639</v>
      </c>
      <c r="F200" s="273" t="s">
        <v>2601</v>
      </c>
      <c r="G200" s="273" t="s">
        <v>3010</v>
      </c>
    </row>
    <row r="201" spans="1:7">
      <c r="A201" s="273">
        <v>4</v>
      </c>
      <c r="B201" s="273" t="s">
        <v>2043</v>
      </c>
      <c r="C201" s="273" t="s">
        <v>2699</v>
      </c>
      <c r="D201" s="273" t="s">
        <v>2641</v>
      </c>
      <c r="E201" s="273" t="s">
        <v>2639</v>
      </c>
    </row>
    <row r="202" spans="1:7">
      <c r="A202" s="273">
        <v>4</v>
      </c>
      <c r="B202" s="273" t="s">
        <v>2043</v>
      </c>
      <c r="C202" s="273" t="s">
        <v>2699</v>
      </c>
      <c r="D202" s="273" t="s">
        <v>2641</v>
      </c>
      <c r="E202" s="273" t="s">
        <v>2599</v>
      </c>
      <c r="F202" s="273" t="s">
        <v>2599</v>
      </c>
      <c r="G202" s="273" t="s">
        <v>2598</v>
      </c>
    </row>
    <row r="203" spans="1:7">
      <c r="A203" s="273">
        <v>5</v>
      </c>
      <c r="B203" s="273" t="s">
        <v>2043</v>
      </c>
      <c r="C203" s="273" t="s">
        <v>2699</v>
      </c>
      <c r="D203" s="273" t="s">
        <v>2641</v>
      </c>
      <c r="E203" s="273" t="s">
        <v>2599</v>
      </c>
      <c r="F203" s="273" t="s">
        <v>2597</v>
      </c>
      <c r="G203" s="273" t="s">
        <v>3011</v>
      </c>
    </row>
    <row r="204" spans="1:7">
      <c r="A204" s="273">
        <v>5</v>
      </c>
      <c r="B204" s="273" t="s">
        <v>2043</v>
      </c>
      <c r="C204" s="273" t="s">
        <v>2699</v>
      </c>
      <c r="D204" s="273" t="s">
        <v>2641</v>
      </c>
      <c r="E204" s="273" t="s">
        <v>2599</v>
      </c>
      <c r="F204" s="273" t="s">
        <v>2595</v>
      </c>
      <c r="G204" s="273" t="s">
        <v>2594</v>
      </c>
    </row>
    <row r="205" spans="1:7">
      <c r="A205" s="273">
        <v>5</v>
      </c>
      <c r="B205" s="273" t="s">
        <v>2043</v>
      </c>
      <c r="C205" s="273" t="s">
        <v>2699</v>
      </c>
      <c r="D205" s="273" t="s">
        <v>2641</v>
      </c>
      <c r="E205" s="273" t="s">
        <v>2599</v>
      </c>
      <c r="F205" s="273" t="s">
        <v>2593</v>
      </c>
      <c r="G205" s="273" t="s">
        <v>3012</v>
      </c>
    </row>
    <row r="206" spans="1:7">
      <c r="A206" s="273">
        <v>5</v>
      </c>
      <c r="B206" s="273" t="s">
        <v>2043</v>
      </c>
      <c r="C206" s="273" t="s">
        <v>2699</v>
      </c>
      <c r="D206" s="273" t="s">
        <v>2641</v>
      </c>
      <c r="E206" s="273" t="s">
        <v>2599</v>
      </c>
      <c r="F206" s="273" t="s">
        <v>2591</v>
      </c>
      <c r="G206" s="273" t="s">
        <v>3013</v>
      </c>
    </row>
    <row r="207" spans="1:7">
      <c r="A207" s="273">
        <v>5</v>
      </c>
      <c r="B207" s="273" t="s">
        <v>2043</v>
      </c>
      <c r="C207" s="273" t="s">
        <v>2699</v>
      </c>
      <c r="D207" s="273" t="s">
        <v>2641</v>
      </c>
      <c r="E207" s="273" t="s">
        <v>2599</v>
      </c>
      <c r="F207" s="273" t="s">
        <v>2589</v>
      </c>
      <c r="G207" s="273" t="s">
        <v>3014</v>
      </c>
    </row>
    <row r="208" spans="1:7">
      <c r="A208" s="273">
        <v>5</v>
      </c>
      <c r="B208" s="273" t="s">
        <v>2043</v>
      </c>
      <c r="C208" s="273" t="s">
        <v>2699</v>
      </c>
      <c r="D208" s="273" t="s">
        <v>2641</v>
      </c>
      <c r="E208" s="273" t="s">
        <v>2599</v>
      </c>
      <c r="F208" s="273" t="s">
        <v>2587</v>
      </c>
      <c r="G208" s="273" t="s">
        <v>3015</v>
      </c>
    </row>
    <row r="209" spans="1:7">
      <c r="A209" s="273">
        <v>5</v>
      </c>
      <c r="B209" s="273" t="s">
        <v>2043</v>
      </c>
      <c r="C209" s="273" t="s">
        <v>2699</v>
      </c>
      <c r="D209" s="273" t="s">
        <v>2641</v>
      </c>
      <c r="E209" s="273" t="s">
        <v>2599</v>
      </c>
      <c r="F209" s="273" t="s">
        <v>2585</v>
      </c>
      <c r="G209" s="273" t="s">
        <v>3016</v>
      </c>
    </row>
    <row r="210" spans="1:7">
      <c r="A210" s="273">
        <v>5</v>
      </c>
      <c r="B210" s="273" t="s">
        <v>2043</v>
      </c>
      <c r="C210" s="273" t="s">
        <v>2699</v>
      </c>
      <c r="D210" s="273" t="s">
        <v>2641</v>
      </c>
      <c r="E210" s="273" t="s">
        <v>2599</v>
      </c>
      <c r="F210" s="273" t="s">
        <v>2583</v>
      </c>
      <c r="G210" s="273" t="s">
        <v>2582</v>
      </c>
    </row>
    <row r="211" spans="1:7">
      <c r="A211" s="273">
        <v>5</v>
      </c>
      <c r="B211" s="273" t="s">
        <v>2043</v>
      </c>
      <c r="C211" s="273" t="s">
        <v>2699</v>
      </c>
      <c r="D211" s="273" t="s">
        <v>2641</v>
      </c>
      <c r="E211" s="273" t="s">
        <v>2599</v>
      </c>
      <c r="F211" s="273" t="s">
        <v>2581</v>
      </c>
      <c r="G211" s="273" t="s">
        <v>2580</v>
      </c>
    </row>
    <row r="212" spans="1:7">
      <c r="A212" s="273">
        <v>5</v>
      </c>
      <c r="B212" s="273" t="s">
        <v>2043</v>
      </c>
      <c r="C212" s="273" t="s">
        <v>2699</v>
      </c>
      <c r="D212" s="273" t="s">
        <v>2641</v>
      </c>
      <c r="E212" s="273" t="s">
        <v>2599</v>
      </c>
      <c r="F212" s="273" t="s">
        <v>2579</v>
      </c>
      <c r="G212" s="273" t="s">
        <v>2578</v>
      </c>
    </row>
    <row r="213" spans="1:7">
      <c r="A213" s="273">
        <v>5</v>
      </c>
      <c r="B213" s="273" t="s">
        <v>2043</v>
      </c>
      <c r="C213" s="273" t="s">
        <v>2699</v>
      </c>
      <c r="D213" s="273" t="s">
        <v>2641</v>
      </c>
      <c r="E213" s="273" t="s">
        <v>2599</v>
      </c>
      <c r="F213" s="273" t="s">
        <v>2576</v>
      </c>
      <c r="G213" s="273" t="s">
        <v>2575</v>
      </c>
    </row>
    <row r="214" spans="1:7">
      <c r="A214" s="273">
        <v>4</v>
      </c>
      <c r="B214" s="273" t="s">
        <v>2043</v>
      </c>
      <c r="C214" s="273" t="s">
        <v>2699</v>
      </c>
      <c r="D214" s="273" t="s">
        <v>2641</v>
      </c>
      <c r="E214" s="273" t="s">
        <v>2599</v>
      </c>
    </row>
    <row r="215" spans="1:7">
      <c r="A215" s="273">
        <v>4</v>
      </c>
      <c r="B215" s="273" t="s">
        <v>2043</v>
      </c>
      <c r="C215" s="273" t="s">
        <v>2699</v>
      </c>
      <c r="D215" s="273" t="s">
        <v>2641</v>
      </c>
      <c r="E215" s="273" t="s">
        <v>2599</v>
      </c>
    </row>
    <row r="216" spans="1:7">
      <c r="A216" s="273">
        <v>3</v>
      </c>
      <c r="B216" s="273" t="s">
        <v>2043</v>
      </c>
      <c r="C216" s="273" t="s">
        <v>2699</v>
      </c>
      <c r="D216" s="273" t="s">
        <v>2573</v>
      </c>
      <c r="E216" s="273" t="s">
        <v>2573</v>
      </c>
      <c r="F216" s="273" t="s">
        <v>2573</v>
      </c>
    </row>
    <row r="217" spans="1:7">
      <c r="A217" s="273">
        <v>4</v>
      </c>
      <c r="B217" s="273" t="s">
        <v>2043</v>
      </c>
      <c r="C217" s="273" t="s">
        <v>2699</v>
      </c>
      <c r="D217" s="273" t="s">
        <v>2573</v>
      </c>
      <c r="E217" s="273" t="s">
        <v>2571</v>
      </c>
      <c r="F217" s="273" t="s">
        <v>2571</v>
      </c>
    </row>
    <row r="218" spans="1:7">
      <c r="A218" s="273">
        <v>5</v>
      </c>
      <c r="B218" s="273" t="s">
        <v>2043</v>
      </c>
      <c r="C218" s="273" t="s">
        <v>2699</v>
      </c>
      <c r="D218" s="273" t="s">
        <v>2573</v>
      </c>
      <c r="E218" s="273" t="s">
        <v>2571</v>
      </c>
      <c r="F218" s="273" t="s">
        <v>2570</v>
      </c>
    </row>
    <row r="219" spans="1:7">
      <c r="A219" s="273">
        <v>5</v>
      </c>
      <c r="B219" s="273" t="s">
        <v>2043</v>
      </c>
      <c r="C219" s="273" t="s">
        <v>2699</v>
      </c>
      <c r="D219" s="273" t="s">
        <v>2573</v>
      </c>
      <c r="E219" s="273" t="s">
        <v>2571</v>
      </c>
      <c r="F219" s="273" t="s">
        <v>2569</v>
      </c>
    </row>
    <row r="220" spans="1:7">
      <c r="A220" s="273">
        <v>5</v>
      </c>
      <c r="B220" s="273" t="s">
        <v>2043</v>
      </c>
      <c r="C220" s="273" t="s">
        <v>2699</v>
      </c>
      <c r="D220" s="273" t="s">
        <v>2573</v>
      </c>
      <c r="E220" s="273" t="s">
        <v>2571</v>
      </c>
      <c r="F220" s="273" t="s">
        <v>2568</v>
      </c>
    </row>
    <row r="221" spans="1:7">
      <c r="A221" s="273">
        <v>5</v>
      </c>
      <c r="B221" s="273" t="s">
        <v>2043</v>
      </c>
      <c r="C221" s="273" t="s">
        <v>2699</v>
      </c>
      <c r="D221" s="273" t="s">
        <v>2573</v>
      </c>
      <c r="E221" s="273" t="s">
        <v>2571</v>
      </c>
      <c r="F221" s="273" t="s">
        <v>2567</v>
      </c>
    </row>
    <row r="222" spans="1:7">
      <c r="A222" s="273">
        <v>5</v>
      </c>
      <c r="B222" s="273" t="s">
        <v>2043</v>
      </c>
      <c r="C222" s="273" t="s">
        <v>2699</v>
      </c>
      <c r="D222" s="273" t="s">
        <v>2573</v>
      </c>
      <c r="E222" s="273" t="s">
        <v>2571</v>
      </c>
      <c r="F222" s="273" t="s">
        <v>2566</v>
      </c>
      <c r="G222" s="274">
        <v>45657</v>
      </c>
    </row>
    <row r="223" spans="1:7">
      <c r="A223" s="273">
        <v>5</v>
      </c>
      <c r="B223" s="273" t="s">
        <v>2043</v>
      </c>
      <c r="C223" s="273" t="s">
        <v>2699</v>
      </c>
      <c r="D223" s="273" t="s">
        <v>2573</v>
      </c>
      <c r="E223" s="273" t="s">
        <v>2571</v>
      </c>
      <c r="F223" s="273" t="s">
        <v>2565</v>
      </c>
      <c r="G223" s="273" t="s">
        <v>3017</v>
      </c>
    </row>
    <row r="224" spans="1:7">
      <c r="A224" s="273">
        <v>5</v>
      </c>
      <c r="B224" s="273" t="s">
        <v>2043</v>
      </c>
      <c r="C224" s="273" t="s">
        <v>2699</v>
      </c>
      <c r="D224" s="273" t="s">
        <v>2573</v>
      </c>
      <c r="E224" s="273" t="s">
        <v>2571</v>
      </c>
      <c r="F224" s="273" t="s">
        <v>2563</v>
      </c>
      <c r="G224" s="273" t="s">
        <v>2562</v>
      </c>
    </row>
    <row r="225" spans="1:7">
      <c r="A225" s="273">
        <v>5</v>
      </c>
      <c r="B225" s="273" t="s">
        <v>2043</v>
      </c>
      <c r="C225" s="273" t="s">
        <v>2699</v>
      </c>
      <c r="D225" s="273" t="s">
        <v>2573</v>
      </c>
      <c r="E225" s="273" t="s">
        <v>2571</v>
      </c>
      <c r="F225" s="273" t="s">
        <v>2561</v>
      </c>
    </row>
    <row r="226" spans="1:7">
      <c r="A226" s="273">
        <v>5</v>
      </c>
      <c r="B226" s="273" t="s">
        <v>2043</v>
      </c>
      <c r="C226" s="273" t="s">
        <v>2699</v>
      </c>
      <c r="D226" s="273" t="s">
        <v>2573</v>
      </c>
      <c r="E226" s="273" t="s">
        <v>2571</v>
      </c>
      <c r="F226" s="273" t="s">
        <v>2559</v>
      </c>
    </row>
    <row r="227" spans="1:7">
      <c r="A227" s="273">
        <v>4</v>
      </c>
      <c r="B227" s="273" t="s">
        <v>2043</v>
      </c>
      <c r="C227" s="273" t="s">
        <v>2699</v>
      </c>
      <c r="D227" s="273" t="s">
        <v>2573</v>
      </c>
      <c r="E227" s="273" t="s">
        <v>2571</v>
      </c>
    </row>
    <row r="228" spans="1:7">
      <c r="A228" s="273">
        <v>4</v>
      </c>
      <c r="B228" s="273" t="s">
        <v>2043</v>
      </c>
      <c r="C228" s="273" t="s">
        <v>2699</v>
      </c>
      <c r="D228" s="273" t="s">
        <v>2573</v>
      </c>
      <c r="E228" s="273" t="s">
        <v>2571</v>
      </c>
    </row>
    <row r="229" spans="1:7">
      <c r="A229" s="273">
        <v>3</v>
      </c>
      <c r="B229" s="273" t="s">
        <v>2043</v>
      </c>
      <c r="C229" s="273" t="s">
        <v>2699</v>
      </c>
      <c r="D229" s="273" t="s">
        <v>2556</v>
      </c>
      <c r="E229" s="273" t="s">
        <v>2556</v>
      </c>
      <c r="F229" s="273" t="s">
        <v>2556</v>
      </c>
      <c r="G229" s="273" t="s">
        <v>2555</v>
      </c>
    </row>
    <row r="230" spans="1:7">
      <c r="A230" s="273">
        <v>4</v>
      </c>
      <c r="B230" s="273" t="s">
        <v>2043</v>
      </c>
      <c r="C230" s="273" t="s">
        <v>2699</v>
      </c>
      <c r="D230" s="273" t="s">
        <v>2556</v>
      </c>
      <c r="E230" s="273" t="s">
        <v>2553</v>
      </c>
      <c r="F230" s="273" t="s">
        <v>2553</v>
      </c>
      <c r="G230" s="273" t="s">
        <v>2552</v>
      </c>
    </row>
    <row r="231" spans="1:7">
      <c r="A231" s="273">
        <v>5</v>
      </c>
      <c r="B231" s="273" t="s">
        <v>2043</v>
      </c>
      <c r="C231" s="273" t="s">
        <v>2699</v>
      </c>
      <c r="D231" s="273" t="s">
        <v>2556</v>
      </c>
      <c r="E231" s="273" t="s">
        <v>2553</v>
      </c>
      <c r="F231" s="273" t="s">
        <v>2551</v>
      </c>
      <c r="G231" s="273" t="s">
        <v>2550</v>
      </c>
    </row>
    <row r="232" spans="1:7">
      <c r="A232" s="273">
        <v>4</v>
      </c>
      <c r="B232" s="273" t="s">
        <v>2043</v>
      </c>
      <c r="C232" s="273" t="s">
        <v>2699</v>
      </c>
      <c r="D232" s="273" t="s">
        <v>2556</v>
      </c>
      <c r="E232" s="273" t="s">
        <v>2553</v>
      </c>
      <c r="G232" s="273" t="s">
        <v>3018</v>
      </c>
    </row>
    <row r="233" spans="1:7">
      <c r="A233" s="273">
        <v>5</v>
      </c>
      <c r="B233" s="273" t="s">
        <v>2043</v>
      </c>
      <c r="C233" s="273" t="s">
        <v>2699</v>
      </c>
      <c r="D233" s="273" t="s">
        <v>2556</v>
      </c>
      <c r="E233" s="273" t="s">
        <v>2553</v>
      </c>
      <c r="F233" s="273" t="s">
        <v>2547</v>
      </c>
      <c r="G233" s="273" t="s">
        <v>2546</v>
      </c>
    </row>
    <row r="234" spans="1:7">
      <c r="A234" s="273">
        <v>5</v>
      </c>
      <c r="B234" s="273" t="s">
        <v>2043</v>
      </c>
      <c r="C234" s="273" t="s">
        <v>2699</v>
      </c>
      <c r="D234" s="273" t="s">
        <v>2556</v>
      </c>
      <c r="E234" s="273" t="s">
        <v>2553</v>
      </c>
      <c r="F234" s="273" t="s">
        <v>2545</v>
      </c>
      <c r="G234" s="273" t="s">
        <v>2544</v>
      </c>
    </row>
    <row r="235" spans="1:7">
      <c r="A235" s="273">
        <v>5</v>
      </c>
      <c r="B235" s="273" t="s">
        <v>2043</v>
      </c>
      <c r="C235" s="273" t="s">
        <v>2699</v>
      </c>
      <c r="D235" s="273" t="s">
        <v>2556</v>
      </c>
      <c r="E235" s="273" t="s">
        <v>2553</v>
      </c>
      <c r="F235" s="273" t="s">
        <v>2543</v>
      </c>
      <c r="G235" s="273" t="s">
        <v>2542</v>
      </c>
    </row>
    <row r="236" spans="1:7">
      <c r="A236" s="273">
        <v>5</v>
      </c>
      <c r="B236" s="273" t="s">
        <v>2043</v>
      </c>
      <c r="C236" s="273" t="s">
        <v>2699</v>
      </c>
      <c r="D236" s="273" t="s">
        <v>2556</v>
      </c>
      <c r="E236" s="273" t="s">
        <v>2553</v>
      </c>
      <c r="F236" s="273" t="s">
        <v>2541</v>
      </c>
      <c r="G236" s="273" t="s">
        <v>2540</v>
      </c>
    </row>
    <row r="237" spans="1:7">
      <c r="A237" s="273">
        <v>5</v>
      </c>
      <c r="B237" s="273" t="s">
        <v>2043</v>
      </c>
      <c r="C237" s="273" t="s">
        <v>2699</v>
      </c>
      <c r="D237" s="273" t="s">
        <v>2556</v>
      </c>
      <c r="E237" s="273" t="s">
        <v>2553</v>
      </c>
      <c r="F237" s="273" t="s">
        <v>2539</v>
      </c>
      <c r="G237" s="273" t="s">
        <v>2538</v>
      </c>
    </row>
    <row r="238" spans="1:7">
      <c r="A238" s="273">
        <v>5</v>
      </c>
      <c r="B238" s="273" t="s">
        <v>2043</v>
      </c>
      <c r="C238" s="273" t="s">
        <v>2699</v>
      </c>
      <c r="D238" s="273" t="s">
        <v>2556</v>
      </c>
      <c r="E238" s="273" t="s">
        <v>2553</v>
      </c>
      <c r="F238" s="273" t="s">
        <v>2537</v>
      </c>
      <c r="G238" s="273" t="s">
        <v>2536</v>
      </c>
    </row>
    <row r="239" spans="1:7">
      <c r="A239" s="273">
        <v>4</v>
      </c>
      <c r="B239" s="273" t="s">
        <v>2043</v>
      </c>
      <c r="C239" s="273" t="s">
        <v>2699</v>
      </c>
      <c r="D239" s="273" t="s">
        <v>2556</v>
      </c>
      <c r="E239" s="273" t="s">
        <v>2553</v>
      </c>
    </row>
    <row r="240" spans="1:7">
      <c r="A240" s="273">
        <v>4</v>
      </c>
      <c r="B240" s="273" t="s">
        <v>2043</v>
      </c>
      <c r="C240" s="273" t="s">
        <v>2699</v>
      </c>
      <c r="D240" s="273" t="s">
        <v>2556</v>
      </c>
      <c r="E240" s="273" t="s">
        <v>2534</v>
      </c>
      <c r="F240" s="273" t="s">
        <v>2534</v>
      </c>
      <c r="G240" s="273" t="s">
        <v>2533</v>
      </c>
    </row>
    <row r="241" spans="1:7">
      <c r="A241" s="273">
        <v>5</v>
      </c>
      <c r="B241" s="273" t="s">
        <v>2043</v>
      </c>
      <c r="C241" s="273" t="s">
        <v>2699</v>
      </c>
      <c r="D241" s="273" t="s">
        <v>2556</v>
      </c>
      <c r="E241" s="273" t="s">
        <v>2534</v>
      </c>
      <c r="F241" s="273" t="s">
        <v>2532</v>
      </c>
    </row>
    <row r="242" spans="1:7">
      <c r="A242" s="273">
        <v>5</v>
      </c>
      <c r="B242" s="273" t="s">
        <v>2043</v>
      </c>
      <c r="C242" s="273" t="s">
        <v>2699</v>
      </c>
      <c r="D242" s="273" t="s">
        <v>2556</v>
      </c>
      <c r="E242" s="273" t="s">
        <v>2534</v>
      </c>
      <c r="F242" s="273" t="s">
        <v>2531</v>
      </c>
    </row>
    <row r="243" spans="1:7">
      <c r="A243" s="273">
        <v>5</v>
      </c>
      <c r="B243" s="273" t="s">
        <v>2043</v>
      </c>
      <c r="C243" s="273" t="s">
        <v>2699</v>
      </c>
      <c r="D243" s="273" t="s">
        <v>2556</v>
      </c>
      <c r="E243" s="273" t="s">
        <v>2534</v>
      </c>
      <c r="F243" s="273" t="s">
        <v>2530</v>
      </c>
    </row>
    <row r="244" spans="1:7">
      <c r="A244" s="273">
        <v>5</v>
      </c>
      <c r="B244" s="273" t="s">
        <v>2043</v>
      </c>
      <c r="C244" s="273" t="s">
        <v>2699</v>
      </c>
      <c r="D244" s="273" t="s">
        <v>2556</v>
      </c>
      <c r="E244" s="273" t="s">
        <v>2534</v>
      </c>
      <c r="F244" s="273" t="s">
        <v>2529</v>
      </c>
    </row>
    <row r="245" spans="1:7">
      <c r="A245" s="273">
        <v>5</v>
      </c>
      <c r="B245" s="273" t="s">
        <v>2043</v>
      </c>
      <c r="C245" s="273" t="s">
        <v>2699</v>
      </c>
      <c r="D245" s="273" t="s">
        <v>2556</v>
      </c>
      <c r="E245" s="273" t="s">
        <v>2534</v>
      </c>
      <c r="F245" s="273" t="s">
        <v>2528</v>
      </c>
    </row>
    <row r="246" spans="1:7">
      <c r="A246" s="273">
        <v>4</v>
      </c>
      <c r="B246" s="273" t="s">
        <v>2043</v>
      </c>
      <c r="C246" s="273" t="s">
        <v>2699</v>
      </c>
      <c r="D246" s="273" t="s">
        <v>2556</v>
      </c>
      <c r="E246" s="273" t="s">
        <v>2534</v>
      </c>
    </row>
    <row r="247" spans="1:7">
      <c r="A247" s="273">
        <v>4</v>
      </c>
      <c r="B247" s="273" t="s">
        <v>2043</v>
      </c>
      <c r="C247" s="273" t="s">
        <v>2699</v>
      </c>
      <c r="D247" s="273" t="s">
        <v>2556</v>
      </c>
      <c r="E247" s="273" t="s">
        <v>2534</v>
      </c>
    </row>
    <row r="248" spans="1:7">
      <c r="A248" s="273">
        <v>4</v>
      </c>
      <c r="B248" s="273" t="s">
        <v>2043</v>
      </c>
      <c r="C248" s="273" t="s">
        <v>2699</v>
      </c>
      <c r="D248" s="273" t="s">
        <v>2556</v>
      </c>
      <c r="E248" s="273" t="s">
        <v>2534</v>
      </c>
    </row>
    <row r="249" spans="1:7">
      <c r="A249" s="273">
        <v>2</v>
      </c>
      <c r="B249" s="273" t="s">
        <v>2043</v>
      </c>
      <c r="C249" s="273" t="s">
        <v>2526</v>
      </c>
      <c r="D249" s="273" t="s">
        <v>2526</v>
      </c>
      <c r="E249" s="273" t="s">
        <v>2526</v>
      </c>
      <c r="F249" s="273" t="s">
        <v>2526</v>
      </c>
      <c r="G249" s="273" t="s">
        <v>2525</v>
      </c>
    </row>
    <row r="250" spans="1:7">
      <c r="A250" s="273">
        <v>3</v>
      </c>
      <c r="B250" s="273" t="s">
        <v>2043</v>
      </c>
      <c r="C250" s="273" t="s">
        <v>2526</v>
      </c>
      <c r="D250" s="273" t="s">
        <v>2524</v>
      </c>
      <c r="E250" s="273" t="s">
        <v>2524</v>
      </c>
      <c r="F250" s="273" t="s">
        <v>2524</v>
      </c>
    </row>
    <row r="251" spans="1:7">
      <c r="A251" s="273">
        <v>4</v>
      </c>
      <c r="B251" s="273" t="s">
        <v>2043</v>
      </c>
      <c r="C251" s="273" t="s">
        <v>2526</v>
      </c>
      <c r="D251" s="273" t="s">
        <v>2524</v>
      </c>
      <c r="E251" s="273" t="s">
        <v>2522</v>
      </c>
      <c r="F251" s="273" t="s">
        <v>2522</v>
      </c>
    </row>
    <row r="252" spans="1:7">
      <c r="A252" s="273">
        <v>5</v>
      </c>
      <c r="B252" s="273" t="s">
        <v>2043</v>
      </c>
      <c r="C252" s="273" t="s">
        <v>2526</v>
      </c>
      <c r="D252" s="273" t="s">
        <v>2524</v>
      </c>
      <c r="E252" s="273" t="s">
        <v>2522</v>
      </c>
    </row>
    <row r="253" spans="1:7">
      <c r="A253" s="273">
        <v>5</v>
      </c>
      <c r="B253" s="273" t="s">
        <v>2043</v>
      </c>
      <c r="C253" s="273" t="s">
        <v>2526</v>
      </c>
      <c r="D253" s="273" t="s">
        <v>2524</v>
      </c>
      <c r="E253" s="273" t="s">
        <v>2522</v>
      </c>
    </row>
    <row r="254" spans="1:7">
      <c r="A254" s="273">
        <v>5</v>
      </c>
      <c r="B254" s="273" t="s">
        <v>2043</v>
      </c>
      <c r="C254" s="273" t="s">
        <v>2526</v>
      </c>
      <c r="D254" s="273" t="s">
        <v>2524</v>
      </c>
      <c r="E254" s="273" t="s">
        <v>2522</v>
      </c>
      <c r="F254" s="273" t="s">
        <v>2515</v>
      </c>
      <c r="G254" s="273" t="s">
        <v>2514</v>
      </c>
    </row>
    <row r="255" spans="1:7">
      <c r="A255" s="273">
        <v>5</v>
      </c>
      <c r="B255" s="273" t="s">
        <v>2043</v>
      </c>
      <c r="C255" s="273" t="s">
        <v>2526</v>
      </c>
      <c r="D255" s="273" t="s">
        <v>2524</v>
      </c>
      <c r="E255" s="273" t="s">
        <v>2522</v>
      </c>
      <c r="F255" s="273" t="s">
        <v>2513</v>
      </c>
      <c r="G255" s="273" t="s">
        <v>2512</v>
      </c>
    </row>
    <row r="256" spans="1:7">
      <c r="A256" s="273">
        <v>5</v>
      </c>
      <c r="B256" s="273" t="s">
        <v>2043</v>
      </c>
      <c r="C256" s="273" t="s">
        <v>2526</v>
      </c>
      <c r="D256" s="273" t="s">
        <v>2524</v>
      </c>
      <c r="E256" s="273" t="s">
        <v>2522</v>
      </c>
      <c r="F256" s="273" t="s">
        <v>2511</v>
      </c>
      <c r="G256" s="273" t="s">
        <v>2510</v>
      </c>
    </row>
    <row r="257" spans="1:7">
      <c r="A257" s="273">
        <v>5</v>
      </c>
      <c r="B257" s="273" t="s">
        <v>2043</v>
      </c>
      <c r="C257" s="273" t="s">
        <v>2526</v>
      </c>
      <c r="D257" s="273" t="s">
        <v>2524</v>
      </c>
      <c r="E257" s="273" t="s">
        <v>2522</v>
      </c>
      <c r="F257" s="273" t="s">
        <v>2509</v>
      </c>
      <c r="G257" s="273" t="s">
        <v>2508</v>
      </c>
    </row>
    <row r="258" spans="1:7">
      <c r="A258" s="273">
        <v>5</v>
      </c>
      <c r="B258" s="273" t="s">
        <v>2043</v>
      </c>
      <c r="C258" s="273" t="s">
        <v>2526</v>
      </c>
      <c r="D258" s="273" t="s">
        <v>2524</v>
      </c>
      <c r="E258" s="273" t="s">
        <v>2522</v>
      </c>
      <c r="F258" s="273" t="s">
        <v>2507</v>
      </c>
      <c r="G258" s="273" t="s">
        <v>2506</v>
      </c>
    </row>
    <row r="259" spans="1:7">
      <c r="A259" s="273">
        <v>5</v>
      </c>
      <c r="B259" s="273" t="s">
        <v>2043</v>
      </c>
      <c r="C259" s="273" t="s">
        <v>2526</v>
      </c>
      <c r="D259" s="273" t="s">
        <v>2524</v>
      </c>
      <c r="E259" s="273" t="s">
        <v>2522</v>
      </c>
      <c r="F259" s="273" t="s">
        <v>2504</v>
      </c>
    </row>
    <row r="260" spans="1:7">
      <c r="A260" s="273">
        <v>5</v>
      </c>
      <c r="B260" s="273" t="s">
        <v>2043</v>
      </c>
      <c r="C260" s="273" t="s">
        <v>2526</v>
      </c>
      <c r="D260" s="273" t="s">
        <v>2524</v>
      </c>
      <c r="E260" s="273" t="s">
        <v>2522</v>
      </c>
      <c r="F260" s="273" t="s">
        <v>2502</v>
      </c>
    </row>
    <row r="261" spans="1:7">
      <c r="A261" s="273">
        <v>4</v>
      </c>
      <c r="B261" s="273" t="s">
        <v>2043</v>
      </c>
      <c r="C261" s="273" t="s">
        <v>2526</v>
      </c>
      <c r="D261" s="273" t="s">
        <v>2524</v>
      </c>
      <c r="E261" s="273" t="s">
        <v>2522</v>
      </c>
    </row>
    <row r="262" spans="1:7">
      <c r="A262" s="273">
        <v>4</v>
      </c>
      <c r="B262" s="273" t="s">
        <v>2043</v>
      </c>
      <c r="C262" s="273" t="s">
        <v>2526</v>
      </c>
      <c r="D262" s="273" t="s">
        <v>2524</v>
      </c>
      <c r="E262" s="273" t="s">
        <v>2522</v>
      </c>
    </row>
    <row r="263" spans="1:7">
      <c r="A263" s="273">
        <v>3</v>
      </c>
      <c r="B263" s="273" t="s">
        <v>2043</v>
      </c>
      <c r="C263" s="273" t="s">
        <v>2526</v>
      </c>
      <c r="D263" s="273" t="s">
        <v>2499</v>
      </c>
      <c r="E263" s="273" t="s">
        <v>2499</v>
      </c>
      <c r="F263" s="273" t="s">
        <v>2499</v>
      </c>
    </row>
    <row r="264" spans="1:7">
      <c r="A264" s="273">
        <v>4</v>
      </c>
      <c r="B264" s="273" t="s">
        <v>2043</v>
      </c>
      <c r="C264" s="273" t="s">
        <v>2526</v>
      </c>
      <c r="D264" s="273" t="s">
        <v>2499</v>
      </c>
      <c r="E264" s="273" t="s">
        <v>2497</v>
      </c>
      <c r="F264" s="273" t="s">
        <v>2497</v>
      </c>
      <c r="G264" s="273" t="s">
        <v>3019</v>
      </c>
    </row>
    <row r="265" spans="1:7">
      <c r="A265" s="273">
        <v>5</v>
      </c>
      <c r="B265" s="273" t="s">
        <v>2043</v>
      </c>
      <c r="C265" s="273" t="s">
        <v>2526</v>
      </c>
      <c r="D265" s="273" t="s">
        <v>2499</v>
      </c>
      <c r="E265" s="273" t="s">
        <v>2497</v>
      </c>
      <c r="F265" s="273" t="s">
        <v>2495</v>
      </c>
    </row>
    <row r="266" spans="1:7">
      <c r="A266" s="273">
        <v>4</v>
      </c>
      <c r="B266" s="273" t="s">
        <v>2043</v>
      </c>
      <c r="C266" s="273" t="s">
        <v>2526</v>
      </c>
      <c r="D266" s="273" t="s">
        <v>2499</v>
      </c>
      <c r="E266" s="273" t="s">
        <v>2497</v>
      </c>
    </row>
    <row r="267" spans="1:7">
      <c r="A267" s="273">
        <v>4</v>
      </c>
      <c r="B267" s="273" t="s">
        <v>2043</v>
      </c>
      <c r="C267" s="273" t="s">
        <v>2526</v>
      </c>
      <c r="D267" s="273" t="s">
        <v>2499</v>
      </c>
      <c r="E267" s="273" t="s">
        <v>2494</v>
      </c>
      <c r="F267" s="273" t="s">
        <v>2494</v>
      </c>
      <c r="G267" s="273" t="s">
        <v>3020</v>
      </c>
    </row>
    <row r="268" spans="1:7">
      <c r="A268" s="273">
        <v>5</v>
      </c>
      <c r="B268" s="273" t="s">
        <v>2043</v>
      </c>
      <c r="C268" s="273" t="s">
        <v>2526</v>
      </c>
      <c r="D268" s="273" t="s">
        <v>2499</v>
      </c>
      <c r="E268" s="273" t="s">
        <v>2494</v>
      </c>
      <c r="F268" s="273" t="s">
        <v>2492</v>
      </c>
      <c r="G268" s="273" t="s">
        <v>2247</v>
      </c>
    </row>
    <row r="269" spans="1:7">
      <c r="A269" s="273">
        <v>4</v>
      </c>
      <c r="B269" s="273" t="s">
        <v>2043</v>
      </c>
      <c r="C269" s="273" t="s">
        <v>2526</v>
      </c>
      <c r="D269" s="273" t="s">
        <v>2499</v>
      </c>
      <c r="E269" s="273" t="s">
        <v>2494</v>
      </c>
    </row>
    <row r="270" spans="1:7">
      <c r="A270" s="273">
        <v>4</v>
      </c>
      <c r="B270" s="273" t="s">
        <v>2043</v>
      </c>
      <c r="C270" s="273" t="s">
        <v>2526</v>
      </c>
      <c r="D270" s="273" t="s">
        <v>2499</v>
      </c>
      <c r="E270" s="273" t="s">
        <v>2488</v>
      </c>
      <c r="F270" s="273" t="s">
        <v>2488</v>
      </c>
      <c r="G270" s="273" t="s">
        <v>3021</v>
      </c>
    </row>
    <row r="271" spans="1:7">
      <c r="A271" s="273">
        <v>5</v>
      </c>
      <c r="B271" s="273" t="s">
        <v>2043</v>
      </c>
      <c r="C271" s="273" t="s">
        <v>2526</v>
      </c>
      <c r="D271" s="273" t="s">
        <v>2499</v>
      </c>
      <c r="E271" s="273" t="s">
        <v>2488</v>
      </c>
      <c r="F271" s="273" t="s">
        <v>2486</v>
      </c>
      <c r="G271" s="273" t="s">
        <v>3022</v>
      </c>
    </row>
    <row r="272" spans="1:7">
      <c r="A272" s="273">
        <v>4</v>
      </c>
      <c r="B272" s="273" t="s">
        <v>2043</v>
      </c>
      <c r="C272" s="273" t="s">
        <v>2526</v>
      </c>
      <c r="D272" s="273" t="s">
        <v>2499</v>
      </c>
      <c r="E272" s="273" t="s">
        <v>2488</v>
      </c>
    </row>
    <row r="273" spans="1:7">
      <c r="A273" s="273">
        <v>4</v>
      </c>
      <c r="B273" s="273" t="s">
        <v>2043</v>
      </c>
      <c r="C273" s="273" t="s">
        <v>2526</v>
      </c>
      <c r="D273" s="273" t="s">
        <v>2499</v>
      </c>
      <c r="E273" s="273" t="s">
        <v>2483</v>
      </c>
      <c r="F273" s="273" t="s">
        <v>2483</v>
      </c>
      <c r="G273" s="273" t="s">
        <v>3023</v>
      </c>
    </row>
    <row r="274" spans="1:7">
      <c r="A274" s="273">
        <v>5</v>
      </c>
      <c r="B274" s="273" t="s">
        <v>2043</v>
      </c>
      <c r="C274" s="273" t="s">
        <v>2526</v>
      </c>
      <c r="D274" s="273" t="s">
        <v>2499</v>
      </c>
      <c r="E274" s="273" t="s">
        <v>2483</v>
      </c>
      <c r="F274" s="273" t="s">
        <v>2481</v>
      </c>
      <c r="G274" s="273" t="s">
        <v>2480</v>
      </c>
    </row>
    <row r="275" spans="1:7">
      <c r="A275" s="273">
        <v>4</v>
      </c>
      <c r="B275" s="273" t="s">
        <v>2043</v>
      </c>
      <c r="C275" s="273" t="s">
        <v>2526</v>
      </c>
      <c r="D275" s="273" t="s">
        <v>2499</v>
      </c>
      <c r="E275" s="273" t="s">
        <v>2483</v>
      </c>
    </row>
    <row r="276" spans="1:7">
      <c r="A276" s="273">
        <v>4</v>
      </c>
      <c r="B276" s="273" t="s">
        <v>2043</v>
      </c>
      <c r="C276" s="273" t="s">
        <v>2526</v>
      </c>
      <c r="D276" s="273" t="s">
        <v>2499</v>
      </c>
      <c r="E276" s="273" t="s">
        <v>2479</v>
      </c>
      <c r="F276" s="273" t="s">
        <v>2479</v>
      </c>
      <c r="G276" s="273" t="s">
        <v>2478</v>
      </c>
    </row>
    <row r="277" spans="1:7">
      <c r="A277" s="273">
        <v>5</v>
      </c>
      <c r="B277" s="273" t="s">
        <v>2043</v>
      </c>
      <c r="C277" s="273" t="s">
        <v>2526</v>
      </c>
      <c r="D277" s="273" t="s">
        <v>2499</v>
      </c>
      <c r="E277" s="273" t="s">
        <v>2479</v>
      </c>
      <c r="F277" s="273" t="s">
        <v>2476</v>
      </c>
      <c r="G277" s="273" t="s">
        <v>2477</v>
      </c>
    </row>
    <row r="278" spans="1:7">
      <c r="A278" s="273">
        <v>5</v>
      </c>
      <c r="B278" s="273" t="s">
        <v>2043</v>
      </c>
      <c r="C278" s="273" t="s">
        <v>2526</v>
      </c>
      <c r="D278" s="273" t="s">
        <v>2499</v>
      </c>
      <c r="E278" s="273" t="s">
        <v>2479</v>
      </c>
      <c r="F278" s="273" t="s">
        <v>2476</v>
      </c>
      <c r="G278" s="273" t="s">
        <v>3024</v>
      </c>
    </row>
    <row r="279" spans="1:7">
      <c r="A279" s="273">
        <v>5</v>
      </c>
      <c r="B279" s="273" t="s">
        <v>2043</v>
      </c>
      <c r="C279" s="273" t="s">
        <v>2526</v>
      </c>
      <c r="D279" s="273" t="s">
        <v>2499</v>
      </c>
      <c r="E279" s="273" t="s">
        <v>2479</v>
      </c>
      <c r="F279" s="273" t="s">
        <v>2474</v>
      </c>
      <c r="G279" s="273" t="s">
        <v>3025</v>
      </c>
    </row>
    <row r="280" spans="1:7">
      <c r="A280" s="273">
        <v>5</v>
      </c>
      <c r="B280" s="273" t="s">
        <v>2043</v>
      </c>
      <c r="C280" s="273" t="s">
        <v>2526</v>
      </c>
      <c r="D280" s="273" t="s">
        <v>2499</v>
      </c>
      <c r="E280" s="273" t="s">
        <v>2479</v>
      </c>
      <c r="F280" s="273" t="s">
        <v>2472</v>
      </c>
      <c r="G280" s="273" t="s">
        <v>3026</v>
      </c>
    </row>
    <row r="281" spans="1:7">
      <c r="A281" s="273">
        <v>4</v>
      </c>
      <c r="B281" s="273" t="s">
        <v>2043</v>
      </c>
      <c r="C281" s="273" t="s">
        <v>2526</v>
      </c>
      <c r="D281" s="273" t="s">
        <v>2499</v>
      </c>
      <c r="E281" s="273" t="s">
        <v>2479</v>
      </c>
    </row>
    <row r="282" spans="1:7">
      <c r="A282" s="273">
        <v>4</v>
      </c>
      <c r="B282" s="273" t="s">
        <v>2043</v>
      </c>
      <c r="C282" s="273" t="s">
        <v>2526</v>
      </c>
      <c r="D282" s="273" t="s">
        <v>2499</v>
      </c>
      <c r="E282" s="273" t="s">
        <v>2470</v>
      </c>
      <c r="F282" s="273" t="s">
        <v>2470</v>
      </c>
      <c r="G282" s="273" t="s">
        <v>2469</v>
      </c>
    </row>
    <row r="283" spans="1:7">
      <c r="A283" s="273">
        <v>5</v>
      </c>
      <c r="B283" s="273" t="s">
        <v>2043</v>
      </c>
      <c r="C283" s="273" t="s">
        <v>2526</v>
      </c>
      <c r="D283" s="273" t="s">
        <v>2499</v>
      </c>
      <c r="E283" s="273" t="s">
        <v>2470</v>
      </c>
      <c r="F283" s="273" t="s">
        <v>2468</v>
      </c>
      <c r="G283" s="273" t="s">
        <v>2467</v>
      </c>
    </row>
    <row r="284" spans="1:7">
      <c r="A284" s="273">
        <v>5</v>
      </c>
      <c r="B284" s="273" t="s">
        <v>2043</v>
      </c>
      <c r="C284" s="273" t="s">
        <v>2526</v>
      </c>
      <c r="D284" s="273" t="s">
        <v>2499</v>
      </c>
      <c r="E284" s="273" t="s">
        <v>2470</v>
      </c>
      <c r="F284" s="273" t="s">
        <v>2466</v>
      </c>
      <c r="G284" s="273" t="s">
        <v>2465</v>
      </c>
    </row>
    <row r="285" spans="1:7">
      <c r="A285" s="273">
        <v>5</v>
      </c>
      <c r="B285" s="273" t="s">
        <v>2043</v>
      </c>
      <c r="C285" s="273" t="s">
        <v>2526</v>
      </c>
      <c r="D285" s="273" t="s">
        <v>2499</v>
      </c>
      <c r="E285" s="273" t="s">
        <v>2470</v>
      </c>
      <c r="F285" s="273" t="s">
        <v>2464</v>
      </c>
      <c r="G285" s="273" t="s">
        <v>2463</v>
      </c>
    </row>
    <row r="286" spans="1:7">
      <c r="A286" s="273">
        <v>5</v>
      </c>
      <c r="B286" s="273" t="s">
        <v>2043</v>
      </c>
      <c r="C286" s="273" t="s">
        <v>2526</v>
      </c>
      <c r="D286" s="273" t="s">
        <v>2499</v>
      </c>
      <c r="E286" s="273" t="s">
        <v>2470</v>
      </c>
      <c r="F286" s="273" t="s">
        <v>2462</v>
      </c>
      <c r="G286" s="273" t="s">
        <v>2461</v>
      </c>
    </row>
    <row r="287" spans="1:7">
      <c r="A287" s="273">
        <v>5</v>
      </c>
      <c r="B287" s="273" t="s">
        <v>2043</v>
      </c>
      <c r="C287" s="273" t="s">
        <v>2526</v>
      </c>
      <c r="D287" s="273" t="s">
        <v>2499</v>
      </c>
      <c r="E287" s="273" t="s">
        <v>2470</v>
      </c>
      <c r="F287" s="273" t="s">
        <v>2459</v>
      </c>
      <c r="G287" s="273" t="s">
        <v>2458</v>
      </c>
    </row>
    <row r="288" spans="1:7">
      <c r="A288" s="273">
        <v>5</v>
      </c>
      <c r="B288" s="273" t="s">
        <v>2043</v>
      </c>
      <c r="C288" s="273" t="s">
        <v>2526</v>
      </c>
      <c r="D288" s="273" t="s">
        <v>2499</v>
      </c>
      <c r="E288" s="273" t="s">
        <v>2470</v>
      </c>
      <c r="F288" s="273" t="s">
        <v>2457</v>
      </c>
      <c r="G288" s="273" t="s">
        <v>2456</v>
      </c>
    </row>
    <row r="289" spans="1:7">
      <c r="A289" s="273">
        <v>4</v>
      </c>
      <c r="B289" s="273" t="s">
        <v>2043</v>
      </c>
      <c r="C289" s="273" t="s">
        <v>2526</v>
      </c>
      <c r="D289" s="273" t="s">
        <v>2499</v>
      </c>
      <c r="E289" s="273" t="s">
        <v>2470</v>
      </c>
    </row>
    <row r="290" spans="1:7">
      <c r="A290" s="273">
        <v>4</v>
      </c>
      <c r="B290" s="273" t="s">
        <v>2043</v>
      </c>
      <c r="C290" s="273" t="s">
        <v>2526</v>
      </c>
      <c r="D290" s="273" t="s">
        <v>2499</v>
      </c>
      <c r="E290" s="273" t="s">
        <v>2455</v>
      </c>
      <c r="F290" s="273" t="s">
        <v>2455</v>
      </c>
      <c r="G290" s="273" t="s">
        <v>2454</v>
      </c>
    </row>
    <row r="291" spans="1:7">
      <c r="A291" s="273">
        <v>5</v>
      </c>
      <c r="B291" s="273" t="s">
        <v>2043</v>
      </c>
      <c r="C291" s="273" t="s">
        <v>2526</v>
      </c>
      <c r="D291" s="273" t="s">
        <v>2499</v>
      </c>
      <c r="E291" s="273" t="s">
        <v>2455</v>
      </c>
      <c r="F291" s="273" t="s">
        <v>2453</v>
      </c>
      <c r="G291" s="273" t="s">
        <v>2452</v>
      </c>
    </row>
    <row r="292" spans="1:7">
      <c r="A292" s="273">
        <v>5</v>
      </c>
      <c r="B292" s="273" t="s">
        <v>2043</v>
      </c>
      <c r="C292" s="273" t="s">
        <v>2526</v>
      </c>
      <c r="D292" s="273" t="s">
        <v>2499</v>
      </c>
      <c r="E292" s="273" t="s">
        <v>2455</v>
      </c>
      <c r="F292" s="273" t="s">
        <v>2451</v>
      </c>
      <c r="G292" s="273" t="s">
        <v>3027</v>
      </c>
    </row>
    <row r="293" spans="1:7">
      <c r="A293" s="273">
        <v>5</v>
      </c>
      <c r="B293" s="273" t="s">
        <v>2043</v>
      </c>
      <c r="C293" s="273" t="s">
        <v>2526</v>
      </c>
      <c r="D293" s="273" t="s">
        <v>2499</v>
      </c>
      <c r="E293" s="273" t="s">
        <v>2455</v>
      </c>
      <c r="F293" s="273" t="s">
        <v>2449</v>
      </c>
      <c r="G293" s="273" t="s">
        <v>2448</v>
      </c>
    </row>
    <row r="294" spans="1:7">
      <c r="A294" s="273">
        <v>5</v>
      </c>
      <c r="B294" s="273" t="s">
        <v>2043</v>
      </c>
      <c r="C294" s="273" t="s">
        <v>2526</v>
      </c>
      <c r="D294" s="273" t="s">
        <v>2499</v>
      </c>
      <c r="E294" s="273" t="s">
        <v>2455</v>
      </c>
      <c r="F294" s="273" t="s">
        <v>2447</v>
      </c>
      <c r="G294" s="273" t="s">
        <v>3028</v>
      </c>
    </row>
    <row r="295" spans="1:7">
      <c r="A295" s="273">
        <v>5</v>
      </c>
      <c r="B295" s="273" t="s">
        <v>2043</v>
      </c>
      <c r="C295" s="273" t="s">
        <v>2526</v>
      </c>
      <c r="D295" s="273" t="s">
        <v>2499</v>
      </c>
      <c r="E295" s="273" t="s">
        <v>2455</v>
      </c>
      <c r="F295" s="273" t="s">
        <v>2445</v>
      </c>
      <c r="G295" s="273" t="s">
        <v>3029</v>
      </c>
    </row>
    <row r="296" spans="1:7">
      <c r="A296" s="273">
        <v>5</v>
      </c>
      <c r="B296" s="273" t="s">
        <v>2043</v>
      </c>
      <c r="C296" s="273" t="s">
        <v>2526</v>
      </c>
      <c r="D296" s="273" t="s">
        <v>2499</v>
      </c>
      <c r="E296" s="273" t="s">
        <v>2455</v>
      </c>
      <c r="F296" s="273" t="s">
        <v>2443</v>
      </c>
      <c r="G296" s="273" t="s">
        <v>3030</v>
      </c>
    </row>
    <row r="297" spans="1:7">
      <c r="A297" s="273">
        <v>5</v>
      </c>
      <c r="B297" s="273" t="s">
        <v>2043</v>
      </c>
      <c r="C297" s="273" t="s">
        <v>2526</v>
      </c>
      <c r="D297" s="273" t="s">
        <v>2499</v>
      </c>
      <c r="E297" s="273" t="s">
        <v>2455</v>
      </c>
      <c r="F297" s="273" t="s">
        <v>2441</v>
      </c>
      <c r="G297" s="273" t="s">
        <v>3031</v>
      </c>
    </row>
    <row r="298" spans="1:7">
      <c r="A298" s="273">
        <v>5</v>
      </c>
      <c r="B298" s="273" t="s">
        <v>2043</v>
      </c>
      <c r="C298" s="273" t="s">
        <v>2526</v>
      </c>
      <c r="D298" s="273" t="s">
        <v>2499</v>
      </c>
      <c r="E298" s="273" t="s">
        <v>2455</v>
      </c>
      <c r="F298" s="273" t="s">
        <v>2439</v>
      </c>
      <c r="G298" s="273" t="s">
        <v>2438</v>
      </c>
    </row>
    <row r="299" spans="1:7">
      <c r="A299" s="273">
        <v>5</v>
      </c>
      <c r="B299" s="273" t="s">
        <v>2043</v>
      </c>
      <c r="C299" s="273" t="s">
        <v>2526</v>
      </c>
      <c r="D299" s="273" t="s">
        <v>2499</v>
      </c>
      <c r="E299" s="273" t="s">
        <v>2455</v>
      </c>
      <c r="F299" s="273" t="s">
        <v>2437</v>
      </c>
      <c r="G299" s="273" t="s">
        <v>2436</v>
      </c>
    </row>
    <row r="300" spans="1:7">
      <c r="A300" s="273">
        <v>4</v>
      </c>
      <c r="B300" s="273" t="s">
        <v>2043</v>
      </c>
      <c r="C300" s="273" t="s">
        <v>2526</v>
      </c>
      <c r="D300" s="273" t="s">
        <v>2499</v>
      </c>
      <c r="E300" s="273" t="s">
        <v>2455</v>
      </c>
    </row>
    <row r="301" spans="1:7">
      <c r="A301" s="273">
        <v>4</v>
      </c>
      <c r="B301" s="273" t="s">
        <v>2043</v>
      </c>
      <c r="C301" s="273" t="s">
        <v>2526</v>
      </c>
      <c r="D301" s="273" t="s">
        <v>2499</v>
      </c>
      <c r="E301" s="273" t="s">
        <v>2435</v>
      </c>
      <c r="F301" s="273" t="s">
        <v>2435</v>
      </c>
      <c r="G301" s="273" t="s">
        <v>478</v>
      </c>
    </row>
    <row r="302" spans="1:7">
      <c r="A302" s="273">
        <v>5</v>
      </c>
      <c r="B302" s="273" t="s">
        <v>2043</v>
      </c>
      <c r="C302" s="273" t="s">
        <v>2526</v>
      </c>
      <c r="D302" s="273" t="s">
        <v>2499</v>
      </c>
      <c r="E302" s="273" t="s">
        <v>2435</v>
      </c>
      <c r="F302" s="273" t="s">
        <v>2434</v>
      </c>
      <c r="G302" s="273" t="s">
        <v>3032</v>
      </c>
    </row>
    <row r="303" spans="1:7">
      <c r="A303" s="273">
        <v>5</v>
      </c>
      <c r="B303" s="273" t="s">
        <v>2043</v>
      </c>
      <c r="C303" s="273" t="s">
        <v>2526</v>
      </c>
      <c r="D303" s="273" t="s">
        <v>2499</v>
      </c>
      <c r="E303" s="273" t="s">
        <v>2435</v>
      </c>
      <c r="F303" s="273" t="s">
        <v>2427</v>
      </c>
      <c r="G303" s="273" t="s">
        <v>2426</v>
      </c>
    </row>
    <row r="304" spans="1:7">
      <c r="A304" s="273">
        <v>5</v>
      </c>
      <c r="B304" s="273" t="s">
        <v>2043</v>
      </c>
      <c r="C304" s="273" t="s">
        <v>2526</v>
      </c>
      <c r="D304" s="273" t="s">
        <v>2499</v>
      </c>
      <c r="E304" s="273" t="s">
        <v>2435</v>
      </c>
      <c r="F304" s="273" t="s">
        <v>2425</v>
      </c>
      <c r="G304" s="273" t="s">
        <v>2424</v>
      </c>
    </row>
    <row r="305" spans="1:7">
      <c r="A305" s="273">
        <v>5</v>
      </c>
      <c r="B305" s="273" t="s">
        <v>2043</v>
      </c>
      <c r="C305" s="273" t="s">
        <v>2526</v>
      </c>
      <c r="D305" s="273" t="s">
        <v>2499</v>
      </c>
      <c r="E305" s="273" t="s">
        <v>2435</v>
      </c>
      <c r="F305" s="273" t="s">
        <v>2423</v>
      </c>
      <c r="G305" s="273" t="s">
        <v>2393</v>
      </c>
    </row>
    <row r="306" spans="1:7">
      <c r="A306" s="273">
        <v>5</v>
      </c>
      <c r="B306" s="273" t="s">
        <v>2043</v>
      </c>
      <c r="C306" s="273" t="s">
        <v>2526</v>
      </c>
      <c r="D306" s="273" t="s">
        <v>2499</v>
      </c>
      <c r="E306" s="273" t="s">
        <v>2435</v>
      </c>
      <c r="F306" s="273" t="s">
        <v>2422</v>
      </c>
      <c r="G306" s="273" t="s">
        <v>2391</v>
      </c>
    </row>
    <row r="307" spans="1:7">
      <c r="A307" s="273">
        <v>5</v>
      </c>
      <c r="B307" s="273" t="s">
        <v>2043</v>
      </c>
      <c r="C307" s="273" t="s">
        <v>2526</v>
      </c>
      <c r="D307" s="273" t="s">
        <v>2499</v>
      </c>
      <c r="E307" s="273" t="s">
        <v>2435</v>
      </c>
      <c r="F307" s="273" t="s">
        <v>2421</v>
      </c>
      <c r="G307" s="273" t="s">
        <v>3154</v>
      </c>
    </row>
    <row r="308" spans="1:7">
      <c r="A308" s="273">
        <v>5</v>
      </c>
      <c r="B308" s="273" t="s">
        <v>2043</v>
      </c>
      <c r="C308" s="273" t="s">
        <v>2526</v>
      </c>
      <c r="D308" s="273" t="s">
        <v>2499</v>
      </c>
      <c r="E308" s="273" t="s">
        <v>2435</v>
      </c>
      <c r="F308" s="273" t="s">
        <v>2420</v>
      </c>
      <c r="G308" s="273" t="s">
        <v>2387</v>
      </c>
    </row>
    <row r="309" spans="1:7">
      <c r="A309" s="273">
        <v>5</v>
      </c>
      <c r="B309" s="273" t="s">
        <v>2043</v>
      </c>
      <c r="C309" s="273" t="s">
        <v>2526</v>
      </c>
      <c r="D309" s="273" t="s">
        <v>2499</v>
      </c>
      <c r="E309" s="273" t="s">
        <v>2435</v>
      </c>
      <c r="F309" s="273" t="s">
        <v>2419</v>
      </c>
      <c r="G309" s="273" t="s">
        <v>2385</v>
      </c>
    </row>
    <row r="310" spans="1:7">
      <c r="A310" s="273">
        <v>5</v>
      </c>
      <c r="B310" s="273" t="s">
        <v>2043</v>
      </c>
      <c r="C310" s="273" t="s">
        <v>2526</v>
      </c>
      <c r="D310" s="273" t="s">
        <v>2499</v>
      </c>
      <c r="E310" s="273" t="s">
        <v>2435</v>
      </c>
      <c r="F310" s="273" t="s">
        <v>2418</v>
      </c>
      <c r="G310" s="273" t="s">
        <v>2383</v>
      </c>
    </row>
    <row r="311" spans="1:7">
      <c r="A311" s="273">
        <v>5</v>
      </c>
      <c r="B311" s="273" t="s">
        <v>2043</v>
      </c>
      <c r="C311" s="273" t="s">
        <v>2526</v>
      </c>
      <c r="D311" s="273" t="s">
        <v>2499</v>
      </c>
      <c r="E311" s="273" t="s">
        <v>2435</v>
      </c>
      <c r="F311" s="273" t="s">
        <v>2417</v>
      </c>
      <c r="G311" s="273" t="s">
        <v>3155</v>
      </c>
    </row>
    <row r="312" spans="1:7">
      <c r="A312" s="273">
        <v>5</v>
      </c>
      <c r="B312" s="273" t="s">
        <v>2043</v>
      </c>
      <c r="C312" s="273" t="s">
        <v>2526</v>
      </c>
      <c r="D312" s="273" t="s">
        <v>2499</v>
      </c>
      <c r="E312" s="273" t="s">
        <v>2435</v>
      </c>
      <c r="F312" s="273" t="s">
        <v>2416</v>
      </c>
      <c r="G312" s="273" t="s">
        <v>3156</v>
      </c>
    </row>
    <row r="313" spans="1:7">
      <c r="A313" s="273">
        <v>5</v>
      </c>
      <c r="B313" s="273" t="s">
        <v>2043</v>
      </c>
      <c r="C313" s="273" t="s">
        <v>2526</v>
      </c>
      <c r="D313" s="273" t="s">
        <v>2499</v>
      </c>
      <c r="E313" s="273" t="s">
        <v>2435</v>
      </c>
      <c r="F313" s="273" t="s">
        <v>2415</v>
      </c>
      <c r="G313" s="273" t="s">
        <v>3157</v>
      </c>
    </row>
    <row r="314" spans="1:7">
      <c r="A314" s="273">
        <v>5</v>
      </c>
      <c r="B314" s="273" t="s">
        <v>2043</v>
      </c>
      <c r="C314" s="273" t="s">
        <v>2526</v>
      </c>
      <c r="D314" s="273" t="s">
        <v>2499</v>
      </c>
      <c r="E314" s="273" t="s">
        <v>2435</v>
      </c>
      <c r="F314" s="273" t="s">
        <v>2414</v>
      </c>
    </row>
    <row r="315" spans="1:7">
      <c r="A315" s="273">
        <v>5</v>
      </c>
      <c r="B315" s="273" t="s">
        <v>2043</v>
      </c>
      <c r="C315" s="273" t="s">
        <v>2526</v>
      </c>
      <c r="D315" s="273" t="s">
        <v>2499</v>
      </c>
      <c r="E315" s="273" t="s">
        <v>2435</v>
      </c>
      <c r="F315" s="273" t="s">
        <v>2413</v>
      </c>
      <c r="G315" s="273" t="s">
        <v>2412</v>
      </c>
    </row>
    <row r="316" spans="1:7">
      <c r="A316" s="273">
        <v>5</v>
      </c>
      <c r="B316" s="273" t="s">
        <v>2043</v>
      </c>
      <c r="C316" s="273" t="s">
        <v>2526</v>
      </c>
      <c r="D316" s="273" t="s">
        <v>2499</v>
      </c>
      <c r="E316" s="273" t="s">
        <v>2435</v>
      </c>
      <c r="F316" s="273" t="s">
        <v>2411</v>
      </c>
      <c r="G316" s="273" t="s">
        <v>2410</v>
      </c>
    </row>
    <row r="317" spans="1:7">
      <c r="A317" s="273">
        <v>5</v>
      </c>
      <c r="B317" s="273" t="s">
        <v>2043</v>
      </c>
      <c r="C317" s="273" t="s">
        <v>2526</v>
      </c>
      <c r="D317" s="273" t="s">
        <v>2499</v>
      </c>
      <c r="E317" s="273" t="s">
        <v>2435</v>
      </c>
      <c r="F317" s="273" t="s">
        <v>2409</v>
      </c>
      <c r="G317" s="273" t="s">
        <v>2393</v>
      </c>
    </row>
    <row r="318" spans="1:7">
      <c r="A318" s="273">
        <v>5</v>
      </c>
      <c r="B318" s="273" t="s">
        <v>2043</v>
      </c>
      <c r="C318" s="273" t="s">
        <v>2526</v>
      </c>
      <c r="D318" s="273" t="s">
        <v>2499</v>
      </c>
      <c r="E318" s="273" t="s">
        <v>2435</v>
      </c>
      <c r="F318" s="273" t="s">
        <v>2408</v>
      </c>
      <c r="G318" s="273" t="s">
        <v>2391</v>
      </c>
    </row>
    <row r="319" spans="1:7">
      <c r="A319" s="273">
        <v>5</v>
      </c>
      <c r="B319" s="273" t="s">
        <v>2043</v>
      </c>
      <c r="C319" s="273" t="s">
        <v>2526</v>
      </c>
      <c r="D319" s="273" t="s">
        <v>2499</v>
      </c>
      <c r="E319" s="273" t="s">
        <v>2435</v>
      </c>
      <c r="F319" s="273" t="s">
        <v>2407</v>
      </c>
      <c r="G319" s="273" t="s">
        <v>3154</v>
      </c>
    </row>
    <row r="320" spans="1:7">
      <c r="A320" s="273">
        <v>5</v>
      </c>
      <c r="B320" s="273" t="s">
        <v>2043</v>
      </c>
      <c r="C320" s="273" t="s">
        <v>2526</v>
      </c>
      <c r="D320" s="273" t="s">
        <v>2499</v>
      </c>
      <c r="E320" s="273" t="s">
        <v>2435</v>
      </c>
      <c r="F320" s="273" t="s">
        <v>2406</v>
      </c>
      <c r="G320" s="273" t="s">
        <v>2387</v>
      </c>
    </row>
    <row r="321" spans="1:7">
      <c r="A321" s="273">
        <v>5</v>
      </c>
      <c r="B321" s="273" t="s">
        <v>2043</v>
      </c>
      <c r="C321" s="273" t="s">
        <v>2526</v>
      </c>
      <c r="D321" s="273" t="s">
        <v>2499</v>
      </c>
      <c r="E321" s="273" t="s">
        <v>2435</v>
      </c>
      <c r="F321" s="273" t="s">
        <v>2405</v>
      </c>
      <c r="G321" s="273" t="s">
        <v>2385</v>
      </c>
    </row>
    <row r="322" spans="1:7">
      <c r="A322" s="273">
        <v>5</v>
      </c>
      <c r="B322" s="273" t="s">
        <v>2043</v>
      </c>
      <c r="C322" s="273" t="s">
        <v>2526</v>
      </c>
      <c r="D322" s="273" t="s">
        <v>2499</v>
      </c>
      <c r="E322" s="273" t="s">
        <v>2435</v>
      </c>
      <c r="F322" s="273" t="s">
        <v>2404</v>
      </c>
      <c r="G322" s="273" t="s">
        <v>2383</v>
      </c>
    </row>
    <row r="323" spans="1:7">
      <c r="A323" s="273">
        <v>5</v>
      </c>
      <c r="B323" s="273" t="s">
        <v>2043</v>
      </c>
      <c r="C323" s="273" t="s">
        <v>2526</v>
      </c>
      <c r="D323" s="273" t="s">
        <v>2499</v>
      </c>
      <c r="E323" s="273" t="s">
        <v>2435</v>
      </c>
      <c r="F323" s="273" t="s">
        <v>2403</v>
      </c>
      <c r="G323" s="273" t="s">
        <v>3155</v>
      </c>
    </row>
    <row r="324" spans="1:7">
      <c r="A324" s="273">
        <v>5</v>
      </c>
      <c r="B324" s="273" t="s">
        <v>2043</v>
      </c>
      <c r="C324" s="273" t="s">
        <v>2526</v>
      </c>
      <c r="D324" s="273" t="s">
        <v>2499</v>
      </c>
      <c r="E324" s="273" t="s">
        <v>2435</v>
      </c>
      <c r="F324" s="273" t="s">
        <v>2402</v>
      </c>
      <c r="G324" s="273" t="s">
        <v>3156</v>
      </c>
    </row>
    <row r="325" spans="1:7">
      <c r="A325" s="273">
        <v>5</v>
      </c>
      <c r="B325" s="273" t="s">
        <v>2043</v>
      </c>
      <c r="C325" s="273" t="s">
        <v>2526</v>
      </c>
      <c r="D325" s="273" t="s">
        <v>2499</v>
      </c>
      <c r="E325" s="273" t="s">
        <v>2435</v>
      </c>
      <c r="F325" s="273" t="s">
        <v>2401</v>
      </c>
      <c r="G325" s="273" t="s">
        <v>3157</v>
      </c>
    </row>
    <row r="326" spans="1:7">
      <c r="A326" s="273">
        <v>5</v>
      </c>
      <c r="B326" s="273" t="s">
        <v>2043</v>
      </c>
      <c r="C326" s="273" t="s">
        <v>2526</v>
      </c>
      <c r="D326" s="273" t="s">
        <v>2499</v>
      </c>
      <c r="E326" s="273" t="s">
        <v>2435</v>
      </c>
      <c r="F326" s="273" t="s">
        <v>2400</v>
      </c>
      <c r="G326" s="273" t="s">
        <v>2399</v>
      </c>
    </row>
    <row r="327" spans="1:7">
      <c r="A327" s="273">
        <v>5</v>
      </c>
      <c r="B327" s="273" t="s">
        <v>2043</v>
      </c>
      <c r="C327" s="273" t="s">
        <v>2526</v>
      </c>
      <c r="D327" s="273" t="s">
        <v>2499</v>
      </c>
      <c r="E327" s="273" t="s">
        <v>2435</v>
      </c>
      <c r="F327" s="273" t="s">
        <v>2398</v>
      </c>
      <c r="G327" s="273" t="s">
        <v>2397</v>
      </c>
    </row>
    <row r="328" spans="1:7">
      <c r="A328" s="273">
        <v>5</v>
      </c>
      <c r="B328" s="273" t="s">
        <v>2043</v>
      </c>
      <c r="C328" s="273" t="s">
        <v>2526</v>
      </c>
      <c r="D328" s="273" t="s">
        <v>2499</v>
      </c>
      <c r="E328" s="273" t="s">
        <v>2435</v>
      </c>
      <c r="F328" s="273" t="s">
        <v>2396</v>
      </c>
      <c r="G328" s="273" t="s">
        <v>2395</v>
      </c>
    </row>
    <row r="329" spans="1:7">
      <c r="A329" s="273">
        <v>5</v>
      </c>
      <c r="B329" s="273" t="s">
        <v>2043</v>
      </c>
      <c r="C329" s="273" t="s">
        <v>2526</v>
      </c>
      <c r="D329" s="273" t="s">
        <v>2499</v>
      </c>
      <c r="E329" s="273" t="s">
        <v>2435</v>
      </c>
      <c r="F329" s="273" t="s">
        <v>2394</v>
      </c>
      <c r="G329" s="273" t="s">
        <v>2393</v>
      </c>
    </row>
    <row r="330" spans="1:7">
      <c r="A330" s="273">
        <v>5</v>
      </c>
      <c r="B330" s="273" t="s">
        <v>2043</v>
      </c>
      <c r="C330" s="273" t="s">
        <v>2526</v>
      </c>
      <c r="D330" s="273" t="s">
        <v>2499</v>
      </c>
      <c r="E330" s="273" t="s">
        <v>2435</v>
      </c>
      <c r="F330" s="273" t="s">
        <v>2392</v>
      </c>
      <c r="G330" s="273" t="s">
        <v>2391</v>
      </c>
    </row>
    <row r="331" spans="1:7">
      <c r="A331" s="273">
        <v>5</v>
      </c>
      <c r="B331" s="273" t="s">
        <v>2043</v>
      </c>
      <c r="C331" s="273" t="s">
        <v>2526</v>
      </c>
      <c r="D331" s="273" t="s">
        <v>2499</v>
      </c>
      <c r="E331" s="273" t="s">
        <v>2435</v>
      </c>
      <c r="F331" s="273" t="s">
        <v>2390</v>
      </c>
      <c r="G331" s="273" t="s">
        <v>3154</v>
      </c>
    </row>
    <row r="332" spans="1:7">
      <c r="A332" s="273">
        <v>5</v>
      </c>
      <c r="B332" s="273" t="s">
        <v>2043</v>
      </c>
      <c r="C332" s="273" t="s">
        <v>2526</v>
      </c>
      <c r="D332" s="273" t="s">
        <v>2499</v>
      </c>
      <c r="E332" s="273" t="s">
        <v>2435</v>
      </c>
      <c r="F332" s="273" t="s">
        <v>2388</v>
      </c>
      <c r="G332" s="273" t="s">
        <v>2387</v>
      </c>
    </row>
    <row r="333" spans="1:7">
      <c r="A333" s="273">
        <v>5</v>
      </c>
      <c r="B333" s="273" t="s">
        <v>2043</v>
      </c>
      <c r="C333" s="273" t="s">
        <v>2526</v>
      </c>
      <c r="D333" s="273" t="s">
        <v>2499</v>
      </c>
      <c r="E333" s="273" t="s">
        <v>2435</v>
      </c>
      <c r="F333" s="273" t="s">
        <v>2386</v>
      </c>
      <c r="G333" s="273" t="s">
        <v>2385</v>
      </c>
    </row>
    <row r="334" spans="1:7">
      <c r="A334" s="273">
        <v>5</v>
      </c>
      <c r="B334" s="273" t="s">
        <v>2043</v>
      </c>
      <c r="C334" s="273" t="s">
        <v>2526</v>
      </c>
      <c r="D334" s="273" t="s">
        <v>2499</v>
      </c>
      <c r="E334" s="273" t="s">
        <v>2435</v>
      </c>
      <c r="F334" s="273" t="s">
        <v>2384</v>
      </c>
      <c r="G334" s="273" t="s">
        <v>2383</v>
      </c>
    </row>
    <row r="335" spans="1:7">
      <c r="A335" s="273">
        <v>5</v>
      </c>
      <c r="B335" s="273" t="s">
        <v>2043</v>
      </c>
      <c r="C335" s="273" t="s">
        <v>2526</v>
      </c>
      <c r="D335" s="273" t="s">
        <v>2499</v>
      </c>
      <c r="E335" s="273" t="s">
        <v>2435</v>
      </c>
      <c r="F335" s="273" t="s">
        <v>2382</v>
      </c>
      <c r="G335" s="273" t="s">
        <v>3155</v>
      </c>
    </row>
    <row r="336" spans="1:7">
      <c r="A336" s="273">
        <v>5</v>
      </c>
      <c r="B336" s="273" t="s">
        <v>2043</v>
      </c>
      <c r="C336" s="273" t="s">
        <v>2526</v>
      </c>
      <c r="D336" s="273" t="s">
        <v>2499</v>
      </c>
      <c r="E336" s="273" t="s">
        <v>2435</v>
      </c>
      <c r="F336" s="273" t="s">
        <v>2380</v>
      </c>
      <c r="G336" s="273" t="s">
        <v>3156</v>
      </c>
    </row>
    <row r="337" spans="1:7">
      <c r="A337" s="273">
        <v>5</v>
      </c>
      <c r="B337" s="273" t="s">
        <v>2043</v>
      </c>
      <c r="C337" s="273" t="s">
        <v>2526</v>
      </c>
      <c r="D337" s="273" t="s">
        <v>2499</v>
      </c>
      <c r="E337" s="273" t="s">
        <v>2435</v>
      </c>
      <c r="F337" s="273" t="s">
        <v>2378</v>
      </c>
      <c r="G337" s="273" t="s">
        <v>3157</v>
      </c>
    </row>
    <row r="338" spans="1:7">
      <c r="A338" s="273">
        <v>5</v>
      </c>
      <c r="B338" s="273" t="s">
        <v>2043</v>
      </c>
      <c r="C338" s="273" t="s">
        <v>2526</v>
      </c>
      <c r="D338" s="273" t="s">
        <v>2499</v>
      </c>
      <c r="E338" s="273" t="s">
        <v>2435</v>
      </c>
      <c r="F338" s="273" t="s">
        <v>2375</v>
      </c>
      <c r="G338" s="273" t="s">
        <v>2374</v>
      </c>
    </row>
    <row r="339" spans="1:7">
      <c r="A339" s="273">
        <v>5</v>
      </c>
      <c r="B339" s="273" t="s">
        <v>2043</v>
      </c>
      <c r="C339" s="273" t="s">
        <v>2526</v>
      </c>
      <c r="D339" s="273" t="s">
        <v>2499</v>
      </c>
      <c r="E339" s="273" t="s">
        <v>2435</v>
      </c>
      <c r="F339" s="273" t="s">
        <v>2373</v>
      </c>
      <c r="G339" s="273" t="s">
        <v>2372</v>
      </c>
    </row>
    <row r="340" spans="1:7">
      <c r="A340" s="273">
        <v>5</v>
      </c>
      <c r="B340" s="273" t="s">
        <v>2043</v>
      </c>
      <c r="C340" s="273" t="s">
        <v>2526</v>
      </c>
      <c r="D340" s="273" t="s">
        <v>2499</v>
      </c>
      <c r="E340" s="273" t="s">
        <v>2435</v>
      </c>
      <c r="F340" s="273" t="s">
        <v>2371</v>
      </c>
      <c r="G340" s="273" t="s">
        <v>2370</v>
      </c>
    </row>
    <row r="341" spans="1:7">
      <c r="A341" s="273">
        <v>5</v>
      </c>
      <c r="B341" s="273" t="s">
        <v>2043</v>
      </c>
      <c r="C341" s="273" t="s">
        <v>2526</v>
      </c>
      <c r="D341" s="273" t="s">
        <v>2499</v>
      </c>
      <c r="E341" s="273" t="s">
        <v>2435</v>
      </c>
      <c r="F341" s="273" t="s">
        <v>2369</v>
      </c>
      <c r="G341" s="273" t="s">
        <v>2368</v>
      </c>
    </row>
    <row r="342" spans="1:7">
      <c r="A342" s="273">
        <v>5</v>
      </c>
      <c r="B342" s="273" t="s">
        <v>2043</v>
      </c>
      <c r="C342" s="273" t="s">
        <v>2526</v>
      </c>
      <c r="D342" s="273" t="s">
        <v>2499</v>
      </c>
      <c r="E342" s="273" t="s">
        <v>2435</v>
      </c>
      <c r="F342" s="273" t="s">
        <v>2367</v>
      </c>
      <c r="G342" s="273" t="s">
        <v>2366</v>
      </c>
    </row>
    <row r="343" spans="1:7">
      <c r="A343" s="273">
        <v>5</v>
      </c>
      <c r="B343" s="273" t="s">
        <v>2043</v>
      </c>
      <c r="C343" s="273" t="s">
        <v>2526</v>
      </c>
      <c r="D343" s="273" t="s">
        <v>2499</v>
      </c>
      <c r="E343" s="273" t="s">
        <v>2435</v>
      </c>
      <c r="F343" s="273" t="s">
        <v>2365</v>
      </c>
      <c r="G343" s="273" t="s">
        <v>2364</v>
      </c>
    </row>
    <row r="344" spans="1:7">
      <c r="A344" s="273">
        <v>5</v>
      </c>
      <c r="B344" s="273" t="s">
        <v>2043</v>
      </c>
      <c r="C344" s="273" t="s">
        <v>2526</v>
      </c>
      <c r="D344" s="273" t="s">
        <v>2499</v>
      </c>
      <c r="E344" s="273" t="s">
        <v>2435</v>
      </c>
      <c r="F344" s="273" t="s">
        <v>2363</v>
      </c>
      <c r="G344" s="273" t="s">
        <v>2362</v>
      </c>
    </row>
    <row r="345" spans="1:7">
      <c r="A345" s="273">
        <v>5</v>
      </c>
      <c r="B345" s="273" t="s">
        <v>2043</v>
      </c>
      <c r="C345" s="273" t="s">
        <v>2526</v>
      </c>
      <c r="D345" s="273" t="s">
        <v>2499</v>
      </c>
      <c r="E345" s="273" t="s">
        <v>2435</v>
      </c>
      <c r="F345" s="273" t="s">
        <v>2361</v>
      </c>
      <c r="G345" s="273" t="s">
        <v>2360</v>
      </c>
    </row>
    <row r="346" spans="1:7">
      <c r="A346" s="273">
        <v>5</v>
      </c>
      <c r="B346" s="273" t="s">
        <v>2043</v>
      </c>
      <c r="C346" s="273" t="s">
        <v>2526</v>
      </c>
      <c r="D346" s="273" t="s">
        <v>2499</v>
      </c>
      <c r="E346" s="273" t="s">
        <v>2435</v>
      </c>
      <c r="F346" s="273" t="s">
        <v>2359</v>
      </c>
      <c r="G346" s="273" t="s">
        <v>2358</v>
      </c>
    </row>
    <row r="347" spans="1:7">
      <c r="A347" s="273">
        <v>5</v>
      </c>
      <c r="B347" s="273" t="s">
        <v>2043</v>
      </c>
      <c r="C347" s="273" t="s">
        <v>2526</v>
      </c>
      <c r="D347" s="273" t="s">
        <v>2499</v>
      </c>
      <c r="E347" s="273" t="s">
        <v>2435</v>
      </c>
      <c r="F347" s="273" t="s">
        <v>2357</v>
      </c>
      <c r="G347" s="273" t="s">
        <v>3158</v>
      </c>
    </row>
    <row r="348" spans="1:7">
      <c r="A348" s="273">
        <v>5</v>
      </c>
      <c r="B348" s="273" t="s">
        <v>2043</v>
      </c>
      <c r="C348" s="273" t="s">
        <v>2526</v>
      </c>
      <c r="D348" s="273" t="s">
        <v>2499</v>
      </c>
      <c r="E348" s="273" t="s">
        <v>2435</v>
      </c>
      <c r="F348" s="273" t="s">
        <v>2355</v>
      </c>
      <c r="G348" s="273" t="s">
        <v>3159</v>
      </c>
    </row>
    <row r="349" spans="1:7">
      <c r="A349" s="273">
        <v>5</v>
      </c>
      <c r="B349" s="273" t="s">
        <v>2043</v>
      </c>
      <c r="C349" s="273" t="s">
        <v>2526</v>
      </c>
      <c r="D349" s="273" t="s">
        <v>2499</v>
      </c>
      <c r="E349" s="273" t="s">
        <v>2435</v>
      </c>
      <c r="F349" s="273" t="s">
        <v>2353</v>
      </c>
      <c r="G349" s="273" t="s">
        <v>3160</v>
      </c>
    </row>
    <row r="350" spans="1:7">
      <c r="A350" s="273">
        <v>5</v>
      </c>
      <c r="B350" s="273" t="s">
        <v>2043</v>
      </c>
      <c r="C350" s="273" t="s">
        <v>2526</v>
      </c>
      <c r="D350" s="273" t="s">
        <v>2499</v>
      </c>
      <c r="E350" s="273" t="s">
        <v>2435</v>
      </c>
      <c r="F350" s="273" t="s">
        <v>2351</v>
      </c>
      <c r="G350" s="273" t="s">
        <v>3161</v>
      </c>
    </row>
    <row r="351" spans="1:7">
      <c r="A351" s="273">
        <v>5</v>
      </c>
      <c r="B351" s="273" t="s">
        <v>2043</v>
      </c>
      <c r="C351" s="273" t="s">
        <v>2526</v>
      </c>
      <c r="D351" s="273" t="s">
        <v>2499</v>
      </c>
      <c r="E351" s="273" t="s">
        <v>2435</v>
      </c>
      <c r="F351" s="273" t="s">
        <v>2349</v>
      </c>
      <c r="G351" s="273" t="s">
        <v>3162</v>
      </c>
    </row>
    <row r="352" spans="1:7">
      <c r="A352" s="273">
        <v>5</v>
      </c>
      <c r="B352" s="273" t="s">
        <v>2043</v>
      </c>
      <c r="C352" s="273" t="s">
        <v>2526</v>
      </c>
      <c r="D352" s="273" t="s">
        <v>2499</v>
      </c>
      <c r="E352" s="273" t="s">
        <v>2435</v>
      </c>
      <c r="F352" s="273" t="s">
        <v>2347</v>
      </c>
    </row>
    <row r="353" spans="1:7">
      <c r="A353" s="273">
        <v>5</v>
      </c>
      <c r="B353" s="273" t="s">
        <v>2043</v>
      </c>
      <c r="C353" s="273" t="s">
        <v>2526</v>
      </c>
      <c r="D353" s="273" t="s">
        <v>2499</v>
      </c>
      <c r="E353" s="273" t="s">
        <v>2435</v>
      </c>
      <c r="F353" s="273" t="s">
        <v>2346</v>
      </c>
    </row>
    <row r="354" spans="1:7">
      <c r="A354" s="273">
        <v>5</v>
      </c>
      <c r="B354" s="273" t="s">
        <v>2043</v>
      </c>
      <c r="C354" s="273" t="s">
        <v>2526</v>
      </c>
      <c r="D354" s="273" t="s">
        <v>2499</v>
      </c>
      <c r="E354" s="273" t="s">
        <v>2435</v>
      </c>
      <c r="F354" s="273" t="s">
        <v>2345</v>
      </c>
    </row>
    <row r="355" spans="1:7">
      <c r="A355" s="273">
        <v>5</v>
      </c>
      <c r="B355" s="273" t="s">
        <v>2043</v>
      </c>
      <c r="C355" s="273" t="s">
        <v>2526</v>
      </c>
      <c r="D355" s="273" t="s">
        <v>2499</v>
      </c>
      <c r="E355" s="273" t="s">
        <v>2435</v>
      </c>
      <c r="F355" s="273" t="s">
        <v>2344</v>
      </c>
    </row>
    <row r="356" spans="1:7">
      <c r="A356" s="273">
        <v>5</v>
      </c>
      <c r="B356" s="273" t="s">
        <v>2043</v>
      </c>
      <c r="C356" s="273" t="s">
        <v>2526</v>
      </c>
      <c r="D356" s="273" t="s">
        <v>2499</v>
      </c>
      <c r="E356" s="273" t="s">
        <v>2435</v>
      </c>
      <c r="F356" s="273" t="s">
        <v>2343</v>
      </c>
    </row>
    <row r="357" spans="1:7">
      <c r="A357" s="273">
        <v>5</v>
      </c>
      <c r="B357" s="273" t="s">
        <v>2043</v>
      </c>
      <c r="C357" s="273" t="s">
        <v>2526</v>
      </c>
      <c r="D357" s="273" t="s">
        <v>2499</v>
      </c>
      <c r="E357" s="273" t="s">
        <v>2435</v>
      </c>
      <c r="F357" s="273" t="s">
        <v>2342</v>
      </c>
    </row>
    <row r="358" spans="1:7">
      <c r="A358" s="273">
        <v>5</v>
      </c>
      <c r="B358" s="273" t="s">
        <v>2043</v>
      </c>
      <c r="C358" s="273" t="s">
        <v>2526</v>
      </c>
      <c r="D358" s="273" t="s">
        <v>2499</v>
      </c>
      <c r="E358" s="273" t="s">
        <v>2435</v>
      </c>
      <c r="F358" s="273" t="s">
        <v>2341</v>
      </c>
    </row>
    <row r="359" spans="1:7">
      <c r="A359" s="273">
        <v>5</v>
      </c>
      <c r="B359" s="273" t="s">
        <v>2043</v>
      </c>
      <c r="C359" s="273" t="s">
        <v>2526</v>
      </c>
      <c r="D359" s="273" t="s">
        <v>2499</v>
      </c>
      <c r="E359" s="273" t="s">
        <v>2435</v>
      </c>
      <c r="F359" s="273" t="s">
        <v>2340</v>
      </c>
      <c r="G359" s="273" t="s">
        <v>2339</v>
      </c>
    </row>
    <row r="360" spans="1:7">
      <c r="A360" s="273">
        <v>5</v>
      </c>
      <c r="B360" s="273" t="s">
        <v>2043</v>
      </c>
      <c r="C360" s="273" t="s">
        <v>2526</v>
      </c>
      <c r="D360" s="273" t="s">
        <v>2499</v>
      </c>
      <c r="E360" s="273" t="s">
        <v>2435</v>
      </c>
      <c r="F360" s="273" t="s">
        <v>2338</v>
      </c>
      <c r="G360" s="273" t="s">
        <v>3163</v>
      </c>
    </row>
    <row r="361" spans="1:7">
      <c r="A361" s="273">
        <v>4</v>
      </c>
      <c r="B361" s="273" t="s">
        <v>2043</v>
      </c>
      <c r="C361" s="273" t="s">
        <v>2526</v>
      </c>
      <c r="D361" s="273" t="s">
        <v>2499</v>
      </c>
      <c r="E361" s="273" t="s">
        <v>2333</v>
      </c>
      <c r="F361" s="273" t="s">
        <v>2333</v>
      </c>
      <c r="G361" s="273" t="s">
        <v>2332</v>
      </c>
    </row>
    <row r="362" spans="1:7">
      <c r="A362" s="273">
        <v>5</v>
      </c>
      <c r="B362" s="273" t="s">
        <v>2043</v>
      </c>
      <c r="C362" s="273" t="s">
        <v>2526</v>
      </c>
      <c r="D362" s="273" t="s">
        <v>2499</v>
      </c>
      <c r="E362" s="273" t="s">
        <v>2333</v>
      </c>
      <c r="F362" s="273" t="s">
        <v>2331</v>
      </c>
      <c r="G362" s="273" t="s">
        <v>3033</v>
      </c>
    </row>
    <row r="363" spans="1:7">
      <c r="A363" s="273">
        <v>5</v>
      </c>
      <c r="B363" s="273" t="s">
        <v>2043</v>
      </c>
      <c r="C363" s="273" t="s">
        <v>2526</v>
      </c>
      <c r="D363" s="273" t="s">
        <v>2499</v>
      </c>
      <c r="E363" s="273" t="s">
        <v>2333</v>
      </c>
      <c r="F363" s="273" t="s">
        <v>2329</v>
      </c>
      <c r="G363" s="273" t="e">
        <v>#REF!</v>
      </c>
    </row>
    <row r="364" spans="1:7">
      <c r="A364" s="273">
        <v>5</v>
      </c>
      <c r="B364" s="273" t="s">
        <v>2043</v>
      </c>
      <c r="C364" s="273" t="s">
        <v>2526</v>
      </c>
      <c r="D364" s="273" t="s">
        <v>2499</v>
      </c>
      <c r="E364" s="273" t="s">
        <v>2333</v>
      </c>
      <c r="F364" s="273" t="s">
        <v>2328</v>
      </c>
      <c r="G364" s="273" t="e">
        <v>#REF!</v>
      </c>
    </row>
    <row r="365" spans="1:7">
      <c r="A365" s="273">
        <v>5</v>
      </c>
      <c r="B365" s="273" t="s">
        <v>2043</v>
      </c>
      <c r="C365" s="273" t="s">
        <v>2526</v>
      </c>
      <c r="D365" s="273" t="s">
        <v>2499</v>
      </c>
      <c r="E365" s="273" t="s">
        <v>2333</v>
      </c>
      <c r="F365" s="273" t="s">
        <v>2327</v>
      </c>
      <c r="G365" s="273" t="e">
        <v>#REF!</v>
      </c>
    </row>
    <row r="366" spans="1:7">
      <c r="A366" s="273">
        <v>5</v>
      </c>
      <c r="B366" s="273" t="s">
        <v>2043</v>
      </c>
      <c r="C366" s="273" t="s">
        <v>2526</v>
      </c>
      <c r="D366" s="273" t="s">
        <v>2499</v>
      </c>
      <c r="E366" s="273" t="s">
        <v>2333</v>
      </c>
      <c r="F366" s="273" t="s">
        <v>2326</v>
      </c>
      <c r="G366" s="273">
        <v>0</v>
      </c>
    </row>
    <row r="367" spans="1:7">
      <c r="A367" s="273">
        <v>5</v>
      </c>
      <c r="B367" s="273" t="s">
        <v>2043</v>
      </c>
      <c r="C367" s="273" t="s">
        <v>2526</v>
      </c>
      <c r="D367" s="273" t="s">
        <v>2499</v>
      </c>
      <c r="E367" s="273" t="s">
        <v>2333</v>
      </c>
      <c r="F367" s="273" t="s">
        <v>2325</v>
      </c>
      <c r="G367" s="273">
        <v>0</v>
      </c>
    </row>
    <row r="368" spans="1:7">
      <c r="A368" s="273">
        <v>5</v>
      </c>
      <c r="B368" s="273" t="s">
        <v>2043</v>
      </c>
      <c r="C368" s="273" t="s">
        <v>2526</v>
      </c>
      <c r="D368" s="273" t="s">
        <v>2499</v>
      </c>
      <c r="E368" s="273" t="s">
        <v>2333</v>
      </c>
      <c r="F368" s="273" t="s">
        <v>2324</v>
      </c>
      <c r="G368" s="273">
        <v>0</v>
      </c>
    </row>
    <row r="369" spans="1:7">
      <c r="A369" s="273">
        <v>5</v>
      </c>
      <c r="B369" s="273" t="s">
        <v>2043</v>
      </c>
      <c r="C369" s="273" t="s">
        <v>2526</v>
      </c>
      <c r="D369" s="273" t="s">
        <v>2499</v>
      </c>
      <c r="E369" s="273" t="s">
        <v>2333</v>
      </c>
      <c r="F369" s="273" t="s">
        <v>2323</v>
      </c>
      <c r="G369" s="273" t="s">
        <v>3034</v>
      </c>
    </row>
    <row r="370" spans="1:7">
      <c r="A370" s="273">
        <v>5</v>
      </c>
      <c r="B370" s="273" t="s">
        <v>2043</v>
      </c>
      <c r="C370" s="273" t="s">
        <v>2526</v>
      </c>
      <c r="D370" s="273" t="s">
        <v>2499</v>
      </c>
      <c r="E370" s="273" t="s">
        <v>2333</v>
      </c>
      <c r="F370" s="273" t="s">
        <v>2321</v>
      </c>
      <c r="G370" s="273" t="s">
        <v>3035</v>
      </c>
    </row>
    <row r="371" spans="1:7">
      <c r="A371" s="273">
        <v>5</v>
      </c>
      <c r="B371" s="273" t="s">
        <v>2043</v>
      </c>
      <c r="C371" s="273" t="s">
        <v>2526</v>
      </c>
      <c r="D371" s="273" t="s">
        <v>2499</v>
      </c>
      <c r="E371" s="273" t="s">
        <v>2333</v>
      </c>
      <c r="F371" s="273" t="s">
        <v>3036</v>
      </c>
      <c r="G371" s="273" t="s">
        <v>3037</v>
      </c>
    </row>
    <row r="372" spans="1:7">
      <c r="A372" s="273">
        <v>4</v>
      </c>
      <c r="B372" s="273" t="s">
        <v>2043</v>
      </c>
      <c r="C372" s="273" t="s">
        <v>2526</v>
      </c>
      <c r="D372" s="273" t="s">
        <v>2499</v>
      </c>
      <c r="E372" s="273" t="s">
        <v>2319</v>
      </c>
      <c r="F372" s="273" t="s">
        <v>2319</v>
      </c>
      <c r="G372" s="273" t="s">
        <v>3038</v>
      </c>
    </row>
    <row r="373" spans="1:7">
      <c r="A373" s="273">
        <v>5</v>
      </c>
      <c r="B373" s="273" t="s">
        <v>2043</v>
      </c>
      <c r="C373" s="273" t="s">
        <v>2526</v>
      </c>
      <c r="D373" s="273" t="s">
        <v>2499</v>
      </c>
      <c r="E373" s="273" t="s">
        <v>2319</v>
      </c>
      <c r="F373" s="273" t="s">
        <v>2317</v>
      </c>
      <c r="G373" s="273" t="s">
        <v>3039</v>
      </c>
    </row>
    <row r="374" spans="1:7">
      <c r="A374" s="273">
        <v>5</v>
      </c>
      <c r="B374" s="273" t="s">
        <v>2043</v>
      </c>
      <c r="C374" s="273" t="s">
        <v>2526</v>
      </c>
      <c r="D374" s="273" t="s">
        <v>2499</v>
      </c>
      <c r="E374" s="273" t="s">
        <v>2319</v>
      </c>
      <c r="F374" s="273" t="s">
        <v>2315</v>
      </c>
      <c r="G374" s="273" t="s">
        <v>2314</v>
      </c>
    </row>
    <row r="375" spans="1:7">
      <c r="A375" s="273">
        <v>4</v>
      </c>
      <c r="B375" s="273" t="s">
        <v>2043</v>
      </c>
      <c r="C375" s="273" t="s">
        <v>2526</v>
      </c>
      <c r="D375" s="273" t="s">
        <v>2499</v>
      </c>
      <c r="E375" s="273" t="s">
        <v>2319</v>
      </c>
    </row>
    <row r="376" spans="1:7">
      <c r="A376" s="273">
        <v>4</v>
      </c>
      <c r="B376" s="273" t="s">
        <v>2043</v>
      </c>
      <c r="C376" s="273" t="s">
        <v>2526</v>
      </c>
      <c r="D376" s="273" t="s">
        <v>2499</v>
      </c>
      <c r="E376" s="273" t="s">
        <v>2319</v>
      </c>
    </row>
    <row r="377" spans="1:7">
      <c r="A377" s="273">
        <v>4</v>
      </c>
      <c r="B377" s="273" t="s">
        <v>2043</v>
      </c>
      <c r="C377" s="273" t="s">
        <v>2526</v>
      </c>
      <c r="D377" s="273" t="s">
        <v>2499</v>
      </c>
      <c r="E377" s="273" t="s">
        <v>3118</v>
      </c>
      <c r="F377" s="273" t="s">
        <v>3118</v>
      </c>
      <c r="G377" s="273" t="s">
        <v>3119</v>
      </c>
    </row>
    <row r="378" spans="1:7">
      <c r="A378" s="273">
        <v>4</v>
      </c>
      <c r="B378" s="273" t="s">
        <v>2043</v>
      </c>
      <c r="C378" s="273" t="s">
        <v>2526</v>
      </c>
      <c r="D378" s="273" t="s">
        <v>2499</v>
      </c>
      <c r="E378" s="273" t="s">
        <v>3120</v>
      </c>
      <c r="F378" s="273" t="s">
        <v>3120</v>
      </c>
      <c r="G378" s="273" t="s">
        <v>3121</v>
      </c>
    </row>
    <row r="379" spans="1:7">
      <c r="A379" s="273">
        <v>4</v>
      </c>
      <c r="B379" s="273" t="s">
        <v>2043</v>
      </c>
      <c r="C379" s="273" t="s">
        <v>2526</v>
      </c>
      <c r="D379" s="273" t="s">
        <v>2499</v>
      </c>
      <c r="E379" s="273" t="s">
        <v>3122</v>
      </c>
      <c r="F379" s="273" t="s">
        <v>3122</v>
      </c>
      <c r="G379" s="273" t="s">
        <v>3123</v>
      </c>
    </row>
    <row r="380" spans="1:7">
      <c r="A380" s="273">
        <v>4</v>
      </c>
      <c r="B380" s="273" t="s">
        <v>2043</v>
      </c>
      <c r="C380" s="273" t="s">
        <v>2526</v>
      </c>
      <c r="D380" s="273" t="s">
        <v>2499</v>
      </c>
      <c r="E380" s="273" t="s">
        <v>3124</v>
      </c>
      <c r="F380" s="273" t="s">
        <v>3124</v>
      </c>
      <c r="G380" s="273" t="s">
        <v>3125</v>
      </c>
    </row>
    <row r="381" spans="1:7">
      <c r="A381" s="273">
        <v>4</v>
      </c>
      <c r="B381" s="273" t="s">
        <v>2043</v>
      </c>
      <c r="C381" s="273" t="s">
        <v>2526</v>
      </c>
      <c r="D381" s="273" t="s">
        <v>2499</v>
      </c>
      <c r="E381" s="273" t="s">
        <v>3126</v>
      </c>
      <c r="F381" s="273" t="s">
        <v>3126</v>
      </c>
      <c r="G381" s="273" t="s">
        <v>3127</v>
      </c>
    </row>
    <row r="382" spans="1:7">
      <c r="A382" s="273">
        <v>4</v>
      </c>
      <c r="B382" s="273" t="s">
        <v>2043</v>
      </c>
      <c r="C382" s="273" t="s">
        <v>2526</v>
      </c>
      <c r="D382" s="273" t="s">
        <v>2499</v>
      </c>
      <c r="E382" s="273" t="s">
        <v>3128</v>
      </c>
      <c r="F382" s="273" t="s">
        <v>3128</v>
      </c>
      <c r="G382" s="273" t="s">
        <v>3129</v>
      </c>
    </row>
    <row r="383" spans="1:7">
      <c r="A383" s="273">
        <v>4</v>
      </c>
      <c r="B383" s="273" t="s">
        <v>2043</v>
      </c>
      <c r="C383" s="273" t="s">
        <v>2526</v>
      </c>
      <c r="D383" s="273" t="s">
        <v>2499</v>
      </c>
      <c r="E383" s="273" t="s">
        <v>3130</v>
      </c>
      <c r="F383" s="273" t="s">
        <v>3130</v>
      </c>
      <c r="G383" s="273" t="s">
        <v>3131</v>
      </c>
    </row>
    <row r="384" spans="1:7">
      <c r="A384" s="273">
        <v>4</v>
      </c>
      <c r="B384" s="273" t="s">
        <v>2043</v>
      </c>
      <c r="C384" s="273" t="s">
        <v>2526</v>
      </c>
      <c r="D384" s="273" t="s">
        <v>2499</v>
      </c>
      <c r="E384" s="273" t="s">
        <v>3132</v>
      </c>
      <c r="F384" s="273" t="s">
        <v>3132</v>
      </c>
      <c r="G384" s="273" t="s">
        <v>3133</v>
      </c>
    </row>
    <row r="385" spans="1:7">
      <c r="A385" s="273">
        <v>4</v>
      </c>
      <c r="B385" s="273" t="s">
        <v>2043</v>
      </c>
      <c r="C385" s="273" t="s">
        <v>2526</v>
      </c>
      <c r="D385" s="273" t="s">
        <v>2499</v>
      </c>
      <c r="E385" s="273" t="s">
        <v>3134</v>
      </c>
      <c r="F385" s="273" t="s">
        <v>3134</v>
      </c>
      <c r="G385" s="273" t="s">
        <v>3135</v>
      </c>
    </row>
    <row r="386" spans="1:7">
      <c r="A386" s="273">
        <v>4</v>
      </c>
      <c r="B386" s="273" t="s">
        <v>2043</v>
      </c>
      <c r="C386" s="273" t="s">
        <v>2526</v>
      </c>
      <c r="D386" s="273" t="s">
        <v>2499</v>
      </c>
      <c r="E386" s="273" t="s">
        <v>3136</v>
      </c>
      <c r="F386" s="273" t="s">
        <v>3136</v>
      </c>
      <c r="G386" s="273" t="s">
        <v>3137</v>
      </c>
    </row>
    <row r="387" spans="1:7">
      <c r="A387" s="273">
        <v>4</v>
      </c>
      <c r="B387" s="273" t="s">
        <v>2043</v>
      </c>
      <c r="C387" s="273" t="s">
        <v>2526</v>
      </c>
      <c r="D387" s="273" t="s">
        <v>2499</v>
      </c>
      <c r="E387" s="273" t="s">
        <v>3138</v>
      </c>
      <c r="F387" s="273" t="s">
        <v>3138</v>
      </c>
      <c r="G387" s="273" t="s">
        <v>3139</v>
      </c>
    </row>
    <row r="388" spans="1:7">
      <c r="A388" s="273">
        <v>4</v>
      </c>
      <c r="B388" s="273" t="s">
        <v>2043</v>
      </c>
      <c r="C388" s="273" t="s">
        <v>2526</v>
      </c>
      <c r="D388" s="273" t="s">
        <v>2499</v>
      </c>
      <c r="E388" s="273" t="s">
        <v>3140</v>
      </c>
      <c r="F388" s="273" t="s">
        <v>3140</v>
      </c>
      <c r="G388" s="273" t="s">
        <v>3141</v>
      </c>
    </row>
    <row r="389" spans="1:7">
      <c r="A389" s="273">
        <v>4</v>
      </c>
      <c r="B389" s="273" t="s">
        <v>2043</v>
      </c>
      <c r="C389" s="273" t="s">
        <v>2526</v>
      </c>
      <c r="D389" s="273" t="s">
        <v>2499</v>
      </c>
      <c r="E389" s="273" t="s">
        <v>3142</v>
      </c>
      <c r="F389" s="273" t="s">
        <v>3142</v>
      </c>
      <c r="G389" s="273" t="s">
        <v>3143</v>
      </c>
    </row>
    <row r="390" spans="1:7">
      <c r="A390" s="273">
        <v>4</v>
      </c>
      <c r="B390" s="273" t="s">
        <v>2043</v>
      </c>
      <c r="C390" s="273" t="s">
        <v>2526</v>
      </c>
      <c r="D390" s="273" t="s">
        <v>2499</v>
      </c>
      <c r="E390" s="273" t="s">
        <v>3144</v>
      </c>
      <c r="F390" s="273" t="s">
        <v>3144</v>
      </c>
      <c r="G390" s="273" t="s">
        <v>3145</v>
      </c>
    </row>
    <row r="391" spans="1:7">
      <c r="A391" s="273">
        <v>4</v>
      </c>
      <c r="B391" s="273" t="s">
        <v>2043</v>
      </c>
      <c r="C391" s="273" t="s">
        <v>2526</v>
      </c>
      <c r="D391" s="273" t="s">
        <v>2499</v>
      </c>
      <c r="E391" s="273" t="s">
        <v>3146</v>
      </c>
      <c r="F391" s="273" t="s">
        <v>3146</v>
      </c>
      <c r="G391" s="273" t="s">
        <v>3147</v>
      </c>
    </row>
    <row r="392" spans="1:7">
      <c r="A392" s="273">
        <v>4</v>
      </c>
      <c r="B392" s="273" t="s">
        <v>2043</v>
      </c>
      <c r="C392" s="273" t="s">
        <v>2526</v>
      </c>
      <c r="D392" s="273" t="s">
        <v>2499</v>
      </c>
      <c r="E392" s="273" t="s">
        <v>3148</v>
      </c>
      <c r="F392" s="273" t="s">
        <v>3148</v>
      </c>
      <c r="G392" s="273" t="s">
        <v>3149</v>
      </c>
    </row>
    <row r="393" spans="1:7">
      <c r="A393" s="273">
        <v>5</v>
      </c>
      <c r="B393" s="273" t="s">
        <v>2043</v>
      </c>
      <c r="C393" s="273" t="s">
        <v>2526</v>
      </c>
      <c r="D393" s="273" t="s">
        <v>2499</v>
      </c>
      <c r="E393" s="273" t="s">
        <v>3148</v>
      </c>
      <c r="F393" s="273" t="s">
        <v>3171</v>
      </c>
      <c r="G393" s="273" t="s">
        <v>3172</v>
      </c>
    </row>
    <row r="394" spans="1:7">
      <c r="A394" s="273">
        <v>5</v>
      </c>
      <c r="B394" s="273" t="s">
        <v>2043</v>
      </c>
      <c r="C394" s="273" t="s">
        <v>2526</v>
      </c>
      <c r="D394" s="273" t="s">
        <v>2499</v>
      </c>
      <c r="E394" s="273" t="s">
        <v>3148</v>
      </c>
      <c r="F394" s="273" t="s">
        <v>3173</v>
      </c>
      <c r="G394" s="273" t="s">
        <v>3174</v>
      </c>
    </row>
    <row r="395" spans="1:7">
      <c r="A395" s="273">
        <v>5</v>
      </c>
      <c r="B395" s="273" t="s">
        <v>2043</v>
      </c>
      <c r="C395" s="273" t="s">
        <v>2526</v>
      </c>
      <c r="D395" s="273" t="s">
        <v>2499</v>
      </c>
      <c r="E395" s="273" t="s">
        <v>3148</v>
      </c>
      <c r="F395" s="273" t="s">
        <v>3175</v>
      </c>
      <c r="G395" s="273" t="s">
        <v>3176</v>
      </c>
    </row>
    <row r="396" spans="1:7">
      <c r="A396" s="273">
        <v>4</v>
      </c>
      <c r="B396" s="273" t="s">
        <v>2043</v>
      </c>
      <c r="C396" s="273" t="s">
        <v>2526</v>
      </c>
      <c r="D396" s="273" t="s">
        <v>2499</v>
      </c>
      <c r="E396" s="273" t="s">
        <v>3150</v>
      </c>
      <c r="F396" s="273" t="s">
        <v>3150</v>
      </c>
      <c r="G396" s="273" t="s">
        <v>3151</v>
      </c>
    </row>
    <row r="397" spans="1:7">
      <c r="A397" s="273">
        <v>4</v>
      </c>
      <c r="B397" s="273" t="s">
        <v>2043</v>
      </c>
      <c r="C397" s="273" t="s">
        <v>2526</v>
      </c>
      <c r="D397" s="273" t="s">
        <v>2499</v>
      </c>
      <c r="E397" s="273" t="s">
        <v>3152</v>
      </c>
      <c r="F397" s="273" t="s">
        <v>3152</v>
      </c>
      <c r="G397" s="273" t="s">
        <v>3153</v>
      </c>
    </row>
    <row r="398" spans="1:7">
      <c r="A398" s="273">
        <v>4</v>
      </c>
      <c r="B398" s="273" t="s">
        <v>2043</v>
      </c>
      <c r="C398" s="273" t="s">
        <v>2526</v>
      </c>
      <c r="D398" s="273" t="s">
        <v>2499</v>
      </c>
      <c r="E398" s="273" t="s">
        <v>3177</v>
      </c>
      <c r="F398" s="273" t="s">
        <v>3177</v>
      </c>
      <c r="G398" s="273" t="s">
        <v>3178</v>
      </c>
    </row>
    <row r="399" spans="1:7">
      <c r="A399" s="273">
        <v>4</v>
      </c>
      <c r="B399" s="273" t="s">
        <v>2043</v>
      </c>
      <c r="C399" s="273" t="s">
        <v>2526</v>
      </c>
      <c r="D399" s="273" t="s">
        <v>2499</v>
      </c>
      <c r="E399" s="273" t="s">
        <v>3179</v>
      </c>
      <c r="F399" s="273" t="s">
        <v>3179</v>
      </c>
      <c r="G399" s="273" t="s">
        <v>3180</v>
      </c>
    </row>
    <row r="400" spans="1:7">
      <c r="A400" s="273">
        <v>4</v>
      </c>
      <c r="B400" s="273" t="s">
        <v>2043</v>
      </c>
      <c r="C400" s="273" t="s">
        <v>2526</v>
      </c>
      <c r="D400" s="273" t="s">
        <v>2499</v>
      </c>
      <c r="E400" s="273" t="s">
        <v>3181</v>
      </c>
      <c r="F400" s="273" t="s">
        <v>3181</v>
      </c>
      <c r="G400" s="273" t="s">
        <v>3182</v>
      </c>
    </row>
    <row r="401" spans="1:7">
      <c r="A401" s="273">
        <v>4</v>
      </c>
      <c r="B401" s="273" t="s">
        <v>2043</v>
      </c>
      <c r="C401" s="273" t="s">
        <v>2526</v>
      </c>
      <c r="D401" s="273" t="s">
        <v>2499</v>
      </c>
      <c r="E401" s="273" t="s">
        <v>3183</v>
      </c>
      <c r="F401" s="273" t="s">
        <v>3183</v>
      </c>
      <c r="G401" s="273" t="s">
        <v>3184</v>
      </c>
    </row>
    <row r="402" spans="1:7">
      <c r="A402" s="273">
        <v>4</v>
      </c>
      <c r="B402" s="273" t="s">
        <v>2043</v>
      </c>
      <c r="C402" s="273" t="s">
        <v>2526</v>
      </c>
      <c r="D402" s="273" t="s">
        <v>2499</v>
      </c>
      <c r="E402" s="273" t="s">
        <v>3185</v>
      </c>
      <c r="F402" s="273" t="s">
        <v>3185</v>
      </c>
      <c r="G402" s="273" t="s">
        <v>3186</v>
      </c>
    </row>
    <row r="403" spans="1:7">
      <c r="A403" s="273">
        <v>4</v>
      </c>
      <c r="B403" s="273" t="s">
        <v>2043</v>
      </c>
      <c r="C403" s="273" t="s">
        <v>2526</v>
      </c>
      <c r="D403" s="273" t="s">
        <v>2499</v>
      </c>
      <c r="E403" s="273" t="s">
        <v>3187</v>
      </c>
      <c r="F403" s="273" t="s">
        <v>3187</v>
      </c>
      <c r="G403" s="273" t="s">
        <v>3188</v>
      </c>
    </row>
    <row r="404" spans="1:7">
      <c r="A404" s="273">
        <v>4</v>
      </c>
      <c r="B404" s="273" t="s">
        <v>2043</v>
      </c>
      <c r="C404" s="273" t="s">
        <v>2526</v>
      </c>
      <c r="D404" s="273" t="s">
        <v>2499</v>
      </c>
      <c r="E404" s="273" t="s">
        <v>3189</v>
      </c>
      <c r="F404" s="273" t="s">
        <v>3189</v>
      </c>
      <c r="G404" s="273" t="s">
        <v>3190</v>
      </c>
    </row>
    <row r="405" spans="1:7">
      <c r="A405" s="273">
        <v>4</v>
      </c>
      <c r="B405" s="273" t="s">
        <v>2043</v>
      </c>
      <c r="C405" s="273" t="s">
        <v>2526</v>
      </c>
      <c r="D405" s="273" t="s">
        <v>2499</v>
      </c>
      <c r="E405" s="273" t="s">
        <v>3191</v>
      </c>
      <c r="F405" s="273" t="s">
        <v>3191</v>
      </c>
      <c r="G405" s="273" t="s">
        <v>3192</v>
      </c>
    </row>
    <row r="406" spans="1:7">
      <c r="A406" s="273">
        <v>4</v>
      </c>
      <c r="B406" s="273" t="s">
        <v>2043</v>
      </c>
      <c r="C406" s="273" t="s">
        <v>2526</v>
      </c>
      <c r="D406" s="273" t="s">
        <v>2499</v>
      </c>
      <c r="E406" s="273" t="s">
        <v>3193</v>
      </c>
      <c r="F406" s="273" t="s">
        <v>3193</v>
      </c>
      <c r="G406" s="273" t="s">
        <v>3194</v>
      </c>
    </row>
    <row r="407" spans="1:7">
      <c r="A407" s="273">
        <v>4</v>
      </c>
      <c r="B407" s="273" t="s">
        <v>2043</v>
      </c>
      <c r="C407" s="273" t="s">
        <v>2526</v>
      </c>
      <c r="D407" s="273" t="s">
        <v>2499</v>
      </c>
      <c r="E407" s="273" t="s">
        <v>3195</v>
      </c>
      <c r="F407" s="273" t="s">
        <v>3195</v>
      </c>
      <c r="G407" s="273" t="s">
        <v>3196</v>
      </c>
    </row>
    <row r="408" spans="1:7">
      <c r="A408" s="273">
        <v>4</v>
      </c>
      <c r="B408" s="273" t="s">
        <v>2043</v>
      </c>
      <c r="C408" s="273" t="s">
        <v>2526</v>
      </c>
      <c r="D408" s="273" t="s">
        <v>2499</v>
      </c>
      <c r="E408" s="273" t="s">
        <v>3197</v>
      </c>
      <c r="F408" s="273" t="s">
        <v>3197</v>
      </c>
      <c r="G408" s="273" t="s">
        <v>3198</v>
      </c>
    </row>
    <row r="409" spans="1:7">
      <c r="A409" s="273">
        <v>4</v>
      </c>
      <c r="B409" s="273" t="s">
        <v>2043</v>
      </c>
      <c r="C409" s="273" t="s">
        <v>2526</v>
      </c>
      <c r="D409" s="273" t="s">
        <v>2499</v>
      </c>
      <c r="E409" s="273" t="s">
        <v>3199</v>
      </c>
      <c r="F409" s="273" t="s">
        <v>3199</v>
      </c>
      <c r="G409" s="273" t="s">
        <v>3200</v>
      </c>
    </row>
    <row r="410" spans="1:7">
      <c r="A410" s="273">
        <v>4</v>
      </c>
      <c r="B410" s="273" t="s">
        <v>2043</v>
      </c>
      <c r="C410" s="273" t="s">
        <v>2526</v>
      </c>
      <c r="D410" s="273" t="s">
        <v>2499</v>
      </c>
      <c r="E410" s="273" t="s">
        <v>3201</v>
      </c>
      <c r="F410" s="273" t="s">
        <v>3201</v>
      </c>
      <c r="G410" s="273" t="s">
        <v>3202</v>
      </c>
    </row>
    <row r="411" spans="1:7">
      <c r="A411" s="273">
        <v>4</v>
      </c>
      <c r="B411" s="273" t="s">
        <v>2043</v>
      </c>
      <c r="C411" s="273" t="s">
        <v>2526</v>
      </c>
      <c r="D411" s="273" t="s">
        <v>2499</v>
      </c>
      <c r="E411" s="273" t="s">
        <v>3203</v>
      </c>
      <c r="F411" s="273" t="s">
        <v>3203</v>
      </c>
      <c r="G411" s="273" t="s">
        <v>3204</v>
      </c>
    </row>
    <row r="412" spans="1:7">
      <c r="A412" s="273">
        <v>5</v>
      </c>
      <c r="B412" s="273" t="s">
        <v>2043</v>
      </c>
      <c r="C412" s="273" t="s">
        <v>2526</v>
      </c>
      <c r="D412" s="273" t="s">
        <v>2499</v>
      </c>
      <c r="E412" s="273" t="s">
        <v>3203</v>
      </c>
      <c r="F412" s="273" t="s">
        <v>3205</v>
      </c>
      <c r="G412" s="273" t="s">
        <v>3206</v>
      </c>
    </row>
    <row r="413" spans="1:7">
      <c r="A413" s="273">
        <v>5</v>
      </c>
      <c r="B413" s="273" t="s">
        <v>2043</v>
      </c>
      <c r="C413" s="273" t="s">
        <v>2526</v>
      </c>
      <c r="D413" s="273" t="s">
        <v>2499</v>
      </c>
      <c r="E413" s="273" t="s">
        <v>3203</v>
      </c>
      <c r="F413" s="273" t="s">
        <v>3207</v>
      </c>
      <c r="G413" s="273" t="s">
        <v>3208</v>
      </c>
    </row>
    <row r="414" spans="1:7">
      <c r="A414" s="273">
        <v>5</v>
      </c>
      <c r="B414" s="273" t="s">
        <v>2043</v>
      </c>
      <c r="C414" s="273" t="s">
        <v>2526</v>
      </c>
      <c r="D414" s="273" t="s">
        <v>2499</v>
      </c>
      <c r="E414" s="273" t="s">
        <v>3203</v>
      </c>
      <c r="F414" s="273" t="s">
        <v>3209</v>
      </c>
      <c r="G414" s="273" t="s">
        <v>3210</v>
      </c>
    </row>
    <row r="415" spans="1:7">
      <c r="A415" s="273">
        <v>5</v>
      </c>
      <c r="B415" s="273" t="s">
        <v>2043</v>
      </c>
      <c r="C415" s="273" t="s">
        <v>2526</v>
      </c>
      <c r="D415" s="273" t="s">
        <v>2499</v>
      </c>
      <c r="E415" s="273" t="s">
        <v>3203</v>
      </c>
      <c r="F415" s="273" t="s">
        <v>3211</v>
      </c>
      <c r="G415" s="273" t="s">
        <v>3212</v>
      </c>
    </row>
    <row r="416" spans="1:7">
      <c r="A416" s="273">
        <v>5</v>
      </c>
      <c r="B416" s="273" t="s">
        <v>2043</v>
      </c>
      <c r="C416" s="273" t="s">
        <v>2526</v>
      </c>
      <c r="D416" s="273" t="s">
        <v>2499</v>
      </c>
      <c r="E416" s="273" t="s">
        <v>3203</v>
      </c>
      <c r="F416" s="273" t="s">
        <v>3213</v>
      </c>
      <c r="G416" s="273" t="s">
        <v>3214</v>
      </c>
    </row>
    <row r="417" spans="1:7">
      <c r="A417" s="273">
        <v>5</v>
      </c>
      <c r="B417" s="273" t="s">
        <v>2043</v>
      </c>
      <c r="C417" s="273" t="s">
        <v>2526</v>
      </c>
      <c r="D417" s="273" t="s">
        <v>2499</v>
      </c>
      <c r="E417" s="273" t="s">
        <v>3203</v>
      </c>
      <c r="F417" s="273" t="s">
        <v>3215</v>
      </c>
      <c r="G417" s="273" t="s">
        <v>3216</v>
      </c>
    </row>
    <row r="418" spans="1:7">
      <c r="A418" s="273">
        <v>5</v>
      </c>
      <c r="B418" s="273" t="s">
        <v>2043</v>
      </c>
      <c r="C418" s="273" t="s">
        <v>2526</v>
      </c>
      <c r="D418" s="273" t="s">
        <v>2499</v>
      </c>
      <c r="E418" s="273" t="s">
        <v>3203</v>
      </c>
      <c r="F418" s="273" t="s">
        <v>3217</v>
      </c>
      <c r="G418" s="273" t="s">
        <v>3218</v>
      </c>
    </row>
    <row r="419" spans="1:7">
      <c r="A419" s="273">
        <v>5</v>
      </c>
      <c r="B419" s="273" t="s">
        <v>2043</v>
      </c>
      <c r="C419" s="273" t="s">
        <v>2526</v>
      </c>
      <c r="D419" s="273" t="s">
        <v>2499</v>
      </c>
      <c r="E419" s="273" t="s">
        <v>3203</v>
      </c>
      <c r="F419" s="273" t="s">
        <v>3219</v>
      </c>
      <c r="G419" s="273" t="s">
        <v>3220</v>
      </c>
    </row>
    <row r="420" spans="1:7">
      <c r="A420" s="273">
        <v>5</v>
      </c>
      <c r="B420" s="273" t="s">
        <v>2043</v>
      </c>
      <c r="C420" s="273" t="s">
        <v>2526</v>
      </c>
      <c r="D420" s="273" t="s">
        <v>2499</v>
      </c>
      <c r="E420" s="273" t="s">
        <v>3203</v>
      </c>
      <c r="F420" s="273" t="s">
        <v>3221</v>
      </c>
      <c r="G420" s="273" t="s">
        <v>3222</v>
      </c>
    </row>
    <row r="421" spans="1:7">
      <c r="A421" s="273">
        <v>5</v>
      </c>
      <c r="B421" s="273" t="s">
        <v>2043</v>
      </c>
      <c r="C421" s="273" t="s">
        <v>2526</v>
      </c>
      <c r="D421" s="273" t="s">
        <v>2499</v>
      </c>
      <c r="E421" s="273" t="s">
        <v>3203</v>
      </c>
      <c r="F421" s="273" t="s">
        <v>3223</v>
      </c>
      <c r="G421" s="273" t="s">
        <v>3224</v>
      </c>
    </row>
    <row r="422" spans="1:7">
      <c r="A422" s="273">
        <v>5</v>
      </c>
      <c r="B422" s="273" t="s">
        <v>2043</v>
      </c>
      <c r="C422" s="273" t="s">
        <v>2526</v>
      </c>
      <c r="D422" s="273" t="s">
        <v>2499</v>
      </c>
      <c r="E422" s="273" t="s">
        <v>3203</v>
      </c>
      <c r="F422" s="273" t="s">
        <v>3225</v>
      </c>
      <c r="G422" s="273" t="s">
        <v>3226</v>
      </c>
    </row>
    <row r="423" spans="1:7">
      <c r="A423" s="273">
        <v>5</v>
      </c>
      <c r="B423" s="273" t="s">
        <v>2043</v>
      </c>
      <c r="C423" s="273" t="s">
        <v>2526</v>
      </c>
      <c r="D423" s="273" t="s">
        <v>2499</v>
      </c>
      <c r="E423" s="273" t="s">
        <v>3203</v>
      </c>
      <c r="F423" s="273" t="s">
        <v>3227</v>
      </c>
      <c r="G423" s="273" t="s">
        <v>3228</v>
      </c>
    </row>
    <row r="424" spans="1:7">
      <c r="A424" s="273">
        <v>5</v>
      </c>
      <c r="B424" s="273" t="s">
        <v>2043</v>
      </c>
      <c r="C424" s="273" t="s">
        <v>2526</v>
      </c>
      <c r="D424" s="273" t="s">
        <v>2499</v>
      </c>
      <c r="E424" s="273" t="s">
        <v>3203</v>
      </c>
      <c r="F424" s="273" t="s">
        <v>3229</v>
      </c>
      <c r="G424" s="273" t="s">
        <v>3230</v>
      </c>
    </row>
    <row r="425" spans="1:7">
      <c r="A425" s="273">
        <v>5</v>
      </c>
      <c r="B425" s="273" t="s">
        <v>2043</v>
      </c>
      <c r="C425" s="273" t="s">
        <v>2526</v>
      </c>
      <c r="D425" s="273" t="s">
        <v>2499</v>
      </c>
      <c r="E425" s="273" t="s">
        <v>3203</v>
      </c>
      <c r="F425" s="273" t="s">
        <v>3231</v>
      </c>
      <c r="G425" s="273" t="s">
        <v>3232</v>
      </c>
    </row>
    <row r="426" spans="1:7">
      <c r="A426" s="273">
        <v>5</v>
      </c>
      <c r="B426" s="273" t="s">
        <v>2043</v>
      </c>
      <c r="C426" s="273" t="s">
        <v>2526</v>
      </c>
      <c r="D426" s="273" t="s">
        <v>2499</v>
      </c>
      <c r="E426" s="273" t="s">
        <v>3203</v>
      </c>
      <c r="F426" s="273" t="s">
        <v>3233</v>
      </c>
      <c r="G426" s="273" t="s">
        <v>3234</v>
      </c>
    </row>
    <row r="427" spans="1:7">
      <c r="A427" s="273">
        <v>5</v>
      </c>
      <c r="B427" s="273" t="s">
        <v>2043</v>
      </c>
      <c r="C427" s="273" t="s">
        <v>2526</v>
      </c>
      <c r="D427" s="273" t="s">
        <v>2499</v>
      </c>
      <c r="E427" s="273" t="s">
        <v>3203</v>
      </c>
      <c r="F427" s="273" t="s">
        <v>3235</v>
      </c>
      <c r="G427" s="273" t="s">
        <v>3236</v>
      </c>
    </row>
    <row r="428" spans="1:7">
      <c r="A428" s="273">
        <v>5</v>
      </c>
      <c r="B428" s="273" t="s">
        <v>2043</v>
      </c>
      <c r="C428" s="273" t="s">
        <v>2526</v>
      </c>
      <c r="D428" s="273" t="s">
        <v>2499</v>
      </c>
      <c r="E428" s="273" t="s">
        <v>3203</v>
      </c>
      <c r="F428" s="273" t="s">
        <v>3237</v>
      </c>
      <c r="G428" s="273" t="s">
        <v>3238</v>
      </c>
    </row>
    <row r="429" spans="1:7">
      <c r="A429" s="273">
        <v>5</v>
      </c>
      <c r="B429" s="273" t="s">
        <v>2043</v>
      </c>
      <c r="C429" s="273" t="s">
        <v>2526</v>
      </c>
      <c r="D429" s="273" t="s">
        <v>2499</v>
      </c>
      <c r="E429" s="273" t="s">
        <v>3203</v>
      </c>
      <c r="F429" s="273" t="s">
        <v>3239</v>
      </c>
      <c r="G429" s="273" t="s">
        <v>3240</v>
      </c>
    </row>
    <row r="430" spans="1:7">
      <c r="A430" s="273">
        <v>5</v>
      </c>
      <c r="B430" s="273" t="s">
        <v>2043</v>
      </c>
      <c r="C430" s="273" t="s">
        <v>2526</v>
      </c>
      <c r="D430" s="273" t="s">
        <v>2499</v>
      </c>
      <c r="E430" s="273" t="s">
        <v>3203</v>
      </c>
      <c r="F430" s="273" t="s">
        <v>3241</v>
      </c>
      <c r="G430" s="273" t="s">
        <v>3242</v>
      </c>
    </row>
    <row r="431" spans="1:7">
      <c r="A431" s="273">
        <v>5</v>
      </c>
      <c r="B431" s="273" t="s">
        <v>2043</v>
      </c>
      <c r="C431" s="273" t="s">
        <v>2526</v>
      </c>
      <c r="D431" s="273" t="s">
        <v>2499</v>
      </c>
      <c r="E431" s="273" t="s">
        <v>3203</v>
      </c>
      <c r="F431" s="273" t="s">
        <v>3243</v>
      </c>
      <c r="G431" s="273" t="s">
        <v>3244</v>
      </c>
    </row>
    <row r="432" spans="1:7">
      <c r="A432" s="273">
        <v>5</v>
      </c>
      <c r="B432" s="273" t="s">
        <v>2043</v>
      </c>
      <c r="C432" s="273" t="s">
        <v>2526</v>
      </c>
      <c r="D432" s="273" t="s">
        <v>2499</v>
      </c>
      <c r="E432" s="273" t="s">
        <v>3203</v>
      </c>
      <c r="F432" s="273" t="s">
        <v>3245</v>
      </c>
      <c r="G432" s="273" t="s">
        <v>3246</v>
      </c>
    </row>
    <row r="433" spans="1:7">
      <c r="A433" s="273">
        <v>5</v>
      </c>
      <c r="B433" s="273" t="s">
        <v>2043</v>
      </c>
      <c r="C433" s="273" t="s">
        <v>2526</v>
      </c>
      <c r="D433" s="273" t="s">
        <v>2499</v>
      </c>
      <c r="E433" s="273" t="s">
        <v>3203</v>
      </c>
      <c r="F433" s="273" t="s">
        <v>3247</v>
      </c>
      <c r="G433" s="273" t="s">
        <v>3248</v>
      </c>
    </row>
    <row r="434" spans="1:7">
      <c r="A434" s="273">
        <v>5</v>
      </c>
      <c r="B434" s="273" t="s">
        <v>2043</v>
      </c>
      <c r="C434" s="273" t="s">
        <v>2526</v>
      </c>
      <c r="D434" s="273" t="s">
        <v>2499</v>
      </c>
      <c r="E434" s="273" t="s">
        <v>3203</v>
      </c>
      <c r="F434" s="273" t="s">
        <v>3249</v>
      </c>
      <c r="G434" s="273" t="s">
        <v>3250</v>
      </c>
    </row>
    <row r="435" spans="1:7">
      <c r="A435" s="273">
        <v>5</v>
      </c>
      <c r="B435" s="273" t="s">
        <v>2043</v>
      </c>
      <c r="C435" s="273" t="s">
        <v>2526</v>
      </c>
      <c r="D435" s="273" t="s">
        <v>2499</v>
      </c>
      <c r="E435" s="273" t="s">
        <v>3203</v>
      </c>
      <c r="F435" s="273" t="s">
        <v>3251</v>
      </c>
      <c r="G435" s="273" t="s">
        <v>3252</v>
      </c>
    </row>
    <row r="436" spans="1:7">
      <c r="A436" s="273">
        <v>5</v>
      </c>
      <c r="B436" s="273" t="s">
        <v>2043</v>
      </c>
      <c r="C436" s="273" t="s">
        <v>2526</v>
      </c>
      <c r="D436" s="273" t="s">
        <v>2499</v>
      </c>
      <c r="E436" s="273" t="s">
        <v>3203</v>
      </c>
      <c r="F436" s="273" t="s">
        <v>3253</v>
      </c>
      <c r="G436" s="273" t="s">
        <v>3254</v>
      </c>
    </row>
    <row r="437" spans="1:7">
      <c r="A437" s="273">
        <v>3</v>
      </c>
      <c r="B437" s="273" t="s">
        <v>2043</v>
      </c>
      <c r="C437" s="273" t="s">
        <v>2526</v>
      </c>
      <c r="D437" s="273" t="s">
        <v>2313</v>
      </c>
      <c r="E437" s="273" t="s">
        <v>2313</v>
      </c>
      <c r="F437" s="273" t="s">
        <v>2313</v>
      </c>
      <c r="G437" s="273" t="s">
        <v>2312</v>
      </c>
    </row>
    <row r="438" spans="1:7">
      <c r="A438" s="273">
        <v>4</v>
      </c>
      <c r="B438" s="273" t="s">
        <v>2043</v>
      </c>
      <c r="C438" s="273" t="s">
        <v>2526</v>
      </c>
      <c r="D438" s="273" t="s">
        <v>2313</v>
      </c>
      <c r="E438" s="273" t="s">
        <v>2310</v>
      </c>
      <c r="F438" s="273" t="s">
        <v>2310</v>
      </c>
      <c r="G438" s="273" t="s">
        <v>2309</v>
      </c>
    </row>
    <row r="439" spans="1:7">
      <c r="A439" s="273">
        <v>5</v>
      </c>
      <c r="B439" s="273" t="s">
        <v>2043</v>
      </c>
      <c r="C439" s="273" t="s">
        <v>2526</v>
      </c>
      <c r="D439" s="273" t="s">
        <v>2968</v>
      </c>
      <c r="E439" s="273" t="s">
        <v>2968</v>
      </c>
      <c r="F439" s="273" t="s">
        <v>2968</v>
      </c>
      <c r="G439" s="273" t="s">
        <v>2967</v>
      </c>
    </row>
    <row r="440" spans="1:7">
      <c r="A440" s="273">
        <v>5</v>
      </c>
      <c r="B440" s="273" t="s">
        <v>2043</v>
      </c>
      <c r="C440" s="273" t="s">
        <v>2526</v>
      </c>
      <c r="D440" s="273" t="s">
        <v>2965</v>
      </c>
      <c r="E440" s="273" t="s">
        <v>2965</v>
      </c>
      <c r="F440" s="273" t="s">
        <v>2965</v>
      </c>
      <c r="G440" s="273" t="s">
        <v>2964</v>
      </c>
    </row>
    <row r="441" spans="1:7">
      <c r="A441" s="273">
        <v>4</v>
      </c>
      <c r="B441" s="273" t="s">
        <v>2043</v>
      </c>
      <c r="C441" s="273" t="s">
        <v>2526</v>
      </c>
      <c r="D441" s="273">
        <v>0</v>
      </c>
      <c r="E441" s="273" t="s">
        <v>2112</v>
      </c>
      <c r="F441" s="273" t="s">
        <v>2112</v>
      </c>
      <c r="G441" s="273" t="s">
        <v>2111</v>
      </c>
    </row>
    <row r="442" spans="1:7">
      <c r="A442" s="273">
        <v>4</v>
      </c>
      <c r="B442" s="273" t="s">
        <v>2043</v>
      </c>
      <c r="C442" s="273" t="s">
        <v>2526</v>
      </c>
      <c r="D442" s="273">
        <v>0</v>
      </c>
      <c r="E442" s="273">
        <v>0</v>
      </c>
      <c r="F442" s="273" t="s">
        <v>2109</v>
      </c>
      <c r="G442" s="273">
        <v>0</v>
      </c>
    </row>
    <row r="443" spans="1:7">
      <c r="A443" s="273">
        <v>3</v>
      </c>
      <c r="B443" s="273" t="s">
        <v>2043</v>
      </c>
      <c r="C443" s="273" t="s">
        <v>2526</v>
      </c>
    </row>
    <row r="444" spans="1:7">
      <c r="A444" s="273">
        <v>4</v>
      </c>
      <c r="B444" s="273" t="s">
        <v>2043</v>
      </c>
      <c r="C444" s="273" t="s">
        <v>2526</v>
      </c>
    </row>
    <row r="445" spans="1:7">
      <c r="A445" s="273">
        <v>3</v>
      </c>
      <c r="B445" s="273" t="s">
        <v>2043</v>
      </c>
      <c r="C445" s="273" t="s">
        <v>2526</v>
      </c>
      <c r="D445" s="273" t="s">
        <v>2298</v>
      </c>
      <c r="E445" s="273" t="s">
        <v>2298</v>
      </c>
      <c r="F445" s="273" t="s">
        <v>2298</v>
      </c>
      <c r="G445" s="273" t="s">
        <v>2297</v>
      </c>
    </row>
    <row r="446" spans="1:7">
      <c r="A446" s="273">
        <v>4</v>
      </c>
      <c r="B446" s="273" t="s">
        <v>2043</v>
      </c>
      <c r="C446" s="273" t="s">
        <v>2526</v>
      </c>
      <c r="D446" s="273" t="s">
        <v>2298</v>
      </c>
      <c r="E446" s="273" t="s">
        <v>2295</v>
      </c>
      <c r="F446" s="273" t="s">
        <v>2295</v>
      </c>
      <c r="G446" s="273" t="s">
        <v>2245</v>
      </c>
    </row>
    <row r="447" spans="1:7">
      <c r="A447" s="273">
        <v>5</v>
      </c>
      <c r="B447" s="273" t="s">
        <v>2043</v>
      </c>
      <c r="C447" s="273" t="s">
        <v>2526</v>
      </c>
      <c r="D447" s="273" t="s">
        <v>2298</v>
      </c>
      <c r="E447" s="273" t="s">
        <v>2295</v>
      </c>
      <c r="F447" s="273" t="s">
        <v>2293</v>
      </c>
      <c r="G447" s="273" t="s">
        <v>2292</v>
      </c>
    </row>
    <row r="448" spans="1:7">
      <c r="A448" s="273">
        <v>5</v>
      </c>
      <c r="B448" s="273" t="s">
        <v>2043</v>
      </c>
      <c r="C448" s="273" t="s">
        <v>2526</v>
      </c>
      <c r="D448" s="273" t="s">
        <v>2298</v>
      </c>
      <c r="E448" s="273" t="s">
        <v>2295</v>
      </c>
      <c r="F448" s="273" t="s">
        <v>2290</v>
      </c>
      <c r="G448" s="273" t="s">
        <v>2289</v>
      </c>
    </row>
    <row r="449" spans="1:7">
      <c r="A449" s="273">
        <v>5</v>
      </c>
      <c r="B449" s="273" t="s">
        <v>2043</v>
      </c>
      <c r="C449" s="273" t="s">
        <v>2526</v>
      </c>
      <c r="D449" s="273" t="s">
        <v>2298</v>
      </c>
      <c r="E449" s="273" t="s">
        <v>2295</v>
      </c>
      <c r="F449" s="273" t="s">
        <v>2287</v>
      </c>
      <c r="G449" s="273" t="s">
        <v>2286</v>
      </c>
    </row>
    <row r="450" spans="1:7">
      <c r="A450" s="273">
        <v>5</v>
      </c>
      <c r="B450" s="273" t="s">
        <v>2043</v>
      </c>
      <c r="C450" s="273" t="s">
        <v>2526</v>
      </c>
      <c r="D450" s="273" t="s">
        <v>2298</v>
      </c>
      <c r="E450" s="273" t="s">
        <v>2295</v>
      </c>
      <c r="F450" s="273" t="s">
        <v>2284</v>
      </c>
      <c r="G450" s="273" t="s">
        <v>2283</v>
      </c>
    </row>
    <row r="451" spans="1:7">
      <c r="A451" s="273">
        <v>5</v>
      </c>
      <c r="B451" s="273" t="s">
        <v>2043</v>
      </c>
      <c r="C451" s="273" t="s">
        <v>2526</v>
      </c>
      <c r="D451" s="273" t="s">
        <v>2298</v>
      </c>
      <c r="E451" s="273" t="s">
        <v>2295</v>
      </c>
      <c r="F451" s="273" t="s">
        <v>2281</v>
      </c>
      <c r="G451" s="273" t="s">
        <v>2280</v>
      </c>
    </row>
    <row r="452" spans="1:7">
      <c r="A452" s="273">
        <v>5</v>
      </c>
      <c r="B452" s="273" t="s">
        <v>2043</v>
      </c>
      <c r="C452" s="273" t="s">
        <v>2526</v>
      </c>
      <c r="D452" s="273" t="s">
        <v>2298</v>
      </c>
      <c r="E452" s="273" t="s">
        <v>2295</v>
      </c>
      <c r="F452" s="273" t="s">
        <v>2278</v>
      </c>
      <c r="G452" s="273" t="s">
        <v>2277</v>
      </c>
    </row>
    <row r="453" spans="1:7">
      <c r="A453" s="273">
        <v>5</v>
      </c>
      <c r="B453" s="273" t="s">
        <v>2043</v>
      </c>
      <c r="C453" s="273" t="s">
        <v>2526</v>
      </c>
      <c r="D453" s="273" t="s">
        <v>2298</v>
      </c>
      <c r="E453" s="273" t="s">
        <v>2295</v>
      </c>
      <c r="F453" s="273" t="s">
        <v>2275</v>
      </c>
      <c r="G453" s="273" t="s">
        <v>2274</v>
      </c>
    </row>
    <row r="454" spans="1:7">
      <c r="A454" s="273">
        <v>5</v>
      </c>
      <c r="B454" s="273" t="s">
        <v>2043</v>
      </c>
      <c r="C454" s="273" t="s">
        <v>2526</v>
      </c>
      <c r="D454" s="273" t="s">
        <v>2298</v>
      </c>
      <c r="E454" s="273" t="s">
        <v>2295</v>
      </c>
      <c r="F454" s="273" t="s">
        <v>2272</v>
      </c>
      <c r="G454" s="273" t="s">
        <v>2271</v>
      </c>
    </row>
    <row r="455" spans="1:7">
      <c r="A455" s="273">
        <v>5</v>
      </c>
      <c r="B455" s="273" t="s">
        <v>2043</v>
      </c>
      <c r="C455" s="273" t="s">
        <v>2526</v>
      </c>
      <c r="D455" s="273" t="s">
        <v>2298</v>
      </c>
      <c r="E455" s="273" t="s">
        <v>2295</v>
      </c>
      <c r="F455" s="273" t="s">
        <v>2269</v>
      </c>
      <c r="G455" s="273" t="s">
        <v>2268</v>
      </c>
    </row>
    <row r="456" spans="1:7">
      <c r="A456" s="273">
        <v>5</v>
      </c>
      <c r="B456" s="273" t="s">
        <v>2043</v>
      </c>
      <c r="C456" s="273" t="s">
        <v>2526</v>
      </c>
      <c r="D456" s="273" t="s">
        <v>2298</v>
      </c>
      <c r="E456" s="273" t="s">
        <v>2295</v>
      </c>
      <c r="F456" s="273" t="s">
        <v>2266</v>
      </c>
      <c r="G456" s="273" t="s">
        <v>2265</v>
      </c>
    </row>
    <row r="457" spans="1:7">
      <c r="A457" s="273">
        <v>5</v>
      </c>
      <c r="B457" s="273" t="s">
        <v>2043</v>
      </c>
      <c r="C457" s="273" t="s">
        <v>2526</v>
      </c>
      <c r="D457" s="273" t="s">
        <v>2298</v>
      </c>
      <c r="E457" s="273" t="s">
        <v>2295</v>
      </c>
      <c r="F457" s="273" t="s">
        <v>2263</v>
      </c>
      <c r="G457" s="273" t="s">
        <v>2262</v>
      </c>
    </row>
    <row r="458" spans="1:7">
      <c r="A458" s="273">
        <v>5</v>
      </c>
      <c r="B458" s="273" t="s">
        <v>2043</v>
      </c>
      <c r="C458" s="273" t="s">
        <v>2526</v>
      </c>
      <c r="D458" s="273" t="s">
        <v>2298</v>
      </c>
      <c r="E458" s="273" t="s">
        <v>2295</v>
      </c>
      <c r="F458" s="273" t="s">
        <v>2260</v>
      </c>
      <c r="G458" s="273" t="s">
        <v>2259</v>
      </c>
    </row>
    <row r="459" spans="1:7">
      <c r="A459" s="273">
        <v>5</v>
      </c>
      <c r="B459" s="273" t="s">
        <v>2043</v>
      </c>
      <c r="C459" s="273" t="s">
        <v>2526</v>
      </c>
      <c r="D459" s="273" t="s">
        <v>2298</v>
      </c>
      <c r="E459" s="273" t="s">
        <v>2295</v>
      </c>
      <c r="F459" s="273" t="s">
        <v>2257</v>
      </c>
      <c r="G459" s="273" t="s">
        <v>2256</v>
      </c>
    </row>
    <row r="460" spans="1:7">
      <c r="A460" s="273">
        <v>5</v>
      </c>
      <c r="B460" s="273" t="s">
        <v>2043</v>
      </c>
      <c r="C460" s="273" t="s">
        <v>2526</v>
      </c>
      <c r="D460" s="273" t="s">
        <v>2298</v>
      </c>
      <c r="E460" s="273" t="s">
        <v>2295</v>
      </c>
      <c r="F460" s="273" t="s">
        <v>2254</v>
      </c>
      <c r="G460" s="273" t="s">
        <v>2253</v>
      </c>
    </row>
    <row r="461" spans="1:7">
      <c r="A461" s="273">
        <v>4</v>
      </c>
      <c r="B461" s="273" t="s">
        <v>2043</v>
      </c>
      <c r="C461" s="273" t="s">
        <v>2526</v>
      </c>
      <c r="D461" s="273" t="s">
        <v>2298</v>
      </c>
      <c r="E461" s="273" t="s">
        <v>2295</v>
      </c>
    </row>
    <row r="462" spans="1:7">
      <c r="A462" s="273">
        <v>4</v>
      </c>
      <c r="B462" s="273" t="s">
        <v>2043</v>
      </c>
      <c r="C462" s="273" t="s">
        <v>2526</v>
      </c>
      <c r="D462" s="273" t="s">
        <v>2298</v>
      </c>
      <c r="E462" s="273" t="s">
        <v>2295</v>
      </c>
    </row>
    <row r="463" spans="1:7">
      <c r="A463" s="273">
        <v>3</v>
      </c>
      <c r="B463" s="273" t="s">
        <v>2043</v>
      </c>
      <c r="C463" s="273" t="s">
        <v>2526</v>
      </c>
      <c r="D463" s="273" t="s">
        <v>2251</v>
      </c>
      <c r="E463" s="273" t="s">
        <v>2251</v>
      </c>
      <c r="F463" s="273" t="s">
        <v>2251</v>
      </c>
      <c r="G463" s="273" t="s">
        <v>2250</v>
      </c>
    </row>
    <row r="464" spans="1:7">
      <c r="A464" s="273">
        <v>4</v>
      </c>
      <c r="B464" s="273" t="s">
        <v>2043</v>
      </c>
      <c r="C464" s="273" t="s">
        <v>2526</v>
      </c>
      <c r="D464" s="273" t="s">
        <v>2251</v>
      </c>
      <c r="E464" s="273" t="s">
        <v>2248</v>
      </c>
      <c r="F464" s="273" t="s">
        <v>2248</v>
      </c>
      <c r="G464" s="273" t="s">
        <v>2247</v>
      </c>
    </row>
    <row r="465" spans="1:7">
      <c r="A465" s="273">
        <v>5</v>
      </c>
      <c r="B465" s="273" t="s">
        <v>2043</v>
      </c>
      <c r="C465" s="273" t="s">
        <v>2526</v>
      </c>
      <c r="D465" s="273" t="s">
        <v>2251</v>
      </c>
      <c r="E465" s="273" t="s">
        <v>2248</v>
      </c>
      <c r="F465" s="273" t="s">
        <v>2243</v>
      </c>
      <c r="G465" s="273" t="s">
        <v>2242</v>
      </c>
    </row>
    <row r="466" spans="1:7">
      <c r="A466" s="273">
        <v>5</v>
      </c>
      <c r="B466" s="273" t="s">
        <v>2043</v>
      </c>
      <c r="C466" s="273" t="s">
        <v>2526</v>
      </c>
      <c r="D466" s="273" t="s">
        <v>2251</v>
      </c>
      <c r="E466" s="273" t="s">
        <v>2248</v>
      </c>
      <c r="F466" s="273" t="s">
        <v>2239</v>
      </c>
    </row>
    <row r="467" spans="1:7">
      <c r="A467" s="273">
        <v>5</v>
      </c>
      <c r="B467" s="273" t="s">
        <v>2043</v>
      </c>
      <c r="C467" s="273" t="s">
        <v>2526</v>
      </c>
      <c r="D467" s="273" t="s">
        <v>2251</v>
      </c>
      <c r="E467" s="273" t="s">
        <v>2248</v>
      </c>
      <c r="F467" s="273" t="s">
        <v>2238</v>
      </c>
    </row>
    <row r="468" spans="1:7">
      <c r="A468" s="273">
        <v>4</v>
      </c>
      <c r="B468" s="273" t="s">
        <v>2043</v>
      </c>
      <c r="C468" s="273" t="s">
        <v>2526</v>
      </c>
      <c r="D468" s="273" t="s">
        <v>2251</v>
      </c>
      <c r="E468" s="273" t="s">
        <v>2248</v>
      </c>
      <c r="F468" s="273" t="s">
        <v>2237</v>
      </c>
    </row>
    <row r="469" spans="1:7">
      <c r="A469" s="273">
        <v>4</v>
      </c>
      <c r="B469" s="273" t="s">
        <v>2043</v>
      </c>
      <c r="C469" s="273" t="s">
        <v>2526</v>
      </c>
      <c r="D469" s="273" t="s">
        <v>2251</v>
      </c>
      <c r="E469" s="273" t="s">
        <v>2248</v>
      </c>
      <c r="F469" s="273" t="s">
        <v>2236</v>
      </c>
    </row>
    <row r="470" spans="1:7">
      <c r="A470" s="273">
        <v>4</v>
      </c>
      <c r="B470" s="273" t="s">
        <v>2043</v>
      </c>
      <c r="C470" s="273" t="s">
        <v>2526</v>
      </c>
      <c r="D470" s="273" t="s">
        <v>2251</v>
      </c>
      <c r="E470" s="273" t="s">
        <v>2248</v>
      </c>
    </row>
    <row r="471" spans="1:7">
      <c r="A471" s="273">
        <v>2</v>
      </c>
      <c r="B471" s="273" t="s">
        <v>2043</v>
      </c>
      <c r="C471" s="273" t="s">
        <v>2234</v>
      </c>
      <c r="D471" s="273" t="s">
        <v>2234</v>
      </c>
      <c r="E471" s="273" t="s">
        <v>2234</v>
      </c>
      <c r="F471" s="273" t="s">
        <v>2234</v>
      </c>
      <c r="G471" s="273" t="s">
        <v>2233</v>
      </c>
    </row>
    <row r="472" spans="1:7">
      <c r="A472" s="273">
        <v>3</v>
      </c>
      <c r="B472" s="273" t="s">
        <v>2043</v>
      </c>
      <c r="C472" s="273" t="s">
        <v>2234</v>
      </c>
      <c r="D472" s="273" t="s">
        <v>2232</v>
      </c>
      <c r="E472" s="273" t="s">
        <v>2232</v>
      </c>
      <c r="F472" s="273" t="s">
        <v>2232</v>
      </c>
      <c r="G472" s="273" t="s">
        <v>1145</v>
      </c>
    </row>
    <row r="473" spans="1:7">
      <c r="A473" s="273">
        <v>4</v>
      </c>
      <c r="B473" s="273" t="s">
        <v>2043</v>
      </c>
      <c r="C473" s="273" t="s">
        <v>2234</v>
      </c>
      <c r="D473" s="273" t="s">
        <v>2232</v>
      </c>
      <c r="E473" s="273" t="s">
        <v>2230</v>
      </c>
      <c r="F473" s="273" t="s">
        <v>2230</v>
      </c>
      <c r="G473" s="273" t="s">
        <v>1146</v>
      </c>
    </row>
    <row r="474" spans="1:7">
      <c r="A474" s="273">
        <v>5</v>
      </c>
      <c r="B474" s="273" t="s">
        <v>2043</v>
      </c>
      <c r="C474" s="273" t="s">
        <v>2234</v>
      </c>
      <c r="D474" s="273" t="s">
        <v>2232</v>
      </c>
      <c r="E474" s="273" t="s">
        <v>2230</v>
      </c>
    </row>
    <row r="475" spans="1:7">
      <c r="A475" s="273">
        <v>4</v>
      </c>
      <c r="B475" s="273" t="s">
        <v>2043</v>
      </c>
      <c r="C475" s="273" t="s">
        <v>2234</v>
      </c>
      <c r="D475" s="273" t="s">
        <v>2232</v>
      </c>
      <c r="E475" s="273" t="s">
        <v>2230</v>
      </c>
      <c r="F475" s="273" t="s">
        <v>3040</v>
      </c>
    </row>
    <row r="476" spans="1:7">
      <c r="A476" s="273">
        <v>4</v>
      </c>
      <c r="B476" s="273" t="s">
        <v>2043</v>
      </c>
      <c r="C476" s="273" t="s">
        <v>2234</v>
      </c>
      <c r="D476" s="273" t="s">
        <v>2232</v>
      </c>
      <c r="E476" s="273" t="s">
        <v>2230</v>
      </c>
      <c r="F476" s="273" t="s">
        <v>1225</v>
      </c>
    </row>
    <row r="477" spans="1:7">
      <c r="A477" s="273">
        <v>4</v>
      </c>
      <c r="B477" s="273" t="s">
        <v>2043</v>
      </c>
      <c r="C477" s="273" t="s">
        <v>2234</v>
      </c>
      <c r="D477" s="273" t="s">
        <v>2232</v>
      </c>
      <c r="E477" s="273" t="s">
        <v>2230</v>
      </c>
      <c r="F477" s="273" t="s">
        <v>3041</v>
      </c>
    </row>
    <row r="478" spans="1:7">
      <c r="A478" s="273">
        <v>4</v>
      </c>
      <c r="B478" s="273" t="s">
        <v>2043</v>
      </c>
      <c r="C478" s="273" t="s">
        <v>2234</v>
      </c>
      <c r="D478" s="273" t="s">
        <v>2232</v>
      </c>
      <c r="E478" s="273" t="s">
        <v>2230</v>
      </c>
      <c r="F478" s="273" t="s">
        <v>3042</v>
      </c>
    </row>
    <row r="479" spans="1:7">
      <c r="A479" s="273">
        <v>4</v>
      </c>
      <c r="B479" s="273" t="s">
        <v>2043</v>
      </c>
      <c r="C479" s="273" t="s">
        <v>2234</v>
      </c>
      <c r="D479" s="273" t="s">
        <v>2232</v>
      </c>
      <c r="E479" s="273" t="s">
        <v>2230</v>
      </c>
      <c r="F479" s="273" t="s">
        <v>3043</v>
      </c>
    </row>
    <row r="480" spans="1:7">
      <c r="A480" s="273">
        <v>4</v>
      </c>
      <c r="B480" s="273" t="s">
        <v>2043</v>
      </c>
      <c r="C480" s="273" t="s">
        <v>2234</v>
      </c>
      <c r="D480" s="273" t="s">
        <v>2232</v>
      </c>
      <c r="E480" s="273" t="s">
        <v>2230</v>
      </c>
      <c r="F480" s="273" t="s">
        <v>3044</v>
      </c>
    </row>
    <row r="481" spans="1:7">
      <c r="A481" s="273">
        <v>4</v>
      </c>
      <c r="B481" s="273" t="s">
        <v>2043</v>
      </c>
      <c r="C481" s="273" t="s">
        <v>2234</v>
      </c>
      <c r="D481" s="273" t="s">
        <v>2232</v>
      </c>
      <c r="E481" s="273" t="s">
        <v>2230</v>
      </c>
      <c r="F481" s="273" t="s">
        <v>3045</v>
      </c>
    </row>
    <row r="482" spans="1:7">
      <c r="A482" s="273">
        <v>4</v>
      </c>
      <c r="B482" s="273" t="s">
        <v>2043</v>
      </c>
      <c r="C482" s="273" t="s">
        <v>2234</v>
      </c>
      <c r="D482" s="273" t="s">
        <v>2232</v>
      </c>
      <c r="E482" s="273" t="s">
        <v>2230</v>
      </c>
      <c r="F482" s="273" t="s">
        <v>3046</v>
      </c>
    </row>
    <row r="483" spans="1:7">
      <c r="A483" s="273">
        <v>4</v>
      </c>
      <c r="B483" s="273" t="s">
        <v>2043</v>
      </c>
      <c r="C483" s="273" t="s">
        <v>2234</v>
      </c>
      <c r="D483" s="273" t="s">
        <v>2232</v>
      </c>
      <c r="E483" s="273" t="s">
        <v>2230</v>
      </c>
      <c r="F483" s="273" t="s">
        <v>3047</v>
      </c>
    </row>
    <row r="484" spans="1:7">
      <c r="A484" s="273">
        <v>4</v>
      </c>
      <c r="B484" s="273" t="s">
        <v>2043</v>
      </c>
      <c r="C484" s="273" t="s">
        <v>2234</v>
      </c>
      <c r="D484" s="273" t="s">
        <v>2232</v>
      </c>
      <c r="E484" s="273" t="s">
        <v>2230</v>
      </c>
      <c r="F484" s="273" t="s">
        <v>3048</v>
      </c>
    </row>
    <row r="485" spans="1:7">
      <c r="A485" s="273">
        <v>4</v>
      </c>
      <c r="B485" s="273" t="s">
        <v>2043</v>
      </c>
      <c r="C485" s="273" t="s">
        <v>2234</v>
      </c>
      <c r="D485" s="273" t="s">
        <v>2232</v>
      </c>
      <c r="E485" s="273" t="s">
        <v>2230</v>
      </c>
      <c r="F485" s="273" t="s">
        <v>3049</v>
      </c>
    </row>
    <row r="486" spans="1:7">
      <c r="A486" s="273">
        <v>4</v>
      </c>
      <c r="B486" s="273" t="s">
        <v>2043</v>
      </c>
      <c r="C486" s="273" t="s">
        <v>2234</v>
      </c>
      <c r="D486" s="273" t="s">
        <v>2232</v>
      </c>
      <c r="E486" s="273" t="s">
        <v>2230</v>
      </c>
      <c r="F486" s="273" t="s">
        <v>3050</v>
      </c>
    </row>
    <row r="487" spans="1:7">
      <c r="A487" s="273">
        <v>4</v>
      </c>
      <c r="B487" s="273" t="s">
        <v>2043</v>
      </c>
      <c r="C487" s="273" t="s">
        <v>2234</v>
      </c>
      <c r="D487" s="273" t="s">
        <v>2232</v>
      </c>
      <c r="E487" s="273" t="s">
        <v>2230</v>
      </c>
      <c r="F487" s="273" t="s">
        <v>3051</v>
      </c>
    </row>
    <row r="488" spans="1:7">
      <c r="A488" s="273">
        <v>4</v>
      </c>
      <c r="B488" s="273" t="s">
        <v>2043</v>
      </c>
      <c r="C488" s="273" t="s">
        <v>2234</v>
      </c>
      <c r="D488" s="273" t="s">
        <v>2232</v>
      </c>
      <c r="E488" s="273" t="s">
        <v>2230</v>
      </c>
      <c r="F488" s="273" t="s">
        <v>3052</v>
      </c>
    </row>
    <row r="489" spans="1:7">
      <c r="A489" s="273">
        <v>3</v>
      </c>
      <c r="B489" s="273" t="s">
        <v>2043</v>
      </c>
      <c r="C489" s="273" t="s">
        <v>2234</v>
      </c>
      <c r="G489" s="273" t="s">
        <v>1158</v>
      </c>
    </row>
    <row r="490" spans="1:7">
      <c r="A490" s="273">
        <v>3</v>
      </c>
      <c r="B490" s="273" t="s">
        <v>2043</v>
      </c>
      <c r="C490" s="273" t="s">
        <v>2234</v>
      </c>
      <c r="G490" s="273" t="s">
        <v>1228</v>
      </c>
    </row>
    <row r="491" spans="1:7">
      <c r="A491" s="273">
        <v>3</v>
      </c>
      <c r="B491" s="273" t="s">
        <v>2043</v>
      </c>
      <c r="C491" s="273" t="s">
        <v>2234</v>
      </c>
      <c r="G491" s="273" t="s">
        <v>3053</v>
      </c>
    </row>
    <row r="492" spans="1:7">
      <c r="A492" s="273">
        <v>3</v>
      </c>
      <c r="B492" s="273" t="s">
        <v>2043</v>
      </c>
      <c r="C492" s="273" t="s">
        <v>2234</v>
      </c>
      <c r="G492" s="273" t="s">
        <v>3054</v>
      </c>
    </row>
    <row r="493" spans="1:7">
      <c r="A493" s="273">
        <v>3</v>
      </c>
      <c r="B493" s="273" t="s">
        <v>2043</v>
      </c>
      <c r="C493" s="273" t="s">
        <v>2234</v>
      </c>
      <c r="G493" s="273" t="s">
        <v>1231</v>
      </c>
    </row>
    <row r="494" spans="1:7">
      <c r="A494" s="273">
        <v>3</v>
      </c>
      <c r="B494" s="273" t="s">
        <v>2043</v>
      </c>
      <c r="C494" s="273" t="s">
        <v>2234</v>
      </c>
      <c r="G494" s="273" t="s">
        <v>3055</v>
      </c>
    </row>
    <row r="495" spans="1:7">
      <c r="A495" s="273">
        <v>3</v>
      </c>
      <c r="B495" s="273" t="s">
        <v>2043</v>
      </c>
      <c r="C495" s="273" t="s">
        <v>2234</v>
      </c>
      <c r="G495" s="273" t="s">
        <v>3056</v>
      </c>
    </row>
    <row r="496" spans="1:7">
      <c r="A496" s="273">
        <v>3</v>
      </c>
      <c r="B496" s="273" t="s">
        <v>2043</v>
      </c>
      <c r="C496" s="273" t="s">
        <v>2234</v>
      </c>
      <c r="G496" s="273" t="s">
        <v>3057</v>
      </c>
    </row>
    <row r="497" spans="1:7">
      <c r="A497" s="273">
        <v>3</v>
      </c>
      <c r="B497" s="273" t="s">
        <v>2043</v>
      </c>
      <c r="C497" s="273" t="s">
        <v>2234</v>
      </c>
      <c r="G497" s="273" t="s">
        <v>3058</v>
      </c>
    </row>
    <row r="498" spans="1:7">
      <c r="A498" s="273">
        <v>3</v>
      </c>
      <c r="B498" s="273" t="s">
        <v>2043</v>
      </c>
      <c r="C498" s="273" t="s">
        <v>2234</v>
      </c>
      <c r="G498" s="273" t="s">
        <v>3059</v>
      </c>
    </row>
    <row r="499" spans="1:7">
      <c r="A499" s="273">
        <v>3</v>
      </c>
      <c r="B499" s="273" t="s">
        <v>2043</v>
      </c>
      <c r="C499" s="273" t="s">
        <v>2234</v>
      </c>
    </row>
    <row r="500" spans="1:7">
      <c r="A500" s="273">
        <v>3</v>
      </c>
      <c r="B500" s="273" t="s">
        <v>2043</v>
      </c>
      <c r="C500" s="273" t="s">
        <v>2234</v>
      </c>
      <c r="G500" s="273" t="s">
        <v>3060</v>
      </c>
    </row>
    <row r="501" spans="1:7">
      <c r="A501" s="273">
        <v>3</v>
      </c>
      <c r="B501" s="273" t="s">
        <v>2043</v>
      </c>
      <c r="C501" s="273" t="s">
        <v>2234</v>
      </c>
      <c r="G501" s="273" t="s">
        <v>3061</v>
      </c>
    </row>
    <row r="502" spans="1:7">
      <c r="A502" s="273">
        <v>3</v>
      </c>
      <c r="B502" s="273" t="s">
        <v>2043</v>
      </c>
      <c r="C502" s="273" t="s">
        <v>2234</v>
      </c>
      <c r="G502" s="273" t="s">
        <v>3062</v>
      </c>
    </row>
    <row r="503" spans="1:7">
      <c r="A503" s="273">
        <v>3</v>
      </c>
      <c r="B503" s="273" t="s">
        <v>2043</v>
      </c>
      <c r="C503" s="273" t="s">
        <v>2234</v>
      </c>
      <c r="G503" s="273" t="s">
        <v>3063</v>
      </c>
    </row>
    <row r="504" spans="1:7">
      <c r="A504" s="273">
        <v>3</v>
      </c>
      <c r="B504" s="273" t="s">
        <v>2043</v>
      </c>
      <c r="C504" s="273" t="s">
        <v>2234</v>
      </c>
      <c r="G504" s="273" t="s">
        <v>3064</v>
      </c>
    </row>
    <row r="505" spans="1:7">
      <c r="A505" s="273">
        <v>3</v>
      </c>
      <c r="B505" s="273" t="s">
        <v>2043</v>
      </c>
      <c r="C505" s="273" t="s">
        <v>2234</v>
      </c>
      <c r="G505" s="273" t="s">
        <v>3065</v>
      </c>
    </row>
    <row r="506" spans="1:7">
      <c r="A506" s="273">
        <v>3</v>
      </c>
      <c r="B506" s="273" t="s">
        <v>2043</v>
      </c>
      <c r="C506" s="273" t="s">
        <v>2234</v>
      </c>
      <c r="G506" s="273" t="s">
        <v>3066</v>
      </c>
    </row>
    <row r="507" spans="1:7">
      <c r="A507" s="273">
        <v>3</v>
      </c>
      <c r="B507" s="273" t="s">
        <v>2043</v>
      </c>
      <c r="C507" s="273" t="s">
        <v>2234</v>
      </c>
      <c r="G507" s="273" t="s">
        <v>3067</v>
      </c>
    </row>
    <row r="508" spans="1:7">
      <c r="A508" s="273">
        <v>3</v>
      </c>
      <c r="B508" s="273" t="s">
        <v>2043</v>
      </c>
      <c r="C508" s="273" t="s">
        <v>2234</v>
      </c>
      <c r="G508" s="273" t="s">
        <v>3068</v>
      </c>
    </row>
    <row r="509" spans="1:7">
      <c r="A509" s="273">
        <v>3</v>
      </c>
      <c r="B509" s="273" t="s">
        <v>2043</v>
      </c>
      <c r="C509" s="273" t="s">
        <v>2234</v>
      </c>
      <c r="G509" s="273" t="s">
        <v>1254</v>
      </c>
    </row>
    <row r="510" spans="1:7">
      <c r="A510" s="273">
        <v>3</v>
      </c>
      <c r="B510" s="273" t="s">
        <v>2043</v>
      </c>
      <c r="C510" s="273" t="s">
        <v>2234</v>
      </c>
      <c r="G510" s="273" t="s">
        <v>3069</v>
      </c>
    </row>
    <row r="511" spans="1:7">
      <c r="A511" s="273">
        <v>3</v>
      </c>
      <c r="B511" s="273" t="s">
        <v>2043</v>
      </c>
      <c r="C511" s="273" t="s">
        <v>2234</v>
      </c>
      <c r="G511" s="273" t="s">
        <v>1256</v>
      </c>
    </row>
    <row r="512" spans="1:7">
      <c r="A512" s="273">
        <v>3</v>
      </c>
      <c r="B512" s="273" t="s">
        <v>2043</v>
      </c>
      <c r="C512" s="273" t="s">
        <v>2234</v>
      </c>
      <c r="G512" s="273" t="s">
        <v>3070</v>
      </c>
    </row>
    <row r="513" spans="1:7">
      <c r="A513" s="273">
        <v>3</v>
      </c>
      <c r="B513" s="273" t="s">
        <v>2043</v>
      </c>
      <c r="C513" s="273" t="s">
        <v>2234</v>
      </c>
      <c r="G513" s="273" t="s">
        <v>3071</v>
      </c>
    </row>
    <row r="514" spans="1:7">
      <c r="A514" s="273">
        <v>3</v>
      </c>
      <c r="B514" s="273" t="s">
        <v>2043</v>
      </c>
      <c r="C514" s="273" t="s">
        <v>2234</v>
      </c>
      <c r="G514" s="273" t="s">
        <v>1257</v>
      </c>
    </row>
    <row r="515" spans="1:7">
      <c r="A515" s="273">
        <v>3</v>
      </c>
      <c r="B515" s="273" t="s">
        <v>2043</v>
      </c>
      <c r="C515" s="273" t="s">
        <v>2234</v>
      </c>
      <c r="G515" s="273" t="s">
        <v>3072</v>
      </c>
    </row>
    <row r="516" spans="1:7">
      <c r="A516" s="273">
        <v>3</v>
      </c>
      <c r="B516" s="273" t="s">
        <v>2043</v>
      </c>
      <c r="C516" s="273" t="s">
        <v>2234</v>
      </c>
      <c r="G516" s="273" t="s">
        <v>3073</v>
      </c>
    </row>
    <row r="517" spans="1:7">
      <c r="A517" s="273">
        <v>3</v>
      </c>
      <c r="B517" s="273" t="s">
        <v>2043</v>
      </c>
      <c r="C517" s="273" t="s">
        <v>2234</v>
      </c>
      <c r="G517" s="273" t="s">
        <v>3074</v>
      </c>
    </row>
    <row r="518" spans="1:7">
      <c r="A518" s="273">
        <v>3</v>
      </c>
      <c r="B518" s="273" t="s">
        <v>2043</v>
      </c>
      <c r="C518" s="273" t="s">
        <v>2234</v>
      </c>
      <c r="G518" s="273" t="s">
        <v>3075</v>
      </c>
    </row>
    <row r="519" spans="1:7">
      <c r="A519" s="273">
        <v>3</v>
      </c>
      <c r="B519" s="273" t="s">
        <v>2043</v>
      </c>
      <c r="C519" s="273" t="s">
        <v>2234</v>
      </c>
      <c r="G519" s="273" t="s">
        <v>3076</v>
      </c>
    </row>
    <row r="520" spans="1:7">
      <c r="A520" s="273">
        <v>3</v>
      </c>
      <c r="B520" s="273" t="s">
        <v>2043</v>
      </c>
      <c r="C520" s="273" t="s">
        <v>2234</v>
      </c>
      <c r="G520" s="273" t="s">
        <v>3077</v>
      </c>
    </row>
    <row r="521" spans="1:7">
      <c r="A521" s="273">
        <v>3</v>
      </c>
      <c r="B521" s="273" t="s">
        <v>2043</v>
      </c>
      <c r="C521" s="273" t="s">
        <v>2234</v>
      </c>
      <c r="G521" s="273" t="s">
        <v>3078</v>
      </c>
    </row>
    <row r="522" spans="1:7">
      <c r="A522" s="273">
        <v>3</v>
      </c>
      <c r="B522" s="273" t="s">
        <v>2043</v>
      </c>
      <c r="C522" s="273" t="s">
        <v>2234</v>
      </c>
      <c r="G522" s="273" t="s">
        <v>3079</v>
      </c>
    </row>
    <row r="523" spans="1:7">
      <c r="A523" s="273">
        <v>3</v>
      </c>
      <c r="B523" s="273" t="s">
        <v>2043</v>
      </c>
      <c r="C523" s="273" t="s">
        <v>2234</v>
      </c>
      <c r="G523" s="273" t="s">
        <v>3080</v>
      </c>
    </row>
    <row r="524" spans="1:7">
      <c r="A524" s="273">
        <v>3</v>
      </c>
      <c r="B524" s="273" t="s">
        <v>2043</v>
      </c>
      <c r="C524" s="273" t="s">
        <v>2234</v>
      </c>
      <c r="G524" s="273" t="s">
        <v>3081</v>
      </c>
    </row>
    <row r="525" spans="1:7">
      <c r="A525" s="273">
        <v>3</v>
      </c>
      <c r="B525" s="273" t="s">
        <v>2043</v>
      </c>
      <c r="C525" s="273" t="s">
        <v>2234</v>
      </c>
      <c r="G525" s="273" t="s">
        <v>1265</v>
      </c>
    </row>
    <row r="526" spans="1:7">
      <c r="A526" s="273">
        <v>3</v>
      </c>
      <c r="B526" s="273" t="s">
        <v>2043</v>
      </c>
      <c r="C526" s="273" t="s">
        <v>2234</v>
      </c>
      <c r="G526" s="273" t="s">
        <v>3082</v>
      </c>
    </row>
    <row r="527" spans="1:7">
      <c r="A527" s="273">
        <v>3</v>
      </c>
      <c r="B527" s="273" t="s">
        <v>2043</v>
      </c>
      <c r="C527" s="273" t="s">
        <v>2234</v>
      </c>
      <c r="G527" s="273" t="s">
        <v>3083</v>
      </c>
    </row>
    <row r="528" spans="1:7">
      <c r="A528" s="273">
        <v>3</v>
      </c>
      <c r="B528" s="273" t="s">
        <v>2043</v>
      </c>
      <c r="C528" s="273" t="s">
        <v>2234</v>
      </c>
      <c r="G528" s="273" t="s">
        <v>3084</v>
      </c>
    </row>
    <row r="529" spans="1:7">
      <c r="A529" s="273">
        <v>3</v>
      </c>
      <c r="B529" s="273" t="s">
        <v>2043</v>
      </c>
      <c r="C529" s="273" t="s">
        <v>2234</v>
      </c>
      <c r="G529" s="273" t="s">
        <v>3085</v>
      </c>
    </row>
    <row r="530" spans="1:7">
      <c r="A530" s="273">
        <v>3</v>
      </c>
      <c r="B530" s="273" t="s">
        <v>2043</v>
      </c>
      <c r="C530" s="273" t="s">
        <v>2234</v>
      </c>
      <c r="G530" s="273" t="s">
        <v>3086</v>
      </c>
    </row>
    <row r="531" spans="1:7">
      <c r="A531" s="273">
        <v>3</v>
      </c>
      <c r="B531" s="273" t="s">
        <v>2043</v>
      </c>
      <c r="C531" s="273" t="s">
        <v>2234</v>
      </c>
      <c r="G531" s="273" t="s">
        <v>3087</v>
      </c>
    </row>
    <row r="532" spans="1:7">
      <c r="A532" s="273">
        <v>3</v>
      </c>
      <c r="B532" s="273" t="s">
        <v>2043</v>
      </c>
      <c r="C532" s="273" t="s">
        <v>2234</v>
      </c>
    </row>
    <row r="533" spans="1:7">
      <c r="A533" s="273">
        <v>3</v>
      </c>
      <c r="B533" s="273" t="s">
        <v>2043</v>
      </c>
      <c r="C533" s="273" t="s">
        <v>2234</v>
      </c>
      <c r="G533" s="273" t="s">
        <v>3088</v>
      </c>
    </row>
    <row r="534" spans="1:7">
      <c r="A534" s="273">
        <v>3</v>
      </c>
      <c r="B534" s="273" t="s">
        <v>2043</v>
      </c>
      <c r="C534" s="273" t="s">
        <v>2234</v>
      </c>
      <c r="G534" s="273" t="s">
        <v>3089</v>
      </c>
    </row>
    <row r="535" spans="1:7">
      <c r="A535" s="273">
        <v>3</v>
      </c>
      <c r="B535" s="273" t="s">
        <v>2043</v>
      </c>
      <c r="C535" s="273" t="s">
        <v>2234</v>
      </c>
      <c r="G535" s="273" t="s">
        <v>1267</v>
      </c>
    </row>
    <row r="536" spans="1:7">
      <c r="A536" s="273">
        <v>3</v>
      </c>
      <c r="B536" s="273" t="s">
        <v>2043</v>
      </c>
      <c r="C536" s="273" t="s">
        <v>2234</v>
      </c>
      <c r="G536" s="273" t="s">
        <v>1201</v>
      </c>
    </row>
    <row r="537" spans="1:7">
      <c r="A537" s="273">
        <v>3</v>
      </c>
      <c r="B537" s="273" t="s">
        <v>2043</v>
      </c>
      <c r="C537" s="273" t="s">
        <v>2234</v>
      </c>
      <c r="G537" s="273" t="s">
        <v>3090</v>
      </c>
    </row>
    <row r="538" spans="1:7">
      <c r="A538" s="273">
        <v>3</v>
      </c>
      <c r="B538" s="273" t="s">
        <v>2043</v>
      </c>
      <c r="C538" s="273" t="s">
        <v>2234</v>
      </c>
      <c r="G538" s="273" t="s">
        <v>3091</v>
      </c>
    </row>
    <row r="539" spans="1:7">
      <c r="A539" s="273">
        <v>3</v>
      </c>
      <c r="B539" s="273" t="s">
        <v>2043</v>
      </c>
      <c r="C539" s="273" t="s">
        <v>2234</v>
      </c>
    </row>
    <row r="540" spans="1:7">
      <c r="A540" s="273">
        <v>3</v>
      </c>
      <c r="B540" s="273" t="s">
        <v>2043</v>
      </c>
      <c r="C540" s="273" t="s">
        <v>2234</v>
      </c>
      <c r="G540" s="273" t="s">
        <v>3092</v>
      </c>
    </row>
    <row r="541" spans="1:7">
      <c r="A541" s="273">
        <v>3</v>
      </c>
      <c r="B541" s="273" t="s">
        <v>2043</v>
      </c>
      <c r="C541" s="273" t="s">
        <v>2234</v>
      </c>
      <c r="G541" s="273" t="s">
        <v>3093</v>
      </c>
    </row>
    <row r="542" spans="1:7">
      <c r="A542" s="273">
        <v>3</v>
      </c>
      <c r="B542" s="273" t="s">
        <v>2043</v>
      </c>
      <c r="C542" s="273" t="s">
        <v>2234</v>
      </c>
      <c r="G542" s="273" t="s">
        <v>3094</v>
      </c>
    </row>
    <row r="543" spans="1:7">
      <c r="A543" s="273">
        <v>3</v>
      </c>
      <c r="B543" s="273" t="s">
        <v>2043</v>
      </c>
      <c r="C543" s="273" t="s">
        <v>2234</v>
      </c>
      <c r="G543" s="273" t="s">
        <v>3095</v>
      </c>
    </row>
    <row r="544" spans="1:7">
      <c r="A544" s="273">
        <v>3</v>
      </c>
      <c r="B544" s="273" t="s">
        <v>2043</v>
      </c>
      <c r="C544" s="273" t="s">
        <v>2234</v>
      </c>
      <c r="G544" s="273" t="s">
        <v>3096</v>
      </c>
    </row>
    <row r="545" spans="1:7">
      <c r="A545" s="273">
        <v>3</v>
      </c>
      <c r="B545" s="273" t="s">
        <v>2043</v>
      </c>
      <c r="C545" s="273" t="s">
        <v>2234</v>
      </c>
      <c r="G545" s="273" t="s">
        <v>3097</v>
      </c>
    </row>
    <row r="546" spans="1:7">
      <c r="A546" s="273">
        <v>3</v>
      </c>
      <c r="B546" s="273" t="s">
        <v>2043</v>
      </c>
      <c r="C546" s="273" t="s">
        <v>2234</v>
      </c>
      <c r="G546" s="273" t="s">
        <v>3098</v>
      </c>
    </row>
    <row r="547" spans="1:7">
      <c r="A547" s="273">
        <v>3</v>
      </c>
      <c r="B547" s="273" t="s">
        <v>2043</v>
      </c>
      <c r="C547" s="273" t="s">
        <v>2234</v>
      </c>
    </row>
    <row r="548" spans="1:7">
      <c r="A548" s="273">
        <v>3</v>
      </c>
      <c r="B548" s="273" t="s">
        <v>2043</v>
      </c>
      <c r="C548" s="273" t="s">
        <v>2234</v>
      </c>
      <c r="G548" s="273" t="s">
        <v>3099</v>
      </c>
    </row>
    <row r="549" spans="1:7">
      <c r="A549" s="273">
        <v>3</v>
      </c>
      <c r="B549" s="273" t="s">
        <v>2043</v>
      </c>
      <c r="C549" s="273" t="s">
        <v>2234</v>
      </c>
      <c r="G549" s="273" t="s">
        <v>3100</v>
      </c>
    </row>
    <row r="550" spans="1:7">
      <c r="A550" s="273">
        <v>3</v>
      </c>
      <c r="B550" s="273" t="s">
        <v>2043</v>
      </c>
      <c r="C550" s="273" t="s">
        <v>2234</v>
      </c>
      <c r="G550" s="273" t="s">
        <v>3101</v>
      </c>
    </row>
    <row r="551" spans="1:7">
      <c r="A551" s="273">
        <v>3</v>
      </c>
      <c r="B551" s="273" t="s">
        <v>2043</v>
      </c>
      <c r="C551" s="273" t="s">
        <v>2234</v>
      </c>
      <c r="G551" s="273" t="s">
        <v>3102</v>
      </c>
    </row>
    <row r="552" spans="1:7">
      <c r="A552" s="273">
        <v>3</v>
      </c>
      <c r="B552" s="273" t="s">
        <v>2043</v>
      </c>
      <c r="C552" s="273" t="s">
        <v>2234</v>
      </c>
      <c r="G552" s="273" t="s">
        <v>3103</v>
      </c>
    </row>
    <row r="553" spans="1:7">
      <c r="A553" s="273">
        <v>3</v>
      </c>
      <c r="B553" s="273" t="s">
        <v>2043</v>
      </c>
      <c r="C553" s="273" t="s">
        <v>2234</v>
      </c>
      <c r="G553" s="273" t="s">
        <v>3104</v>
      </c>
    </row>
    <row r="554" spans="1:7">
      <c r="A554" s="273">
        <v>3</v>
      </c>
      <c r="B554" s="273" t="s">
        <v>2043</v>
      </c>
      <c r="C554" s="273" t="s">
        <v>2234</v>
      </c>
      <c r="G554" s="273" t="s">
        <v>3105</v>
      </c>
    </row>
    <row r="555" spans="1:7">
      <c r="A555" s="273">
        <v>3</v>
      </c>
      <c r="B555" s="273" t="s">
        <v>2043</v>
      </c>
      <c r="C555" s="273" t="s">
        <v>2234</v>
      </c>
      <c r="G555" s="273" t="s">
        <v>3106</v>
      </c>
    </row>
    <row r="556" spans="1:7">
      <c r="A556" s="273">
        <v>3</v>
      </c>
      <c r="B556" s="273" t="s">
        <v>2043</v>
      </c>
      <c r="C556" s="273" t="s">
        <v>2234</v>
      </c>
    </row>
    <row r="557" spans="1:7">
      <c r="A557" s="273">
        <v>3</v>
      </c>
      <c r="B557" s="273" t="s">
        <v>2043</v>
      </c>
      <c r="C557" s="273" t="s">
        <v>2234</v>
      </c>
      <c r="G557" s="273" t="s">
        <v>3107</v>
      </c>
    </row>
    <row r="558" spans="1:7">
      <c r="A558" s="273">
        <v>3</v>
      </c>
      <c r="B558" s="273" t="s">
        <v>2043</v>
      </c>
      <c r="C558" s="273" t="s">
        <v>2234</v>
      </c>
      <c r="G558" s="273" t="s">
        <v>3108</v>
      </c>
    </row>
    <row r="559" spans="1:7">
      <c r="A559" s="273">
        <v>3</v>
      </c>
      <c r="B559" s="273" t="s">
        <v>2043</v>
      </c>
      <c r="C559" s="273" t="s">
        <v>2234</v>
      </c>
      <c r="G559" s="273" t="s">
        <v>3109</v>
      </c>
    </row>
    <row r="560" spans="1:7">
      <c r="A560" s="273">
        <v>3</v>
      </c>
      <c r="B560" s="273" t="s">
        <v>2043</v>
      </c>
      <c r="C560" s="273" t="s">
        <v>2234</v>
      </c>
      <c r="G560" s="273" t="s">
        <v>3110</v>
      </c>
    </row>
    <row r="561" spans="1:7">
      <c r="A561" s="273">
        <v>3</v>
      </c>
      <c r="B561" s="273" t="s">
        <v>2043</v>
      </c>
      <c r="C561" s="273" t="s">
        <v>2234</v>
      </c>
      <c r="G561" s="273" t="s">
        <v>3111</v>
      </c>
    </row>
    <row r="562" spans="1:7">
      <c r="A562" s="273">
        <v>3</v>
      </c>
      <c r="B562" s="273" t="s">
        <v>2043</v>
      </c>
      <c r="C562" s="273" t="s">
        <v>2234</v>
      </c>
    </row>
    <row r="563" spans="1:7">
      <c r="A563" s="273">
        <v>3</v>
      </c>
      <c r="B563" s="273" t="s">
        <v>2043</v>
      </c>
      <c r="C563" s="273" t="s">
        <v>2234</v>
      </c>
      <c r="G563" s="273" t="s">
        <v>3112</v>
      </c>
    </row>
    <row r="564" spans="1:7">
      <c r="A564" s="273">
        <v>3</v>
      </c>
      <c r="B564" s="273" t="s">
        <v>2043</v>
      </c>
      <c r="C564" s="273" t="s">
        <v>2234</v>
      </c>
      <c r="G564" s="273" t="s">
        <v>3112</v>
      </c>
    </row>
    <row r="565" spans="1:7">
      <c r="A565" s="273">
        <v>3</v>
      </c>
      <c r="B565" s="273" t="s">
        <v>2043</v>
      </c>
      <c r="C565" s="273" t="s">
        <v>2234</v>
      </c>
      <c r="G565" s="273" t="s">
        <v>3113</v>
      </c>
    </row>
    <row r="566" spans="1:7">
      <c r="A566" s="273">
        <v>3</v>
      </c>
      <c r="B566" s="273" t="s">
        <v>2043</v>
      </c>
      <c r="C566" s="273" t="s">
        <v>2234</v>
      </c>
    </row>
    <row r="567" spans="1:7">
      <c r="A567" s="273">
        <v>3</v>
      </c>
      <c r="B567" s="273" t="s">
        <v>2043</v>
      </c>
      <c r="C567" s="273" t="s">
        <v>2234</v>
      </c>
    </row>
    <row r="568" spans="1:7">
      <c r="A568" s="273">
        <v>3</v>
      </c>
      <c r="B568" s="273" t="s">
        <v>2043</v>
      </c>
      <c r="C568" s="273" t="s">
        <v>2234</v>
      </c>
    </row>
    <row r="569" spans="1:7">
      <c r="A569" s="273">
        <v>2</v>
      </c>
      <c r="B569" s="273" t="s">
        <v>2043</v>
      </c>
      <c r="C569" s="273" t="s">
        <v>2169</v>
      </c>
      <c r="D569" s="273" t="s">
        <v>2169</v>
      </c>
      <c r="E569" s="273" t="s">
        <v>2169</v>
      </c>
      <c r="F569" s="273" t="s">
        <v>2169</v>
      </c>
      <c r="G569" s="273" t="s">
        <v>2168</v>
      </c>
    </row>
    <row r="570" spans="1:7">
      <c r="A570" s="273">
        <v>3</v>
      </c>
      <c r="B570" s="273" t="s">
        <v>2043</v>
      </c>
      <c r="C570" s="273" t="s">
        <v>2169</v>
      </c>
      <c r="D570" s="273" t="s">
        <v>2167</v>
      </c>
      <c r="E570" s="273" t="s">
        <v>2167</v>
      </c>
      <c r="F570" s="273" t="s">
        <v>2167</v>
      </c>
      <c r="G570" s="273" t="s">
        <v>2166</v>
      </c>
    </row>
    <row r="571" spans="1:7">
      <c r="A571" s="273">
        <v>4</v>
      </c>
      <c r="B571" s="273" t="s">
        <v>2043</v>
      </c>
      <c r="C571" s="273" t="s">
        <v>2169</v>
      </c>
      <c r="D571" s="273" t="s">
        <v>2167</v>
      </c>
      <c r="E571" s="273" t="s">
        <v>2164</v>
      </c>
      <c r="F571" s="273" t="s">
        <v>2164</v>
      </c>
      <c r="G571" s="273" t="s">
        <v>2163</v>
      </c>
    </row>
    <row r="572" spans="1:7">
      <c r="A572" s="273">
        <v>5</v>
      </c>
      <c r="B572" s="273" t="s">
        <v>2043</v>
      </c>
      <c r="C572" s="273" t="s">
        <v>2169</v>
      </c>
      <c r="F572" s="273" t="s">
        <v>2162</v>
      </c>
    </row>
    <row r="573" spans="1:7">
      <c r="A573" s="273">
        <v>3</v>
      </c>
      <c r="B573" s="273" t="s">
        <v>2043</v>
      </c>
      <c r="C573" s="273" t="s">
        <v>2169</v>
      </c>
    </row>
    <row r="574" spans="1:7">
      <c r="A574" s="273">
        <v>4</v>
      </c>
      <c r="B574" s="273" t="s">
        <v>2043</v>
      </c>
      <c r="C574" s="273" t="s">
        <v>2169</v>
      </c>
      <c r="D574" s="273">
        <v>0</v>
      </c>
      <c r="E574" s="273" t="s">
        <v>2161</v>
      </c>
      <c r="F574" s="273" t="s">
        <v>2161</v>
      </c>
      <c r="G574" s="273" t="s">
        <v>2160</v>
      </c>
    </row>
    <row r="575" spans="1:7">
      <c r="A575" s="273">
        <v>5</v>
      </c>
      <c r="B575" s="273" t="s">
        <v>2043</v>
      </c>
      <c r="C575" s="273" t="s">
        <v>2169</v>
      </c>
      <c r="F575" s="273" t="s">
        <v>2159</v>
      </c>
      <c r="G575" s="273" t="s">
        <v>2158</v>
      </c>
    </row>
    <row r="576" spans="1:7">
      <c r="A576" s="273">
        <v>5</v>
      </c>
      <c r="B576" s="273" t="s">
        <v>2043</v>
      </c>
      <c r="C576" s="273" t="s">
        <v>2169</v>
      </c>
      <c r="F576" s="273" t="s">
        <v>2157</v>
      </c>
      <c r="G576" s="273" t="s">
        <v>2156</v>
      </c>
    </row>
    <row r="577" spans="1:7">
      <c r="A577" s="273">
        <v>5</v>
      </c>
      <c r="B577" s="273" t="s">
        <v>2043</v>
      </c>
      <c r="C577" s="273" t="s">
        <v>2169</v>
      </c>
      <c r="F577" s="273" t="s">
        <v>2154</v>
      </c>
      <c r="G577" s="273" t="s">
        <v>2153</v>
      </c>
    </row>
    <row r="578" spans="1:7">
      <c r="A578" s="273">
        <v>5</v>
      </c>
      <c r="B578" s="273" t="s">
        <v>2043</v>
      </c>
      <c r="C578" s="273" t="s">
        <v>2169</v>
      </c>
      <c r="F578" s="273" t="s">
        <v>2151</v>
      </c>
      <c r="G578" s="273" t="s">
        <v>2150</v>
      </c>
    </row>
    <row r="579" spans="1:7">
      <c r="A579" s="273">
        <v>5</v>
      </c>
      <c r="B579" s="273" t="s">
        <v>2043</v>
      </c>
      <c r="C579" s="273" t="s">
        <v>2169</v>
      </c>
      <c r="F579" s="273" t="s">
        <v>2148</v>
      </c>
      <c r="G579" s="273" t="s">
        <v>2147</v>
      </c>
    </row>
    <row r="580" spans="1:7">
      <c r="A580" s="273">
        <v>5</v>
      </c>
      <c r="B580" s="273" t="s">
        <v>2043</v>
      </c>
      <c r="C580" s="273" t="s">
        <v>2169</v>
      </c>
      <c r="F580" s="273" t="s">
        <v>2146</v>
      </c>
      <c r="G580" s="273" t="s">
        <v>2144</v>
      </c>
    </row>
    <row r="581" spans="1:7">
      <c r="A581" s="273">
        <v>5</v>
      </c>
      <c r="B581" s="273" t="s">
        <v>2043</v>
      </c>
      <c r="C581" s="273" t="s">
        <v>2169</v>
      </c>
      <c r="F581" s="273" t="s">
        <v>2145</v>
      </c>
      <c r="G581" s="273" t="s">
        <v>2144</v>
      </c>
    </row>
    <row r="582" spans="1:7">
      <c r="A582" s="273">
        <v>5</v>
      </c>
      <c r="B582" s="273" t="s">
        <v>2043</v>
      </c>
      <c r="C582" s="273" t="s">
        <v>2169</v>
      </c>
      <c r="F582" s="273" t="s">
        <v>2143</v>
      </c>
      <c r="G582" s="273" t="s">
        <v>2142</v>
      </c>
    </row>
    <row r="583" spans="1:7">
      <c r="A583" s="273">
        <v>5</v>
      </c>
      <c r="B583" s="273" t="s">
        <v>2043</v>
      </c>
      <c r="C583" s="273" t="s">
        <v>2169</v>
      </c>
      <c r="F583" s="273" t="s">
        <v>2141</v>
      </c>
    </row>
    <row r="584" spans="1:7">
      <c r="A584" s="273">
        <v>3</v>
      </c>
      <c r="B584" s="273" t="s">
        <v>2043</v>
      </c>
      <c r="C584" s="273" t="s">
        <v>2169</v>
      </c>
    </row>
    <row r="585" spans="1:7">
      <c r="A585" s="273">
        <v>4</v>
      </c>
      <c r="B585" s="273" t="s">
        <v>2043</v>
      </c>
      <c r="C585" s="273" t="s">
        <v>2169</v>
      </c>
      <c r="D585" s="273">
        <v>0</v>
      </c>
      <c r="E585" s="273" t="s">
        <v>2139</v>
      </c>
      <c r="F585" s="273" t="s">
        <v>2139</v>
      </c>
      <c r="G585" s="273" t="s">
        <v>2138</v>
      </c>
    </row>
    <row r="586" spans="1:7">
      <c r="A586" s="273">
        <v>5</v>
      </c>
      <c r="B586" s="273" t="s">
        <v>2043</v>
      </c>
      <c r="C586" s="273" t="s">
        <v>2169</v>
      </c>
      <c r="F586" s="273" t="s">
        <v>2137</v>
      </c>
    </row>
    <row r="587" spans="1:7">
      <c r="A587" s="273">
        <v>3</v>
      </c>
      <c r="B587" s="273" t="s">
        <v>2043</v>
      </c>
      <c r="C587" s="273" t="s">
        <v>2169</v>
      </c>
    </row>
    <row r="588" spans="1:7">
      <c r="A588" s="273">
        <v>4</v>
      </c>
      <c r="B588" s="273" t="s">
        <v>2043</v>
      </c>
      <c r="C588" s="273" t="s">
        <v>2169</v>
      </c>
      <c r="D588" s="273">
        <v>0</v>
      </c>
      <c r="E588" s="273" t="s">
        <v>2136</v>
      </c>
      <c r="F588" s="273" t="s">
        <v>2136</v>
      </c>
      <c r="G588" s="273" t="s">
        <v>2135</v>
      </c>
    </row>
    <row r="589" spans="1:7">
      <c r="A589" s="273">
        <v>5</v>
      </c>
      <c r="B589" s="273" t="s">
        <v>2043</v>
      </c>
      <c r="C589" s="273" t="s">
        <v>2169</v>
      </c>
      <c r="F589" s="273" t="s">
        <v>2134</v>
      </c>
    </row>
    <row r="590" spans="1:7">
      <c r="A590" s="273">
        <v>5</v>
      </c>
      <c r="B590" s="273" t="s">
        <v>2043</v>
      </c>
      <c r="C590" s="273" t="s">
        <v>2169</v>
      </c>
      <c r="F590" s="273" t="s">
        <v>2133</v>
      </c>
    </row>
    <row r="591" spans="1:7">
      <c r="A591" s="273">
        <v>5</v>
      </c>
      <c r="B591" s="273" t="s">
        <v>2043</v>
      </c>
      <c r="C591" s="273" t="s">
        <v>2169</v>
      </c>
      <c r="F591" s="273" t="s">
        <v>2132</v>
      </c>
    </row>
    <row r="592" spans="1:7">
      <c r="A592" s="273">
        <v>5</v>
      </c>
      <c r="B592" s="273" t="s">
        <v>2043</v>
      </c>
      <c r="C592" s="273" t="s">
        <v>2169</v>
      </c>
      <c r="F592" s="273" t="s">
        <v>2131</v>
      </c>
    </row>
    <row r="593" spans="1:7">
      <c r="A593" s="273">
        <v>5</v>
      </c>
      <c r="B593" s="273" t="s">
        <v>2043</v>
      </c>
      <c r="C593" s="273" t="s">
        <v>2169</v>
      </c>
      <c r="F593" s="273" t="s">
        <v>2130</v>
      </c>
    </row>
    <row r="594" spans="1:7">
      <c r="A594" s="273">
        <v>4</v>
      </c>
      <c r="B594" s="273" t="s">
        <v>2043</v>
      </c>
      <c r="C594" s="273" t="s">
        <v>2169</v>
      </c>
      <c r="D594" s="273" t="s">
        <v>2167</v>
      </c>
      <c r="E594" s="273" t="s">
        <v>3114</v>
      </c>
      <c r="F594" s="273" t="s">
        <v>3114</v>
      </c>
      <c r="G594" s="273" t="s">
        <v>3115</v>
      </c>
    </row>
    <row r="595" spans="1:7">
      <c r="A595" s="273">
        <v>4</v>
      </c>
      <c r="B595" s="273" t="s">
        <v>2043</v>
      </c>
      <c r="C595" s="273" t="s">
        <v>2169</v>
      </c>
      <c r="D595" s="273" t="s">
        <v>2167</v>
      </c>
      <c r="E595" s="273" t="s">
        <v>3116</v>
      </c>
      <c r="F595" s="273" t="s">
        <v>3116</v>
      </c>
      <c r="G595" s="273" t="s">
        <v>3117</v>
      </c>
    </row>
    <row r="596" spans="1:7">
      <c r="A596" s="273">
        <v>4</v>
      </c>
      <c r="B596" s="273" t="s">
        <v>2043</v>
      </c>
      <c r="C596" s="273" t="s">
        <v>2169</v>
      </c>
      <c r="D596" s="273" t="s">
        <v>2167</v>
      </c>
      <c r="E596" s="273" t="s">
        <v>3164</v>
      </c>
      <c r="F596" s="273" t="s">
        <v>3164</v>
      </c>
      <c r="G596" s="273" t="s">
        <v>3165</v>
      </c>
    </row>
    <row r="597" spans="1:7">
      <c r="A597" s="273">
        <v>4</v>
      </c>
      <c r="B597" s="273" t="s">
        <v>2043</v>
      </c>
      <c r="C597" s="273" t="s">
        <v>2169</v>
      </c>
      <c r="D597" s="273" t="s">
        <v>2167</v>
      </c>
      <c r="E597" s="273" t="s">
        <v>3166</v>
      </c>
      <c r="F597" s="273" t="s">
        <v>3166</v>
      </c>
      <c r="G597" s="273" t="s">
        <v>3167</v>
      </c>
    </row>
    <row r="598" spans="1:7">
      <c r="A598" s="273">
        <v>3</v>
      </c>
      <c r="B598" s="273" t="s">
        <v>2043</v>
      </c>
      <c r="C598" s="273" t="s">
        <v>2169</v>
      </c>
      <c r="D598" s="273" t="s">
        <v>2129</v>
      </c>
      <c r="E598" s="273" t="s">
        <v>2129</v>
      </c>
      <c r="F598" s="273" t="s">
        <v>2129</v>
      </c>
      <c r="G598" s="273" t="s">
        <v>2128</v>
      </c>
    </row>
    <row r="599" spans="1:7">
      <c r="A599" s="273">
        <v>4</v>
      </c>
      <c r="B599" s="273" t="s">
        <v>2043</v>
      </c>
      <c r="C599" s="273" t="s">
        <v>2169</v>
      </c>
      <c r="D599" s="273" t="s">
        <v>2129</v>
      </c>
      <c r="E599" s="273" t="s">
        <v>2123</v>
      </c>
      <c r="F599" s="273" t="s">
        <v>2123</v>
      </c>
      <c r="G599" s="273" t="s">
        <v>2122</v>
      </c>
    </row>
    <row r="600" spans="1:7">
      <c r="A600" s="273">
        <v>5</v>
      </c>
      <c r="B600" s="273" t="s">
        <v>2043</v>
      </c>
      <c r="C600" s="273" t="s">
        <v>2169</v>
      </c>
      <c r="F600" s="273" t="s">
        <v>2120</v>
      </c>
    </row>
    <row r="601" spans="1:7">
      <c r="A601" s="273">
        <v>3</v>
      </c>
      <c r="B601" s="273" t="s">
        <v>2043</v>
      </c>
      <c r="C601" s="273" t="s">
        <v>2169</v>
      </c>
    </row>
    <row r="602" spans="1:7">
      <c r="A602" s="273">
        <v>4</v>
      </c>
      <c r="B602" s="273" t="s">
        <v>2043</v>
      </c>
      <c r="C602" s="273" t="s">
        <v>2169</v>
      </c>
      <c r="D602" s="273">
        <v>0</v>
      </c>
      <c r="E602" s="273" t="s">
        <v>2119</v>
      </c>
      <c r="F602" s="273" t="s">
        <v>2119</v>
      </c>
      <c r="G602" s="273" t="s">
        <v>2118</v>
      </c>
    </row>
    <row r="603" spans="1:7">
      <c r="A603" s="273">
        <v>5</v>
      </c>
      <c r="B603" s="273" t="s">
        <v>2043</v>
      </c>
      <c r="C603" s="273" t="s">
        <v>2169</v>
      </c>
      <c r="F603" s="273" t="s">
        <v>2116</v>
      </c>
    </row>
    <row r="604" spans="1:7">
      <c r="A604" s="273">
        <v>3</v>
      </c>
      <c r="B604" s="273" t="s">
        <v>2043</v>
      </c>
      <c r="C604" s="273" t="s">
        <v>2169</v>
      </c>
    </row>
    <row r="605" spans="1:7">
      <c r="A605" s="273">
        <v>4</v>
      </c>
      <c r="B605" s="273" t="s">
        <v>2043</v>
      </c>
      <c r="C605" s="273" t="s">
        <v>2169</v>
      </c>
      <c r="D605" s="273">
        <v>0</v>
      </c>
      <c r="E605" s="273" t="s">
        <v>2115</v>
      </c>
      <c r="F605" s="273" t="s">
        <v>2115</v>
      </c>
      <c r="G605" s="273" t="s">
        <v>2114</v>
      </c>
    </row>
    <row r="606" spans="1:7">
      <c r="A606" s="273">
        <v>5</v>
      </c>
      <c r="B606" s="273" t="s">
        <v>2043</v>
      </c>
      <c r="C606" s="273" t="s">
        <v>2169</v>
      </c>
      <c r="F606" s="273" t="s">
        <v>2113</v>
      </c>
    </row>
    <row r="607" spans="1:7">
      <c r="A607" s="273">
        <v>3</v>
      </c>
      <c r="B607" s="273" t="s">
        <v>2043</v>
      </c>
      <c r="C607" s="273" t="s">
        <v>2169</v>
      </c>
    </row>
    <row r="608" spans="1:7">
      <c r="A608" s="273">
        <v>4</v>
      </c>
      <c r="B608" s="273" t="s">
        <v>2043</v>
      </c>
      <c r="C608" s="273" t="s">
        <v>2169</v>
      </c>
      <c r="E608" s="273" t="s">
        <v>2112</v>
      </c>
      <c r="F608" s="273" t="s">
        <v>2112</v>
      </c>
      <c r="G608" s="273" t="s">
        <v>2111</v>
      </c>
    </row>
    <row r="609" spans="1:7">
      <c r="A609" s="273">
        <v>5</v>
      </c>
      <c r="B609" s="273" t="s">
        <v>2043</v>
      </c>
      <c r="C609" s="273" t="s">
        <v>2169</v>
      </c>
      <c r="F609" s="273" t="s">
        <v>2109</v>
      </c>
    </row>
    <row r="610" spans="1:7">
      <c r="A610" s="273">
        <v>4</v>
      </c>
      <c r="B610" s="273" t="s">
        <v>2043</v>
      </c>
      <c r="C610" s="273" t="s">
        <v>2169</v>
      </c>
      <c r="D610" s="273" t="s">
        <v>2129</v>
      </c>
      <c r="E610" s="273" t="s">
        <v>2112</v>
      </c>
      <c r="F610" s="273" t="s">
        <v>3168</v>
      </c>
      <c r="G610" s="273" t="s">
        <v>3169</v>
      </c>
    </row>
    <row r="612" spans="1:7">
      <c r="A612" s="273" t="s">
        <v>3170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97BE-B917-4891-9D9D-F3EA4A390D6C}">
  <sheetPr>
    <pageSetUpPr fitToPage="1"/>
  </sheetPr>
  <dimension ref="A1:M132"/>
  <sheetViews>
    <sheetView rightToLeft="1" view="pageBreakPreview" zoomScale="80" zoomScaleSheetLayoutView="80" workbookViewId="0">
      <pane xSplit="12" ySplit="3" topLeftCell="M33" activePane="bottomRight" state="frozen"/>
      <selection pane="topRight" activeCell="M1" sqref="M1"/>
      <selection pane="bottomLeft" activeCell="A4" sqref="A4"/>
      <selection pane="bottomRight" activeCell="I32" sqref="I32:I36"/>
    </sheetView>
  </sheetViews>
  <sheetFormatPr defaultRowHeight="15.75"/>
  <cols>
    <col min="1" max="1" width="5.125" style="22" customWidth="1"/>
    <col min="2" max="2" width="6.625" style="1" customWidth="1"/>
    <col min="3" max="3" width="41.875" style="1" customWidth="1"/>
    <col min="4" max="4" width="33.625" style="1" bestFit="1" customWidth="1"/>
    <col min="5" max="6" width="20.625" style="1" customWidth="1"/>
    <col min="7" max="7" width="12.375" style="1" customWidth="1"/>
    <col min="8" max="8" width="8.375" style="1" customWidth="1"/>
    <col min="9" max="9" width="8.375" style="81" customWidth="1"/>
    <col min="10" max="10" width="8.375" style="1" customWidth="1"/>
    <col min="11" max="11" width="60.75" style="72" customWidth="1"/>
    <col min="12" max="12" width="9" style="1"/>
    <col min="13" max="13" width="50.625" style="1" customWidth="1"/>
    <col min="14" max="16384" width="9" style="1"/>
  </cols>
  <sheetData>
    <row r="1" spans="1:13">
      <c r="A1" s="22" t="s">
        <v>186</v>
      </c>
      <c r="M1" s="1" t="s">
        <v>185</v>
      </c>
    </row>
    <row r="2" spans="1:13">
      <c r="A2" s="22" t="s">
        <v>187</v>
      </c>
      <c r="M2" s="1" t="s">
        <v>184</v>
      </c>
    </row>
    <row r="3" spans="1:13" ht="27.75" customHeight="1">
      <c r="B3" s="1" t="s">
        <v>0</v>
      </c>
      <c r="C3" s="1" t="s">
        <v>198</v>
      </c>
      <c r="D3" s="1" t="s">
        <v>1</v>
      </c>
      <c r="E3" s="1" t="s">
        <v>2</v>
      </c>
      <c r="F3" s="1" t="s">
        <v>3</v>
      </c>
      <c r="G3" s="1" t="s">
        <v>108</v>
      </c>
      <c r="H3" s="1" t="s">
        <v>4</v>
      </c>
      <c r="I3" s="81" t="s">
        <v>5</v>
      </c>
      <c r="J3" s="1" t="s">
        <v>354</v>
      </c>
      <c r="K3" s="72" t="s">
        <v>6</v>
      </c>
      <c r="L3" s="1" t="s">
        <v>116</v>
      </c>
    </row>
    <row r="4" spans="1:13" ht="30" customHeight="1">
      <c r="A4" s="22" t="s">
        <v>221</v>
      </c>
      <c r="B4" s="20"/>
      <c r="C4" s="26" t="s">
        <v>300</v>
      </c>
      <c r="D4" s="454" t="s">
        <v>301</v>
      </c>
      <c r="E4" s="455"/>
      <c r="F4" s="455"/>
      <c r="G4" s="455"/>
      <c r="H4" s="455"/>
      <c r="I4" s="455"/>
      <c r="J4" s="455"/>
      <c r="K4" s="455"/>
      <c r="L4" s="449" t="s">
        <v>190</v>
      </c>
    </row>
    <row r="5" spans="1:13">
      <c r="A5" s="22" t="s">
        <v>189</v>
      </c>
      <c r="B5" s="457" t="s">
        <v>7</v>
      </c>
      <c r="C5" s="458" t="s">
        <v>8</v>
      </c>
      <c r="D5" s="21" t="s">
        <v>9</v>
      </c>
      <c r="E5" s="21" t="s">
        <v>37</v>
      </c>
      <c r="F5" s="460" t="s">
        <v>10</v>
      </c>
      <c r="G5" s="24"/>
      <c r="H5" s="454" t="s">
        <v>11</v>
      </c>
      <c r="I5" s="462" t="s">
        <v>12</v>
      </c>
      <c r="J5" s="24"/>
      <c r="K5" s="92"/>
      <c r="L5" s="450"/>
    </row>
    <row r="6" spans="1:13">
      <c r="A6" s="22" t="s">
        <v>189</v>
      </c>
      <c r="B6" s="456"/>
      <c r="C6" s="459"/>
      <c r="D6" s="21" t="s">
        <v>13</v>
      </c>
      <c r="E6" s="21" t="s">
        <v>37</v>
      </c>
      <c r="F6" s="461"/>
      <c r="G6" s="24"/>
      <c r="H6" s="455"/>
      <c r="I6" s="463"/>
      <c r="J6" s="24"/>
      <c r="K6" s="92" t="s">
        <v>14</v>
      </c>
      <c r="L6" s="450"/>
    </row>
    <row r="7" spans="1:13">
      <c r="A7" s="22" t="s">
        <v>189</v>
      </c>
      <c r="B7" s="456"/>
      <c r="C7" s="459"/>
      <c r="D7" s="21" t="s">
        <v>15</v>
      </c>
      <c r="E7" s="21" t="s">
        <v>82</v>
      </c>
      <c r="F7" s="461"/>
      <c r="G7" s="21"/>
      <c r="H7" s="455"/>
      <c r="I7" s="463"/>
      <c r="J7" s="24"/>
      <c r="K7" s="92" t="s">
        <v>16</v>
      </c>
      <c r="L7" s="450"/>
    </row>
    <row r="8" spans="1:13" ht="408.95" customHeight="1">
      <c r="A8" s="22" t="s">
        <v>189</v>
      </c>
      <c r="B8" s="456"/>
      <c r="C8" s="455"/>
      <c r="D8" s="455"/>
      <c r="E8" s="455"/>
      <c r="F8" s="455"/>
      <c r="G8" s="455"/>
      <c r="H8" s="455"/>
      <c r="I8" s="455"/>
      <c r="J8" s="455"/>
      <c r="K8" s="455"/>
      <c r="L8" s="450"/>
    </row>
    <row r="9" spans="1:13" ht="27" customHeight="1">
      <c r="A9" s="22" t="s">
        <v>187</v>
      </c>
      <c r="B9" s="19"/>
      <c r="C9" s="29"/>
      <c r="L9" s="25"/>
      <c r="M9" s="1" t="s">
        <v>196</v>
      </c>
    </row>
    <row r="10" spans="1:13" ht="27" customHeight="1">
      <c r="A10" s="22" t="s">
        <v>188</v>
      </c>
      <c r="B10" s="19"/>
      <c r="C10" s="29"/>
      <c r="L10" s="25"/>
      <c r="M10" s="1" t="s">
        <v>183</v>
      </c>
    </row>
    <row r="11" spans="1:13" ht="30" customHeight="1">
      <c r="A11" s="22" t="s">
        <v>221</v>
      </c>
      <c r="B11" s="27"/>
      <c r="C11" s="28" t="s">
        <v>192</v>
      </c>
      <c r="D11" s="452" t="s">
        <v>193</v>
      </c>
      <c r="E11" s="453"/>
      <c r="F11" s="453"/>
      <c r="G11" s="453"/>
      <c r="H11" s="453"/>
      <c r="I11" s="453"/>
      <c r="J11" s="453"/>
      <c r="K11" s="453"/>
      <c r="L11" s="25"/>
    </row>
    <row r="12" spans="1:13" ht="38.25" customHeight="1">
      <c r="A12" s="22" t="s">
        <v>189</v>
      </c>
      <c r="B12" s="464" t="s">
        <v>17</v>
      </c>
      <c r="C12" s="466" t="s">
        <v>107</v>
      </c>
      <c r="D12" s="3" t="s">
        <v>18</v>
      </c>
      <c r="E12" s="3" t="s">
        <v>19</v>
      </c>
      <c r="F12" s="3" t="s">
        <v>20</v>
      </c>
      <c r="G12" s="3"/>
      <c r="H12" s="466" t="s">
        <v>21</v>
      </c>
      <c r="I12" s="469" t="s">
        <v>22</v>
      </c>
      <c r="J12" s="56"/>
      <c r="K12" s="470" t="s">
        <v>204</v>
      </c>
      <c r="L12" s="451" t="s">
        <v>191</v>
      </c>
      <c r="M12" s="486" t="s">
        <v>199</v>
      </c>
    </row>
    <row r="13" spans="1:13">
      <c r="A13" s="22" t="s">
        <v>189</v>
      </c>
      <c r="B13" s="464"/>
      <c r="C13" s="466"/>
      <c r="D13" s="3" t="s">
        <v>23</v>
      </c>
      <c r="E13" s="3" t="s">
        <v>19</v>
      </c>
      <c r="F13" s="3" t="s">
        <v>24</v>
      </c>
      <c r="G13" s="3"/>
      <c r="H13" s="468"/>
      <c r="I13" s="463"/>
      <c r="J13" s="3"/>
      <c r="K13" s="471"/>
      <c r="L13" s="450"/>
      <c r="M13" s="468"/>
    </row>
    <row r="14" spans="1:13">
      <c r="A14" s="22" t="s">
        <v>189</v>
      </c>
      <c r="B14" s="464"/>
      <c r="C14" s="466"/>
      <c r="D14" s="3" t="s">
        <v>25</v>
      </c>
      <c r="E14" s="3" t="s">
        <v>19</v>
      </c>
      <c r="F14" s="3" t="s">
        <v>26</v>
      </c>
      <c r="G14" s="3"/>
      <c r="H14" s="468"/>
      <c r="I14" s="463"/>
      <c r="J14" s="3"/>
      <c r="K14" s="73"/>
      <c r="L14" s="450"/>
      <c r="M14" s="468"/>
    </row>
    <row r="15" spans="1:13">
      <c r="A15" s="22" t="s">
        <v>189</v>
      </c>
      <c r="B15" s="464"/>
      <c r="C15" s="466"/>
      <c r="D15" s="3" t="s">
        <v>28</v>
      </c>
      <c r="E15" s="3" t="s">
        <v>19</v>
      </c>
      <c r="F15" s="3" t="s">
        <v>29</v>
      </c>
      <c r="G15" s="3"/>
      <c r="H15" s="468"/>
      <c r="I15" s="463"/>
      <c r="J15" s="3"/>
      <c r="K15" s="73" t="s">
        <v>30</v>
      </c>
      <c r="L15" s="450"/>
      <c r="M15" s="468"/>
    </row>
    <row r="16" spans="1:13">
      <c r="A16" s="22" t="s">
        <v>189</v>
      </c>
      <c r="B16" s="465"/>
      <c r="C16" s="467"/>
      <c r="D16" s="3" t="s">
        <v>31</v>
      </c>
      <c r="E16" s="3" t="s">
        <v>19</v>
      </c>
      <c r="F16" s="3" t="s">
        <v>32</v>
      </c>
      <c r="G16" s="3"/>
      <c r="H16" s="468"/>
      <c r="I16" s="463"/>
      <c r="J16" s="3"/>
      <c r="K16" s="73"/>
      <c r="L16" s="450"/>
      <c r="M16" s="468"/>
    </row>
    <row r="17" spans="1:13">
      <c r="A17" s="22" t="s">
        <v>189</v>
      </c>
      <c r="B17" s="465"/>
      <c r="C17" s="467"/>
      <c r="D17" s="3" t="s">
        <v>33</v>
      </c>
      <c r="E17" s="3" t="s">
        <v>19</v>
      </c>
      <c r="F17" s="3" t="s">
        <v>34</v>
      </c>
      <c r="G17" s="3"/>
      <c r="H17" s="468"/>
      <c r="I17" s="463"/>
      <c r="J17" s="3"/>
      <c r="K17" s="73"/>
      <c r="L17" s="450"/>
      <c r="M17" s="468"/>
    </row>
    <row r="18" spans="1:13">
      <c r="A18" s="22" t="s">
        <v>189</v>
      </c>
      <c r="B18" s="13"/>
      <c r="C18" s="12"/>
      <c r="D18" s="3" t="s">
        <v>194</v>
      </c>
      <c r="E18" s="3" t="s">
        <v>202</v>
      </c>
      <c r="F18" s="3"/>
      <c r="G18" s="3"/>
      <c r="H18" s="3" t="s">
        <v>397</v>
      </c>
      <c r="I18" s="469" t="s">
        <v>22</v>
      </c>
      <c r="J18" s="3"/>
      <c r="K18" s="73"/>
      <c r="L18" s="450"/>
      <c r="M18" s="486" t="s">
        <v>200</v>
      </c>
    </row>
    <row r="19" spans="1:13">
      <c r="A19" s="22" t="s">
        <v>189</v>
      </c>
      <c r="B19" s="13"/>
      <c r="C19" s="12"/>
      <c r="D19" s="3" t="s">
        <v>195</v>
      </c>
      <c r="E19" s="3" t="s">
        <v>202</v>
      </c>
      <c r="F19" s="3"/>
      <c r="G19" s="3"/>
      <c r="H19" s="3" t="s">
        <v>398</v>
      </c>
      <c r="I19" s="468"/>
      <c r="J19" s="3"/>
      <c r="K19" s="73"/>
      <c r="L19" s="450"/>
      <c r="M19" s="468"/>
    </row>
    <row r="20" spans="1:13">
      <c r="A20" s="22" t="s">
        <v>189</v>
      </c>
      <c r="B20" s="13"/>
      <c r="C20" s="12"/>
      <c r="D20" s="3" t="s">
        <v>201</v>
      </c>
      <c r="E20" s="3" t="s">
        <v>202</v>
      </c>
      <c r="F20" s="3"/>
      <c r="G20" s="3"/>
      <c r="H20" s="3" t="s">
        <v>399</v>
      </c>
      <c r="I20" s="468"/>
      <c r="J20" s="3"/>
      <c r="K20" s="73"/>
      <c r="L20" s="450"/>
      <c r="M20" s="468"/>
    </row>
    <row r="21" spans="1:13">
      <c r="A21" s="22" t="s">
        <v>189</v>
      </c>
      <c r="B21" s="13"/>
      <c r="C21" s="12"/>
      <c r="D21" s="3" t="s">
        <v>218</v>
      </c>
      <c r="E21" s="3" t="s">
        <v>219</v>
      </c>
      <c r="F21" s="3"/>
      <c r="G21" s="3"/>
      <c r="H21" s="3"/>
      <c r="I21" s="468"/>
      <c r="J21" s="3"/>
      <c r="K21" s="73"/>
    </row>
    <row r="22" spans="1:13" ht="24.95" customHeight="1">
      <c r="A22" s="22" t="s">
        <v>187</v>
      </c>
      <c r="M22" s="1" t="s">
        <v>197</v>
      </c>
    </row>
    <row r="23" spans="1:13" ht="24.95" customHeight="1">
      <c r="A23" s="22" t="s">
        <v>188</v>
      </c>
      <c r="M23" s="1" t="s">
        <v>233</v>
      </c>
    </row>
    <row r="24" spans="1:13" ht="30" customHeight="1">
      <c r="A24" s="22" t="s">
        <v>221</v>
      </c>
      <c r="B24" s="472" t="s">
        <v>35</v>
      </c>
      <c r="C24" s="96" t="s">
        <v>35</v>
      </c>
      <c r="D24" s="475" t="s">
        <v>371</v>
      </c>
      <c r="E24" s="476"/>
      <c r="F24" s="476"/>
      <c r="G24" s="476"/>
      <c r="H24" s="476"/>
      <c r="I24" s="476"/>
      <c r="J24" s="476"/>
      <c r="K24" s="476"/>
      <c r="L24" s="451" t="s">
        <v>327</v>
      </c>
    </row>
    <row r="25" spans="1:13" ht="31.5">
      <c r="A25" s="22" t="s">
        <v>189</v>
      </c>
      <c r="B25" s="472"/>
      <c r="C25" s="474" t="s">
        <v>208</v>
      </c>
      <c r="D25" s="8" t="s">
        <v>36</v>
      </c>
      <c r="E25" s="8" t="s">
        <v>37</v>
      </c>
      <c r="F25" s="8" t="s">
        <v>203</v>
      </c>
      <c r="G25" s="44" t="s">
        <v>109</v>
      </c>
      <c r="H25" s="10" t="s">
        <v>39</v>
      </c>
      <c r="I25" s="83" t="s">
        <v>22</v>
      </c>
      <c r="J25" s="44"/>
      <c r="K25" s="93" t="s">
        <v>205</v>
      </c>
      <c r="L25" s="451"/>
    </row>
    <row r="26" spans="1:13" ht="31.5">
      <c r="A26" s="22" t="s">
        <v>189</v>
      </c>
      <c r="B26" s="472"/>
      <c r="C26" s="468"/>
      <c r="D26" s="8" t="s">
        <v>40</v>
      </c>
      <c r="E26" s="8" t="s">
        <v>37</v>
      </c>
      <c r="F26" s="8" t="s">
        <v>110</v>
      </c>
      <c r="G26" s="4" t="s">
        <v>109</v>
      </c>
      <c r="H26" s="10" t="s">
        <v>39</v>
      </c>
      <c r="I26" s="84" t="s">
        <v>22</v>
      </c>
      <c r="J26" s="10"/>
      <c r="K26" s="74" t="s">
        <v>27</v>
      </c>
      <c r="L26" s="450"/>
    </row>
    <row r="27" spans="1:13" ht="31.5">
      <c r="A27" s="22" t="s">
        <v>189</v>
      </c>
      <c r="B27" s="472"/>
      <c r="C27" s="468"/>
      <c r="D27" s="8" t="s">
        <v>41</v>
      </c>
      <c r="E27" s="8" t="s">
        <v>37</v>
      </c>
      <c r="F27" s="8" t="s">
        <v>111</v>
      </c>
      <c r="G27" s="4" t="s">
        <v>109</v>
      </c>
      <c r="H27" s="10" t="s">
        <v>39</v>
      </c>
      <c r="I27" s="84" t="s">
        <v>370</v>
      </c>
      <c r="J27" s="10"/>
      <c r="K27" s="74" t="s">
        <v>206</v>
      </c>
      <c r="L27" s="450"/>
    </row>
    <row r="28" spans="1:13">
      <c r="A28" s="22" t="s">
        <v>189</v>
      </c>
      <c r="B28" s="472"/>
      <c r="C28" s="487" t="s">
        <v>207</v>
      </c>
      <c r="D28" s="8" t="s">
        <v>42</v>
      </c>
      <c r="E28" s="8" t="s">
        <v>43</v>
      </c>
      <c r="F28" s="8" t="s">
        <v>112</v>
      </c>
      <c r="G28" s="4" t="s">
        <v>109</v>
      </c>
      <c r="H28" s="474" t="s">
        <v>44</v>
      </c>
      <c r="I28" s="479" t="s">
        <v>45</v>
      </c>
      <c r="J28" s="10"/>
      <c r="K28" s="74"/>
      <c r="L28" s="450"/>
    </row>
    <row r="29" spans="1:13">
      <c r="A29" s="22" t="s">
        <v>189</v>
      </c>
      <c r="B29" s="472"/>
      <c r="C29" s="488"/>
      <c r="D29" s="8" t="s">
        <v>46</v>
      </c>
      <c r="E29" s="8" t="s">
        <v>43</v>
      </c>
      <c r="F29" s="8" t="s">
        <v>113</v>
      </c>
      <c r="G29" s="4" t="s">
        <v>109</v>
      </c>
      <c r="H29" s="461"/>
      <c r="I29" s="463"/>
      <c r="J29" s="10"/>
      <c r="K29" s="74"/>
      <c r="L29" s="450"/>
    </row>
    <row r="30" spans="1:13">
      <c r="A30" s="22" t="s">
        <v>189</v>
      </c>
      <c r="B30" s="472"/>
      <c r="C30" s="488"/>
      <c r="D30" s="8" t="s">
        <v>47</v>
      </c>
      <c r="E30" s="8" t="s">
        <v>48</v>
      </c>
      <c r="F30" s="8" t="s">
        <v>115</v>
      </c>
      <c r="G30" s="4" t="s">
        <v>109</v>
      </c>
      <c r="H30" s="461"/>
      <c r="I30" s="463"/>
      <c r="J30" s="10"/>
      <c r="K30" s="75" t="s">
        <v>49</v>
      </c>
      <c r="L30" s="450"/>
    </row>
    <row r="31" spans="1:13" ht="45.75" thickBot="1">
      <c r="A31" s="22" t="s">
        <v>189</v>
      </c>
      <c r="B31" s="472"/>
      <c r="C31" s="488"/>
      <c r="D31" s="8" t="s">
        <v>120</v>
      </c>
      <c r="E31" s="8" t="s">
        <v>37</v>
      </c>
      <c r="F31" s="8" t="s">
        <v>121</v>
      </c>
      <c r="G31" s="4" t="s">
        <v>109</v>
      </c>
      <c r="H31" s="468"/>
      <c r="I31" s="463"/>
      <c r="J31" s="10"/>
      <c r="K31" s="74" t="s">
        <v>210</v>
      </c>
      <c r="L31" s="450"/>
    </row>
    <row r="32" spans="1:13" ht="24.95" customHeight="1" thickTop="1">
      <c r="A32" s="22" t="s">
        <v>189</v>
      </c>
      <c r="B32" s="472"/>
      <c r="C32" s="483" t="s">
        <v>209</v>
      </c>
      <c r="D32" s="31" t="s">
        <v>50</v>
      </c>
      <c r="E32" s="31" t="s">
        <v>37</v>
      </c>
      <c r="F32" s="31" t="s">
        <v>38</v>
      </c>
      <c r="G32" s="32" t="s">
        <v>109</v>
      </c>
      <c r="H32" s="483" t="s">
        <v>51</v>
      </c>
      <c r="I32" s="481" t="s">
        <v>52</v>
      </c>
      <c r="J32" s="30"/>
      <c r="K32" s="94" t="s">
        <v>211</v>
      </c>
      <c r="L32" s="450"/>
    </row>
    <row r="33" spans="1:12" ht="24.95" customHeight="1">
      <c r="A33" s="22" t="s">
        <v>189</v>
      </c>
      <c r="B33" s="472"/>
      <c r="C33" s="468"/>
      <c r="D33" s="33" t="s">
        <v>53</v>
      </c>
      <c r="E33" s="33" t="s">
        <v>37</v>
      </c>
      <c r="F33" s="33" t="s">
        <v>38</v>
      </c>
      <c r="G33" s="4" t="s">
        <v>109</v>
      </c>
      <c r="H33" s="461"/>
      <c r="I33" s="482"/>
      <c r="J33" s="10"/>
      <c r="K33" s="75" t="s">
        <v>212</v>
      </c>
      <c r="L33" s="450"/>
    </row>
    <row r="34" spans="1:12" ht="24.95" customHeight="1">
      <c r="A34" s="22" t="s">
        <v>189</v>
      </c>
      <c r="B34" s="472"/>
      <c r="C34" s="468"/>
      <c r="D34" s="8" t="s">
        <v>54</v>
      </c>
      <c r="E34" s="8" t="s">
        <v>37</v>
      </c>
      <c r="F34" s="8" t="s">
        <v>38</v>
      </c>
      <c r="G34" s="4" t="s">
        <v>109</v>
      </c>
      <c r="H34" s="461"/>
      <c r="I34" s="482"/>
      <c r="J34" s="10"/>
      <c r="K34" s="75" t="s">
        <v>213</v>
      </c>
      <c r="L34" s="450"/>
    </row>
    <row r="35" spans="1:12" ht="24.95" customHeight="1">
      <c r="A35" s="22" t="s">
        <v>189</v>
      </c>
      <c r="B35" s="472"/>
      <c r="C35" s="468"/>
      <c r="D35" s="8" t="s">
        <v>55</v>
      </c>
      <c r="E35" s="8" t="s">
        <v>37</v>
      </c>
      <c r="F35" s="8" t="s">
        <v>38</v>
      </c>
      <c r="G35" s="4" t="s">
        <v>109</v>
      </c>
      <c r="H35" s="461"/>
      <c r="I35" s="482"/>
      <c r="J35" s="10"/>
      <c r="K35" s="75"/>
      <c r="L35" s="450"/>
    </row>
    <row r="36" spans="1:12" ht="24.95" customHeight="1">
      <c r="A36" s="22" t="s">
        <v>189</v>
      </c>
      <c r="B36" s="472"/>
      <c r="C36" s="468"/>
      <c r="D36" s="33" t="s">
        <v>56</v>
      </c>
      <c r="E36" s="33" t="s">
        <v>43</v>
      </c>
      <c r="F36" s="33" t="s">
        <v>38</v>
      </c>
      <c r="G36" s="4" t="s">
        <v>109</v>
      </c>
      <c r="H36" s="461"/>
      <c r="I36" s="482"/>
      <c r="J36" s="10"/>
      <c r="K36" s="75" t="s">
        <v>214</v>
      </c>
      <c r="L36" s="450"/>
    </row>
    <row r="37" spans="1:12">
      <c r="A37" s="22" t="s">
        <v>189</v>
      </c>
      <c r="B37" s="472"/>
      <c r="C37" s="468"/>
      <c r="D37" s="33" t="s">
        <v>57</v>
      </c>
      <c r="E37" s="33" t="s">
        <v>43</v>
      </c>
      <c r="F37" s="33" t="s">
        <v>38</v>
      </c>
      <c r="G37" s="4" t="s">
        <v>109</v>
      </c>
      <c r="H37" s="4" t="s">
        <v>58</v>
      </c>
      <c r="I37" s="479" t="s">
        <v>59</v>
      </c>
      <c r="J37" s="10"/>
      <c r="K37" s="75"/>
      <c r="L37" s="450"/>
    </row>
    <row r="38" spans="1:12">
      <c r="A38" s="22" t="s">
        <v>189</v>
      </c>
      <c r="B38" s="472"/>
      <c r="C38" s="468"/>
      <c r="D38" s="33" t="s">
        <v>60</v>
      </c>
      <c r="E38" s="33" t="s">
        <v>43</v>
      </c>
      <c r="F38" s="33" t="s">
        <v>38</v>
      </c>
      <c r="G38" s="4" t="s">
        <v>109</v>
      </c>
      <c r="H38" s="4" t="s">
        <v>61</v>
      </c>
      <c r="I38" s="463"/>
      <c r="J38" s="10"/>
      <c r="K38" s="75" t="s">
        <v>215</v>
      </c>
      <c r="L38" s="450"/>
    </row>
    <row r="39" spans="1:12">
      <c r="A39" s="22" t="s">
        <v>189</v>
      </c>
      <c r="B39" s="472"/>
      <c r="C39" s="468"/>
      <c r="D39" s="33" t="s">
        <v>62</v>
      </c>
      <c r="E39" s="33" t="s">
        <v>37</v>
      </c>
      <c r="F39" s="33" t="s">
        <v>38</v>
      </c>
      <c r="G39" s="4" t="s">
        <v>109</v>
      </c>
      <c r="H39" s="4" t="s">
        <v>63</v>
      </c>
      <c r="I39" s="463"/>
      <c r="J39" s="10"/>
      <c r="K39" s="75"/>
      <c r="L39" s="450"/>
    </row>
    <row r="40" spans="1:12">
      <c r="A40" s="22" t="s">
        <v>189</v>
      </c>
      <c r="B40" s="472"/>
      <c r="C40" s="468"/>
      <c r="D40" s="8" t="s">
        <v>64</v>
      </c>
      <c r="E40" s="8" t="s">
        <v>48</v>
      </c>
      <c r="F40" s="8" t="s">
        <v>38</v>
      </c>
      <c r="G40" s="4" t="s">
        <v>109</v>
      </c>
      <c r="H40" s="4" t="s">
        <v>65</v>
      </c>
      <c r="I40" s="86" t="s">
        <v>52</v>
      </c>
      <c r="J40" s="4"/>
      <c r="K40" s="75" t="s">
        <v>49</v>
      </c>
      <c r="L40" s="450"/>
    </row>
    <row r="41" spans="1:12" ht="16.5" thickBot="1">
      <c r="A41" s="22" t="s">
        <v>189</v>
      </c>
      <c r="B41" s="472"/>
      <c r="C41" s="484"/>
      <c r="D41" s="34" t="s">
        <v>66</v>
      </c>
      <c r="E41" s="34" t="s">
        <v>48</v>
      </c>
      <c r="F41" s="34" t="s">
        <v>38</v>
      </c>
      <c r="G41" s="35" t="s">
        <v>109</v>
      </c>
      <c r="H41" s="35" t="s">
        <v>65</v>
      </c>
      <c r="I41" s="87" t="s">
        <v>22</v>
      </c>
      <c r="J41" s="35"/>
      <c r="K41" s="76" t="s">
        <v>49</v>
      </c>
      <c r="L41" s="450"/>
    </row>
    <row r="42" spans="1:12" ht="16.5" thickTop="1">
      <c r="A42" s="22" t="s">
        <v>189</v>
      </c>
      <c r="B42" s="473"/>
      <c r="C42" s="483" t="s">
        <v>67</v>
      </c>
      <c r="D42" s="30" t="s">
        <v>68</v>
      </c>
      <c r="E42" s="30" t="s">
        <v>69</v>
      </c>
      <c r="F42" s="30" t="s">
        <v>38</v>
      </c>
      <c r="G42" s="30" t="s">
        <v>109</v>
      </c>
      <c r="H42" s="30" t="s">
        <v>65</v>
      </c>
      <c r="I42" s="85" t="s">
        <v>70</v>
      </c>
      <c r="J42" s="30"/>
      <c r="K42" s="77" t="s">
        <v>71</v>
      </c>
      <c r="L42" s="450"/>
    </row>
    <row r="43" spans="1:12">
      <c r="A43" s="22" t="s">
        <v>189</v>
      </c>
      <c r="B43" s="473"/>
      <c r="C43" s="468"/>
      <c r="D43" s="10" t="s">
        <v>72</v>
      </c>
      <c r="E43" s="10" t="s">
        <v>43</v>
      </c>
      <c r="F43" s="10" t="s">
        <v>38</v>
      </c>
      <c r="G43" s="10" t="s">
        <v>109</v>
      </c>
      <c r="H43" s="10" t="s">
        <v>65</v>
      </c>
      <c r="I43" s="84" t="s">
        <v>70</v>
      </c>
      <c r="J43" s="10"/>
      <c r="K43" s="74" t="s">
        <v>73</v>
      </c>
      <c r="L43" s="450"/>
    </row>
    <row r="44" spans="1:12" ht="31.5">
      <c r="A44" s="22" t="s">
        <v>189</v>
      </c>
      <c r="B44" s="473"/>
      <c r="C44" s="468"/>
      <c r="D44" s="10" t="s">
        <v>74</v>
      </c>
      <c r="E44" s="10" t="s">
        <v>37</v>
      </c>
      <c r="F44" s="10" t="s">
        <v>75</v>
      </c>
      <c r="G44" s="10" t="s">
        <v>216</v>
      </c>
      <c r="H44" s="10" t="s">
        <v>76</v>
      </c>
      <c r="I44" s="84" t="s">
        <v>76</v>
      </c>
      <c r="J44" s="10"/>
      <c r="K44" s="74" t="s">
        <v>77</v>
      </c>
      <c r="L44" s="468"/>
    </row>
    <row r="45" spans="1:12" ht="16.5" thickBot="1">
      <c r="A45" s="22" t="s">
        <v>189</v>
      </c>
      <c r="B45" s="473"/>
      <c r="C45" s="484"/>
      <c r="D45" s="10" t="s">
        <v>117</v>
      </c>
      <c r="E45" s="10" t="s">
        <v>48</v>
      </c>
      <c r="F45" s="10" t="s">
        <v>75</v>
      </c>
      <c r="G45" s="10"/>
      <c r="H45" s="10" t="s">
        <v>76</v>
      </c>
      <c r="I45" s="84" t="s">
        <v>76</v>
      </c>
      <c r="J45" s="10"/>
      <c r="K45" s="74" t="s">
        <v>78</v>
      </c>
      <c r="L45" s="468"/>
    </row>
    <row r="46" spans="1:12" ht="16.5" thickTop="1">
      <c r="A46" s="22" t="s">
        <v>189</v>
      </c>
      <c r="B46" s="473"/>
      <c r="C46" s="30"/>
      <c r="D46" s="30" t="s">
        <v>79</v>
      </c>
      <c r="E46" s="30" t="s">
        <v>48</v>
      </c>
      <c r="F46" s="30" t="s">
        <v>75</v>
      </c>
      <c r="G46" s="30"/>
      <c r="H46" s="30" t="s">
        <v>76</v>
      </c>
      <c r="I46" s="85" t="s">
        <v>76</v>
      </c>
      <c r="J46" s="30"/>
      <c r="K46" s="77" t="s">
        <v>80</v>
      </c>
      <c r="L46" s="468"/>
    </row>
    <row r="47" spans="1:12" ht="16.5" thickBot="1">
      <c r="A47" s="22" t="s">
        <v>189</v>
      </c>
      <c r="B47" s="473"/>
      <c r="C47" s="10"/>
      <c r="D47" s="10" t="s">
        <v>81</v>
      </c>
      <c r="E47" s="10" t="s">
        <v>82</v>
      </c>
      <c r="F47" s="10" t="s">
        <v>75</v>
      </c>
      <c r="G47" s="10"/>
      <c r="H47" s="36" t="s">
        <v>76</v>
      </c>
      <c r="I47" s="88" t="s">
        <v>76</v>
      </c>
      <c r="J47" s="10"/>
      <c r="K47" s="74" t="s">
        <v>83</v>
      </c>
      <c r="L47" s="468"/>
    </row>
    <row r="48" spans="1:12" ht="30.75" thickTop="1">
      <c r="A48" s="22" t="s">
        <v>189</v>
      </c>
      <c r="B48" s="473"/>
      <c r="C48" s="30" t="s">
        <v>84</v>
      </c>
      <c r="D48" s="30" t="s">
        <v>85</v>
      </c>
      <c r="E48" s="30" t="s">
        <v>220</v>
      </c>
      <c r="F48" s="30" t="s">
        <v>75</v>
      </c>
      <c r="G48" s="30"/>
      <c r="H48" s="10" t="s">
        <v>76</v>
      </c>
      <c r="I48" s="84" t="s">
        <v>76</v>
      </c>
      <c r="J48" s="10"/>
      <c r="K48" s="77" t="s">
        <v>229</v>
      </c>
      <c r="L48" s="468"/>
    </row>
    <row r="49" spans="1:13">
      <c r="A49" s="22" t="s">
        <v>189</v>
      </c>
      <c r="B49" s="473"/>
      <c r="C49" s="10"/>
      <c r="D49" s="10" t="s">
        <v>118</v>
      </c>
      <c r="E49" s="10" t="s">
        <v>234</v>
      </c>
      <c r="F49" s="10" t="s">
        <v>75</v>
      </c>
      <c r="G49" s="10"/>
      <c r="H49" s="10" t="s">
        <v>76</v>
      </c>
      <c r="I49" s="84" t="s">
        <v>76</v>
      </c>
      <c r="J49" s="10"/>
      <c r="K49" s="74"/>
      <c r="L49" s="468"/>
    </row>
    <row r="50" spans="1:13">
      <c r="A50" s="22" t="s">
        <v>189</v>
      </c>
      <c r="B50" s="473"/>
      <c r="C50" s="10"/>
      <c r="D50" s="10" t="s">
        <v>119</v>
      </c>
      <c r="E50" s="10" t="s">
        <v>234</v>
      </c>
      <c r="F50" s="10" t="s">
        <v>75</v>
      </c>
      <c r="G50" s="10"/>
      <c r="H50" s="10" t="s">
        <v>76</v>
      </c>
      <c r="I50" s="84" t="s">
        <v>76</v>
      </c>
      <c r="J50" s="10"/>
      <c r="K50" s="74"/>
      <c r="L50" s="468"/>
    </row>
    <row r="51" spans="1:13" ht="45">
      <c r="A51" s="22" t="s">
        <v>189</v>
      </c>
      <c r="B51" s="473"/>
      <c r="C51" s="10"/>
      <c r="D51" s="10" t="s">
        <v>230</v>
      </c>
      <c r="E51" s="10" t="s">
        <v>235</v>
      </c>
      <c r="F51" s="10"/>
      <c r="G51" s="10"/>
      <c r="H51" s="10"/>
      <c r="I51" s="84"/>
      <c r="J51" s="10"/>
      <c r="K51" s="74" t="s">
        <v>236</v>
      </c>
      <c r="L51" s="468"/>
      <c r="M51" s="9"/>
    </row>
    <row r="52" spans="1:13">
      <c r="A52" s="22" t="s">
        <v>189</v>
      </c>
      <c r="B52" s="473"/>
      <c r="C52" s="10"/>
      <c r="D52" s="10" t="s">
        <v>86</v>
      </c>
      <c r="E52" s="10"/>
      <c r="F52" s="10" t="s">
        <v>75</v>
      </c>
      <c r="G52" s="10"/>
      <c r="H52" s="10" t="s">
        <v>76</v>
      </c>
      <c r="I52" s="84" t="s">
        <v>76</v>
      </c>
      <c r="J52" s="10"/>
      <c r="K52" s="74"/>
      <c r="L52" s="468"/>
    </row>
    <row r="53" spans="1:13">
      <c r="A53" s="22" t="s">
        <v>189</v>
      </c>
      <c r="B53" s="473"/>
      <c r="C53" s="10"/>
      <c r="D53" s="10" t="s">
        <v>87</v>
      </c>
      <c r="E53" s="10"/>
      <c r="F53" s="10" t="s">
        <v>75</v>
      </c>
      <c r="G53" s="10"/>
      <c r="H53" s="10" t="s">
        <v>76</v>
      </c>
      <c r="I53" s="84" t="s">
        <v>76</v>
      </c>
      <c r="J53" s="10"/>
      <c r="K53" s="74"/>
      <c r="L53" s="468"/>
    </row>
    <row r="54" spans="1:13">
      <c r="A54" s="22" t="s">
        <v>189</v>
      </c>
      <c r="B54" s="473"/>
      <c r="C54" s="10"/>
      <c r="D54" s="10" t="s">
        <v>88</v>
      </c>
      <c r="E54" s="10"/>
      <c r="F54" s="10" t="s">
        <v>75</v>
      </c>
      <c r="G54" s="10"/>
      <c r="H54" s="10" t="s">
        <v>76</v>
      </c>
      <c r="I54" s="84" t="s">
        <v>76</v>
      </c>
      <c r="J54" s="10"/>
      <c r="K54" s="74"/>
      <c r="L54" s="468"/>
    </row>
    <row r="55" spans="1:13" ht="16.5" thickBot="1">
      <c r="A55" s="22" t="s">
        <v>189</v>
      </c>
      <c r="B55" s="473"/>
      <c r="C55" s="10"/>
      <c r="D55" s="10" t="s">
        <v>89</v>
      </c>
      <c r="E55" s="10"/>
      <c r="F55" s="10" t="s">
        <v>75</v>
      </c>
      <c r="G55" s="10"/>
      <c r="H55" s="36" t="s">
        <v>76</v>
      </c>
      <c r="I55" s="88" t="s">
        <v>76</v>
      </c>
      <c r="J55" s="10"/>
      <c r="K55" s="74"/>
      <c r="L55" s="468"/>
    </row>
    <row r="56" spans="1:13" ht="16.5" thickTop="1">
      <c r="A56" s="22" t="s">
        <v>189</v>
      </c>
      <c r="B56" s="473"/>
      <c r="C56" s="30" t="s">
        <v>90</v>
      </c>
      <c r="D56" s="30" t="s">
        <v>91</v>
      </c>
      <c r="E56" s="30"/>
      <c r="F56" s="30" t="s">
        <v>92</v>
      </c>
      <c r="G56" s="30"/>
      <c r="H56" s="10" t="s">
        <v>76</v>
      </c>
      <c r="I56" s="84" t="s">
        <v>76</v>
      </c>
      <c r="J56" s="10"/>
      <c r="K56" s="77"/>
      <c r="L56" s="468"/>
    </row>
    <row r="57" spans="1:13">
      <c r="A57" s="22" t="s">
        <v>189</v>
      </c>
      <c r="B57" s="473"/>
      <c r="C57" s="10"/>
      <c r="D57" s="10" t="s">
        <v>93</v>
      </c>
      <c r="E57" s="10"/>
      <c r="F57" s="10" t="s">
        <v>225</v>
      </c>
      <c r="G57" s="10"/>
      <c r="H57" s="10" t="s">
        <v>76</v>
      </c>
      <c r="I57" s="84" t="s">
        <v>76</v>
      </c>
      <c r="J57" s="10"/>
      <c r="K57" s="74" t="s">
        <v>94</v>
      </c>
      <c r="L57" s="468"/>
    </row>
    <row r="58" spans="1:13" ht="15.75" customHeight="1">
      <c r="A58" s="22" t="s">
        <v>189</v>
      </c>
      <c r="B58" s="473"/>
      <c r="C58" s="10"/>
      <c r="D58" s="10" t="s">
        <v>95</v>
      </c>
      <c r="E58" s="10"/>
      <c r="F58" s="10" t="s">
        <v>226</v>
      </c>
      <c r="G58" s="10"/>
      <c r="H58" s="10" t="s">
        <v>76</v>
      </c>
      <c r="I58" s="84" t="s">
        <v>76</v>
      </c>
      <c r="J58" s="10"/>
      <c r="K58" s="74" t="s">
        <v>96</v>
      </c>
      <c r="L58" s="468"/>
    </row>
    <row r="59" spans="1:13" ht="15.75" customHeight="1">
      <c r="A59" s="22" t="s">
        <v>189</v>
      </c>
      <c r="B59" s="473"/>
      <c r="C59" s="10"/>
      <c r="D59" s="10" t="s">
        <v>97</v>
      </c>
      <c r="E59" s="10"/>
      <c r="F59" s="10" t="s">
        <v>227</v>
      </c>
      <c r="G59" s="10"/>
      <c r="H59" s="10" t="s">
        <v>76</v>
      </c>
      <c r="I59" s="84" t="s">
        <v>76</v>
      </c>
      <c r="J59" s="10"/>
      <c r="K59" s="74" t="s">
        <v>228</v>
      </c>
      <c r="L59" s="468"/>
    </row>
    <row r="60" spans="1:13">
      <c r="A60" s="22" t="s">
        <v>188</v>
      </c>
      <c r="B60" s="2"/>
      <c r="C60" s="37"/>
      <c r="D60" s="2"/>
      <c r="E60" s="2"/>
      <c r="F60" s="2"/>
      <c r="G60" s="2"/>
      <c r="H60" s="2"/>
      <c r="I60" s="82"/>
      <c r="J60" s="2"/>
      <c r="K60" s="41"/>
      <c r="M60" s="1" t="s">
        <v>238</v>
      </c>
    </row>
    <row r="61" spans="1:13">
      <c r="A61" s="22" t="s">
        <v>221</v>
      </c>
      <c r="B61" s="480" t="s">
        <v>98</v>
      </c>
      <c r="C61" s="6" t="s">
        <v>378</v>
      </c>
      <c r="D61" s="485" t="s">
        <v>379</v>
      </c>
      <c r="E61" s="468"/>
      <c r="F61" s="468"/>
      <c r="G61" s="468"/>
      <c r="H61" s="468"/>
      <c r="I61" s="468"/>
      <c r="J61" s="468"/>
      <c r="K61" s="468"/>
    </row>
    <row r="62" spans="1:13">
      <c r="A62" s="22" t="s">
        <v>189</v>
      </c>
      <c r="B62" s="480"/>
      <c r="C62" s="6" t="s">
        <v>223</v>
      </c>
      <c r="D62" s="485" t="s">
        <v>224</v>
      </c>
      <c r="E62" s="468"/>
      <c r="F62" s="468"/>
      <c r="G62" s="468"/>
      <c r="H62" s="468"/>
      <c r="I62" s="468"/>
      <c r="J62" s="468"/>
      <c r="K62" s="468"/>
    </row>
    <row r="63" spans="1:13">
      <c r="A63" s="22" t="s">
        <v>189</v>
      </c>
      <c r="B63" s="480"/>
      <c r="C63" s="6" t="s">
        <v>100</v>
      </c>
      <c r="D63" s="485" t="s">
        <v>231</v>
      </c>
      <c r="E63" s="468"/>
      <c r="F63" s="468"/>
      <c r="G63" s="468"/>
      <c r="H63" s="468"/>
      <c r="I63" s="468"/>
      <c r="J63" s="468"/>
      <c r="K63" s="468"/>
    </row>
    <row r="64" spans="1:13">
      <c r="A64" s="22" t="s">
        <v>189</v>
      </c>
      <c r="B64" s="480"/>
      <c r="C64" s="6" t="s">
        <v>222</v>
      </c>
      <c r="D64" s="485" t="s">
        <v>232</v>
      </c>
      <c r="E64" s="468"/>
      <c r="F64" s="468"/>
      <c r="G64" s="468"/>
      <c r="H64" s="468"/>
      <c r="I64" s="468"/>
      <c r="J64" s="468"/>
      <c r="K64" s="468"/>
    </row>
    <row r="65" spans="1:13">
      <c r="A65" s="22" t="s">
        <v>189</v>
      </c>
      <c r="B65" s="480"/>
      <c r="C65" s="6"/>
      <c r="D65" s="6"/>
      <c r="E65" s="6"/>
      <c r="F65" s="5"/>
      <c r="G65" s="5"/>
      <c r="H65" s="5"/>
      <c r="I65" s="89"/>
      <c r="J65" s="5"/>
      <c r="K65" s="78"/>
    </row>
    <row r="66" spans="1:13">
      <c r="A66" s="22" t="s">
        <v>189</v>
      </c>
      <c r="B66" s="477" t="s">
        <v>101</v>
      </c>
      <c r="C66" s="7" t="s">
        <v>102</v>
      </c>
      <c r="D66" s="7" t="s">
        <v>103</v>
      </c>
      <c r="E66" s="7" t="s">
        <v>99</v>
      </c>
      <c r="F66" s="7"/>
      <c r="G66" s="7"/>
      <c r="H66" s="7"/>
      <c r="I66" s="90"/>
      <c r="J66" s="7"/>
      <c r="K66" s="79"/>
    </row>
    <row r="67" spans="1:13">
      <c r="A67" s="22" t="s">
        <v>189</v>
      </c>
      <c r="B67" s="478"/>
      <c r="C67" s="7"/>
      <c r="D67" s="7" t="s">
        <v>104</v>
      </c>
      <c r="E67" s="7" t="s">
        <v>99</v>
      </c>
      <c r="F67" s="7"/>
      <c r="G67" s="7"/>
      <c r="H67" s="7"/>
      <c r="I67" s="90"/>
      <c r="J67" s="7"/>
      <c r="K67" s="79"/>
    </row>
    <row r="68" spans="1:13">
      <c r="A68" s="22" t="s">
        <v>189</v>
      </c>
      <c r="B68" s="478"/>
      <c r="C68" s="7"/>
      <c r="D68" s="7" t="s">
        <v>88</v>
      </c>
      <c r="E68" s="7" t="s">
        <v>99</v>
      </c>
      <c r="F68" s="7"/>
      <c r="G68" s="7"/>
      <c r="H68" s="7"/>
      <c r="I68" s="90"/>
      <c r="J68" s="7"/>
      <c r="K68" s="79"/>
    </row>
    <row r="69" spans="1:13">
      <c r="A69" s="22" t="s">
        <v>189</v>
      </c>
      <c r="B69" s="478"/>
      <c r="C69" s="7"/>
      <c r="D69" s="7" t="s">
        <v>105</v>
      </c>
      <c r="E69" s="7" t="s">
        <v>106</v>
      </c>
      <c r="F69" s="7"/>
      <c r="G69" s="7"/>
      <c r="H69" s="7"/>
      <c r="I69" s="90"/>
      <c r="J69" s="7"/>
      <c r="K69" s="79"/>
    </row>
    <row r="70" spans="1:13" s="9" customFormat="1" ht="42.75" customHeight="1">
      <c r="A70" s="23"/>
      <c r="I70" s="91"/>
      <c r="K70" s="80"/>
    </row>
    <row r="71" spans="1:13">
      <c r="A71" s="22" t="s">
        <v>188</v>
      </c>
      <c r="C71" s="1" t="s">
        <v>237</v>
      </c>
      <c r="D71" s="486" t="s">
        <v>240</v>
      </c>
      <c r="E71" s="468"/>
      <c r="F71" s="468"/>
      <c r="G71" s="468"/>
      <c r="H71" s="468"/>
      <c r="I71" s="468"/>
      <c r="J71" s="468"/>
      <c r="K71" s="468"/>
      <c r="M71" s="1" t="s">
        <v>239</v>
      </c>
    </row>
    <row r="72" spans="1:13" ht="17.25">
      <c r="A72" s="22" t="s">
        <v>189</v>
      </c>
      <c r="C72" s="40" t="s">
        <v>241</v>
      </c>
    </row>
    <row r="73" spans="1:13" ht="28.5">
      <c r="A73" s="22" t="s">
        <v>189</v>
      </c>
      <c r="C73" s="38" t="s">
        <v>242</v>
      </c>
      <c r="F73" s="38"/>
    </row>
    <row r="74" spans="1:13" ht="28.5">
      <c r="A74" s="22" t="s">
        <v>189</v>
      </c>
      <c r="C74" s="38" t="s">
        <v>243</v>
      </c>
      <c r="F74" s="38"/>
    </row>
    <row r="75" spans="1:13">
      <c r="A75" s="22" t="s">
        <v>189</v>
      </c>
      <c r="C75" s="38" t="s">
        <v>244</v>
      </c>
      <c r="F75" s="38"/>
    </row>
    <row r="76" spans="1:13">
      <c r="A76" s="22" t="s">
        <v>189</v>
      </c>
      <c r="C76" s="38" t="s">
        <v>245</v>
      </c>
      <c r="F76" s="38"/>
    </row>
    <row r="77" spans="1:13" ht="34.5">
      <c r="A77" s="22" t="s">
        <v>189</v>
      </c>
      <c r="C77" s="40" t="s">
        <v>281</v>
      </c>
    </row>
    <row r="78" spans="1:13">
      <c r="A78" s="22" t="s">
        <v>189</v>
      </c>
      <c r="C78" s="38" t="s">
        <v>246</v>
      </c>
    </row>
    <row r="79" spans="1:13">
      <c r="A79" s="22" t="s">
        <v>189</v>
      </c>
      <c r="C79" s="38" t="s">
        <v>247</v>
      </c>
    </row>
    <row r="80" spans="1:13" ht="28.5">
      <c r="A80" s="22" t="s">
        <v>189</v>
      </c>
      <c r="C80" s="38" t="s">
        <v>248</v>
      </c>
    </row>
    <row r="81" spans="1:4" ht="28.5">
      <c r="A81" s="22" t="s">
        <v>189</v>
      </c>
      <c r="C81" s="38" t="s">
        <v>249</v>
      </c>
    </row>
    <row r="82" spans="1:4" ht="17.25">
      <c r="A82" s="22" t="s">
        <v>189</v>
      </c>
      <c r="C82" s="40" t="s">
        <v>282</v>
      </c>
    </row>
    <row r="83" spans="1:4">
      <c r="A83" s="22" t="s">
        <v>189</v>
      </c>
      <c r="C83" s="38" t="s">
        <v>250</v>
      </c>
    </row>
    <row r="84" spans="1:4">
      <c r="A84" s="22" t="s">
        <v>189</v>
      </c>
      <c r="C84" s="38" t="s">
        <v>251</v>
      </c>
    </row>
    <row r="85" spans="1:4" ht="28.5">
      <c r="A85" s="22" t="s">
        <v>189</v>
      </c>
      <c r="C85" s="38" t="s">
        <v>252</v>
      </c>
    </row>
    <row r="86" spans="1:4">
      <c r="A86" s="22" t="s">
        <v>189</v>
      </c>
      <c r="C86" s="39" t="s">
        <v>253</v>
      </c>
    </row>
    <row r="87" spans="1:4" ht="28.5" customHeight="1">
      <c r="A87" s="22" t="s">
        <v>189</v>
      </c>
      <c r="C87" s="38" t="s">
        <v>254</v>
      </c>
      <c r="D87" s="9"/>
    </row>
    <row r="88" spans="1:4">
      <c r="A88" s="22" t="s">
        <v>189</v>
      </c>
      <c r="C88" s="38" t="s">
        <v>255</v>
      </c>
    </row>
    <row r="89" spans="1:4">
      <c r="A89" s="22" t="s">
        <v>189</v>
      </c>
      <c r="C89" s="38" t="s">
        <v>256</v>
      </c>
    </row>
    <row r="90" spans="1:4" ht="17.25">
      <c r="A90" s="22" t="s">
        <v>189</v>
      </c>
      <c r="C90" s="40" t="s">
        <v>283</v>
      </c>
    </row>
    <row r="91" spans="1:4" ht="28.5">
      <c r="A91" s="22" t="s">
        <v>189</v>
      </c>
      <c r="C91" s="38" t="s">
        <v>257</v>
      </c>
    </row>
    <row r="92" spans="1:4">
      <c r="A92" s="22" t="s">
        <v>189</v>
      </c>
      <c r="C92" s="38" t="s">
        <v>258</v>
      </c>
    </row>
    <row r="93" spans="1:4">
      <c r="A93" s="22" t="s">
        <v>189</v>
      </c>
      <c r="C93" s="38" t="s">
        <v>259</v>
      </c>
    </row>
    <row r="94" spans="1:4" ht="17.25">
      <c r="A94" s="22" t="s">
        <v>189</v>
      </c>
      <c r="C94" s="40" t="s">
        <v>284</v>
      </c>
    </row>
    <row r="95" spans="1:4">
      <c r="A95" s="22" t="s">
        <v>189</v>
      </c>
      <c r="C95" s="38" t="s">
        <v>260</v>
      </c>
    </row>
    <row r="96" spans="1:4">
      <c r="A96" s="22" t="s">
        <v>189</v>
      </c>
      <c r="C96" s="38" t="s">
        <v>261</v>
      </c>
    </row>
    <row r="97" spans="1:3" ht="29.25">
      <c r="A97" s="22" t="s">
        <v>189</v>
      </c>
      <c r="C97" s="38" t="s">
        <v>262</v>
      </c>
    </row>
    <row r="98" spans="1:3" ht="17.25">
      <c r="A98" s="22" t="s">
        <v>189</v>
      </c>
      <c r="C98" s="40" t="s">
        <v>285</v>
      </c>
    </row>
    <row r="99" spans="1:3">
      <c r="A99" s="22" t="s">
        <v>189</v>
      </c>
      <c r="C99" s="38" t="s">
        <v>263</v>
      </c>
    </row>
    <row r="100" spans="1:3" ht="29.25">
      <c r="A100" s="22" t="s">
        <v>189</v>
      </c>
      <c r="C100" s="38" t="s">
        <v>264</v>
      </c>
    </row>
    <row r="101" spans="1:3">
      <c r="A101" s="22" t="s">
        <v>189</v>
      </c>
      <c r="C101" s="38" t="s">
        <v>265</v>
      </c>
    </row>
    <row r="102" spans="1:3" ht="29.25">
      <c r="A102" s="22" t="s">
        <v>189</v>
      </c>
      <c r="C102" s="38" t="s">
        <v>266</v>
      </c>
    </row>
    <row r="103" spans="1:3" ht="34.5">
      <c r="A103" s="22" t="s">
        <v>189</v>
      </c>
      <c r="C103" s="40" t="s">
        <v>286</v>
      </c>
    </row>
    <row r="104" spans="1:3">
      <c r="A104" s="22" t="s">
        <v>189</v>
      </c>
      <c r="C104" s="38" t="s">
        <v>267</v>
      </c>
    </row>
    <row r="105" spans="1:3">
      <c r="A105" s="22" t="s">
        <v>189</v>
      </c>
      <c r="C105" s="38" t="s">
        <v>268</v>
      </c>
    </row>
    <row r="106" spans="1:3">
      <c r="A106" s="22" t="s">
        <v>189</v>
      </c>
      <c r="C106" s="38" t="s">
        <v>269</v>
      </c>
    </row>
    <row r="107" spans="1:3">
      <c r="A107" s="22" t="s">
        <v>189</v>
      </c>
      <c r="C107" s="38" t="s">
        <v>270</v>
      </c>
    </row>
    <row r="108" spans="1:3" ht="17.25">
      <c r="A108" s="22" t="s">
        <v>189</v>
      </c>
      <c r="C108" s="40" t="s">
        <v>287</v>
      </c>
    </row>
    <row r="109" spans="1:3">
      <c r="A109" s="22" t="s">
        <v>189</v>
      </c>
      <c r="C109" s="38" t="s">
        <v>271</v>
      </c>
    </row>
    <row r="110" spans="1:3">
      <c r="A110" s="22" t="s">
        <v>189</v>
      </c>
      <c r="C110" s="38" t="s">
        <v>272</v>
      </c>
    </row>
    <row r="111" spans="1:3" ht="28.5">
      <c r="A111" s="22" t="s">
        <v>189</v>
      </c>
      <c r="C111" s="38" t="s">
        <v>273</v>
      </c>
    </row>
    <row r="112" spans="1:3" ht="29.25">
      <c r="A112" s="22" t="s">
        <v>189</v>
      </c>
      <c r="C112" s="38" t="s">
        <v>274</v>
      </c>
    </row>
    <row r="113" spans="1:3" ht="17.25">
      <c r="A113" s="22" t="s">
        <v>189</v>
      </c>
      <c r="C113" s="40" t="s">
        <v>288</v>
      </c>
    </row>
    <row r="114" spans="1:3" ht="28.5">
      <c r="A114" s="22" t="s">
        <v>189</v>
      </c>
      <c r="C114" s="38" t="s">
        <v>275</v>
      </c>
    </row>
    <row r="115" spans="1:3">
      <c r="A115" s="22" t="s">
        <v>189</v>
      </c>
      <c r="C115" s="38" t="s">
        <v>276</v>
      </c>
    </row>
    <row r="116" spans="1:3" ht="29.25">
      <c r="A116" s="22" t="s">
        <v>189</v>
      </c>
      <c r="C116" s="38" t="s">
        <v>277</v>
      </c>
    </row>
    <row r="117" spans="1:3" ht="17.25">
      <c r="A117" s="22" t="s">
        <v>189</v>
      </c>
      <c r="C117" s="40" t="s">
        <v>289</v>
      </c>
    </row>
    <row r="118" spans="1:3">
      <c r="A118" s="22" t="s">
        <v>189</v>
      </c>
      <c r="C118" s="38" t="s">
        <v>278</v>
      </c>
    </row>
    <row r="119" spans="1:3">
      <c r="A119" s="22" t="s">
        <v>189</v>
      </c>
      <c r="C119" s="38" t="s">
        <v>279</v>
      </c>
    </row>
    <row r="120" spans="1:3">
      <c r="A120" s="22" t="s">
        <v>189</v>
      </c>
      <c r="C120" s="38" t="s">
        <v>280</v>
      </c>
    </row>
    <row r="121" spans="1:3" ht="17.25">
      <c r="A121" s="22" t="s">
        <v>189</v>
      </c>
      <c r="C121" s="40" t="s">
        <v>290</v>
      </c>
    </row>
    <row r="122" spans="1:3" ht="28.5">
      <c r="A122" s="22" t="s">
        <v>189</v>
      </c>
      <c r="C122" s="38" t="s">
        <v>299</v>
      </c>
    </row>
    <row r="123" spans="1:3" ht="17.25">
      <c r="A123" s="22" t="s">
        <v>189</v>
      </c>
      <c r="C123" s="40" t="s">
        <v>298</v>
      </c>
    </row>
    <row r="124" spans="1:3" ht="42.75">
      <c r="A124" s="22" t="s">
        <v>189</v>
      </c>
      <c r="C124" s="38" t="s">
        <v>291</v>
      </c>
    </row>
    <row r="125" spans="1:3" ht="17.25">
      <c r="A125" s="22" t="s">
        <v>189</v>
      </c>
      <c r="C125" s="40" t="s">
        <v>297</v>
      </c>
    </row>
    <row r="126" spans="1:3">
      <c r="A126" s="22" t="s">
        <v>189</v>
      </c>
      <c r="C126" s="38" t="s">
        <v>292</v>
      </c>
    </row>
    <row r="127" spans="1:3" ht="17.25">
      <c r="A127" s="22" t="s">
        <v>189</v>
      </c>
      <c r="C127" s="40" t="s">
        <v>296</v>
      </c>
    </row>
    <row r="128" spans="1:3" ht="28.5">
      <c r="A128" s="22" t="s">
        <v>189</v>
      </c>
      <c r="C128" s="38" t="s">
        <v>293</v>
      </c>
    </row>
    <row r="129" spans="1:11" ht="17.25">
      <c r="A129" s="22" t="s">
        <v>189</v>
      </c>
      <c r="C129" s="40" t="s">
        <v>295</v>
      </c>
    </row>
    <row r="130" spans="1:11" ht="28.5">
      <c r="A130" s="22" t="s">
        <v>189</v>
      </c>
      <c r="C130" s="38" t="s">
        <v>294</v>
      </c>
    </row>
    <row r="132" spans="1:11">
      <c r="C132" s="486" t="s">
        <v>302</v>
      </c>
      <c r="D132" s="468"/>
      <c r="E132" s="468"/>
      <c r="F132" s="468"/>
      <c r="G132" s="468"/>
      <c r="H132" s="468"/>
      <c r="I132" s="468"/>
      <c r="J132" s="468"/>
      <c r="K132" s="468"/>
    </row>
  </sheetData>
  <autoFilter ref="A1:M87" xr:uid="{ACD697BE-B917-4891-9D9D-F3EA4A390D6C}"/>
  <mergeCells count="38">
    <mergeCell ref="C132:K132"/>
    <mergeCell ref="M12:M17"/>
    <mergeCell ref="M18:M20"/>
    <mergeCell ref="C25:C27"/>
    <mergeCell ref="C28:C31"/>
    <mergeCell ref="D61:K61"/>
    <mergeCell ref="D71:K71"/>
    <mergeCell ref="L24:L59"/>
    <mergeCell ref="B24:B59"/>
    <mergeCell ref="H28:H31"/>
    <mergeCell ref="D24:K24"/>
    <mergeCell ref="B66:B69"/>
    <mergeCell ref="I37:I39"/>
    <mergeCell ref="B61:B65"/>
    <mergeCell ref="I28:I31"/>
    <mergeCell ref="I32:I36"/>
    <mergeCell ref="H32:H36"/>
    <mergeCell ref="C32:C41"/>
    <mergeCell ref="D62:K62"/>
    <mergeCell ref="D63:K63"/>
    <mergeCell ref="D64:K64"/>
    <mergeCell ref="C42:C45"/>
    <mergeCell ref="L4:L8"/>
    <mergeCell ref="L12:L20"/>
    <mergeCell ref="D11:K11"/>
    <mergeCell ref="D4:K4"/>
    <mergeCell ref="B8:K8"/>
    <mergeCell ref="B5:B7"/>
    <mergeCell ref="C5:C7"/>
    <mergeCell ref="F5:F7"/>
    <mergeCell ref="H5:H7"/>
    <mergeCell ref="I5:I7"/>
    <mergeCell ref="B12:B17"/>
    <mergeCell ref="C12:C17"/>
    <mergeCell ref="H12:H17"/>
    <mergeCell ref="I12:I17"/>
    <mergeCell ref="K12:K13"/>
    <mergeCell ref="I18:I21"/>
  </mergeCells>
  <pageMargins left="0.25" right="0.25" top="0.75" bottom="0.75" header="0.3" footer="0.3"/>
  <pageSetup scale="41"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D26F4-85EF-42DA-BD49-B864867D5A2F}">
  <sheetPr>
    <pageSetUpPr fitToPage="1"/>
  </sheetPr>
  <dimension ref="A1:T240"/>
  <sheetViews>
    <sheetView rightToLeft="1" tabSelected="1" view="pageBreakPreview" zoomScale="80" zoomScaleSheetLayoutView="80" workbookViewId="0">
      <pane xSplit="12" ySplit="3" topLeftCell="M83" activePane="bottomRight" state="frozen"/>
      <selection pane="topRight" activeCell="M1" sqref="M1"/>
      <selection pane="bottomLeft" activeCell="A4" sqref="A4"/>
      <selection pane="bottomRight" activeCell="E103" sqref="E103"/>
    </sheetView>
  </sheetViews>
  <sheetFormatPr defaultRowHeight="15.75"/>
  <cols>
    <col min="1" max="1" width="5.125" style="23" customWidth="1"/>
    <col min="2" max="2" width="6.625" style="9" customWidth="1"/>
    <col min="3" max="3" width="41.875" style="9" customWidth="1"/>
    <col min="4" max="4" width="33.625" style="9" bestFit="1" customWidth="1"/>
    <col min="5" max="6" width="20.625" style="9" customWidth="1"/>
    <col min="7" max="7" width="12.375" style="9" customWidth="1"/>
    <col min="8" max="10" width="8.375" style="9" customWidth="1"/>
    <col min="11" max="11" width="60.75" style="9" customWidth="1"/>
    <col min="12" max="19" width="9" style="9"/>
    <col min="20" max="20" width="50.625" style="9" customWidth="1"/>
    <col min="21" max="16384" width="9" style="9"/>
  </cols>
  <sheetData>
    <row r="1" spans="1:20">
      <c r="A1" s="23" t="s">
        <v>186</v>
      </c>
      <c r="T1" s="9" t="s">
        <v>185</v>
      </c>
    </row>
    <row r="2" spans="1:20">
      <c r="A2" s="23" t="s">
        <v>187</v>
      </c>
      <c r="K2" s="9" t="s">
        <v>316</v>
      </c>
      <c r="T2" s="9" t="s">
        <v>184</v>
      </c>
    </row>
    <row r="3" spans="1:20" ht="27.75" customHeight="1">
      <c r="B3" s="9" t="s">
        <v>0</v>
      </c>
      <c r="C3" s="9" t="s">
        <v>198</v>
      </c>
      <c r="D3" s="9" t="s">
        <v>1</v>
      </c>
      <c r="E3" s="9" t="s">
        <v>2</v>
      </c>
      <c r="F3" s="9" t="s">
        <v>3</v>
      </c>
      <c r="G3" s="9" t="s">
        <v>108</v>
      </c>
      <c r="H3" s="9" t="s">
        <v>4</v>
      </c>
      <c r="I3" s="9" t="s">
        <v>5</v>
      </c>
      <c r="J3" s="9" t="s">
        <v>354</v>
      </c>
      <c r="K3" s="9" t="s">
        <v>6</v>
      </c>
      <c r="L3" s="9" t="s">
        <v>116</v>
      </c>
    </row>
    <row r="4" spans="1:20" ht="30" customHeight="1">
      <c r="A4" s="23" t="s">
        <v>221</v>
      </c>
      <c r="B4" s="20"/>
      <c r="C4" s="26" t="s">
        <v>303</v>
      </c>
      <c r="D4" s="460" t="s">
        <v>308</v>
      </c>
      <c r="E4" s="468"/>
      <c r="F4" s="468"/>
      <c r="G4" s="468"/>
      <c r="H4" s="468"/>
      <c r="I4" s="468"/>
      <c r="J4" s="468"/>
      <c r="K4" s="468"/>
      <c r="L4" s="449"/>
      <c r="M4" s="101"/>
      <c r="N4" s="101"/>
      <c r="O4" s="101"/>
      <c r="P4" s="101"/>
      <c r="Q4" s="101"/>
      <c r="R4" s="101"/>
      <c r="S4" s="101"/>
    </row>
    <row r="5" spans="1:20" ht="31.5">
      <c r="A5" s="23" t="s">
        <v>189</v>
      </c>
      <c r="B5" s="457" t="s">
        <v>7</v>
      </c>
      <c r="C5" s="458" t="s">
        <v>309</v>
      </c>
      <c r="D5" s="24" t="s">
        <v>9</v>
      </c>
      <c r="E5" s="24" t="s">
        <v>37</v>
      </c>
      <c r="F5" s="460" t="s">
        <v>10</v>
      </c>
      <c r="G5" s="24"/>
      <c r="H5" s="460" t="s">
        <v>11</v>
      </c>
      <c r="I5" s="460" t="s">
        <v>12</v>
      </c>
      <c r="J5" s="24" t="s">
        <v>355</v>
      </c>
      <c r="K5" s="24"/>
      <c r="L5" s="450"/>
      <c r="M5" s="42"/>
      <c r="N5" s="42"/>
      <c r="O5" s="42"/>
      <c r="P5" s="42"/>
      <c r="Q5" s="42"/>
      <c r="R5" s="42"/>
      <c r="S5" s="42"/>
    </row>
    <row r="6" spans="1:20" ht="31.5">
      <c r="A6" s="23" t="s">
        <v>189</v>
      </c>
      <c r="B6" s="456"/>
      <c r="C6" s="459"/>
      <c r="D6" s="24" t="s">
        <v>13</v>
      </c>
      <c r="E6" s="24" t="s">
        <v>37</v>
      </c>
      <c r="F6" s="461"/>
      <c r="G6" s="24"/>
      <c r="H6" s="468"/>
      <c r="I6" s="468"/>
      <c r="J6" s="24" t="s">
        <v>355</v>
      </c>
      <c r="K6" s="24" t="s">
        <v>304</v>
      </c>
      <c r="L6" s="450"/>
      <c r="M6" s="42"/>
      <c r="N6" s="42"/>
      <c r="O6" s="42"/>
      <c r="P6" s="42"/>
      <c r="Q6" s="42"/>
      <c r="R6" s="42"/>
      <c r="S6" s="42"/>
    </row>
    <row r="7" spans="1:20" ht="31.5">
      <c r="A7" s="23" t="s">
        <v>189</v>
      </c>
      <c r="B7" s="456"/>
      <c r="C7" s="459"/>
      <c r="D7" s="24" t="s">
        <v>15</v>
      </c>
      <c r="E7" s="24" t="s">
        <v>82</v>
      </c>
      <c r="F7" s="461"/>
      <c r="G7" s="24"/>
      <c r="H7" s="468"/>
      <c r="I7" s="468"/>
      <c r="J7" s="24" t="s">
        <v>355</v>
      </c>
      <c r="K7" s="24" t="s">
        <v>16</v>
      </c>
      <c r="L7" s="450"/>
      <c r="M7" s="42"/>
      <c r="N7" s="42"/>
      <c r="O7" s="42"/>
      <c r="P7" s="42"/>
      <c r="Q7" s="42"/>
      <c r="R7" s="42"/>
      <c r="S7" s="42"/>
    </row>
    <row r="8" spans="1:20" ht="123.75" customHeight="1">
      <c r="A8" s="23" t="s">
        <v>189</v>
      </c>
      <c r="B8" s="489" t="s">
        <v>2046</v>
      </c>
      <c r="C8" s="468"/>
      <c r="D8" s="468"/>
      <c r="E8" s="468"/>
      <c r="F8" s="468"/>
      <c r="G8" s="468"/>
      <c r="H8" s="468"/>
      <c r="I8" s="468"/>
      <c r="J8" s="468"/>
      <c r="K8" s="468"/>
      <c r="L8" s="450"/>
      <c r="M8" s="42"/>
      <c r="N8" s="42"/>
      <c r="O8" s="42"/>
      <c r="P8" s="42"/>
      <c r="Q8" s="42"/>
      <c r="R8" s="42"/>
      <c r="S8" s="42"/>
    </row>
    <row r="9" spans="1:20" ht="27" customHeight="1">
      <c r="A9" s="23" t="s">
        <v>187</v>
      </c>
      <c r="B9" s="19"/>
      <c r="C9" s="29"/>
      <c r="L9" s="25"/>
      <c r="M9" s="25"/>
      <c r="N9" s="25"/>
      <c r="O9" s="25"/>
      <c r="P9" s="25"/>
      <c r="Q9" s="25"/>
      <c r="R9" s="25"/>
      <c r="S9" s="25"/>
      <c r="T9" s="9" t="s">
        <v>196</v>
      </c>
    </row>
    <row r="10" spans="1:20" ht="27" customHeight="1">
      <c r="A10" s="23" t="s">
        <v>188</v>
      </c>
      <c r="B10" s="19"/>
      <c r="C10" s="29"/>
      <c r="L10" s="25"/>
      <c r="M10" s="25"/>
      <c r="N10" s="25"/>
      <c r="O10" s="25"/>
      <c r="P10" s="25"/>
      <c r="Q10" s="25"/>
      <c r="R10" s="25"/>
      <c r="S10" s="25"/>
      <c r="T10" s="9" t="s">
        <v>183</v>
      </c>
    </row>
    <row r="11" spans="1:20" ht="27" customHeight="1" thickBot="1">
      <c r="C11" s="41"/>
      <c r="D11" s="521" t="s">
        <v>368</v>
      </c>
      <c r="E11" s="522"/>
      <c r="F11" s="522"/>
      <c r="G11" s="522"/>
      <c r="H11" s="522"/>
      <c r="I11" s="522"/>
      <c r="J11" s="522"/>
      <c r="K11" s="522"/>
      <c r="L11" s="25"/>
      <c r="M11" s="25"/>
      <c r="N11" s="25"/>
      <c r="O11" s="25"/>
      <c r="P11" s="25"/>
      <c r="Q11" s="25"/>
      <c r="R11" s="25"/>
      <c r="S11" s="25"/>
    </row>
    <row r="12" spans="1:20" ht="27" customHeight="1" thickTop="1" thickBot="1">
      <c r="B12" s="516" t="s">
        <v>401</v>
      </c>
      <c r="C12" s="66" t="s">
        <v>305</v>
      </c>
      <c r="D12" s="70"/>
      <c r="E12" s="70"/>
      <c r="F12" s="70"/>
      <c r="G12" s="70"/>
      <c r="H12" s="100"/>
      <c r="I12" s="97"/>
      <c r="J12" s="71"/>
      <c r="K12" s="518" t="s">
        <v>396</v>
      </c>
      <c r="L12" s="25"/>
      <c r="M12" s="25"/>
      <c r="N12" s="25"/>
      <c r="O12" s="25"/>
      <c r="P12" s="25"/>
      <c r="Q12" s="25"/>
      <c r="R12" s="25"/>
      <c r="S12" s="25"/>
    </row>
    <row r="13" spans="1:20" ht="27" customHeight="1" thickTop="1" thickBot="1">
      <c r="B13" s="517"/>
      <c r="C13" s="99" t="s">
        <v>393</v>
      </c>
      <c r="D13" s="70" t="s">
        <v>36</v>
      </c>
      <c r="E13" s="70" t="s">
        <v>328</v>
      </c>
      <c r="F13" s="70" t="s">
        <v>328</v>
      </c>
      <c r="G13" s="70" t="s">
        <v>362</v>
      </c>
      <c r="H13" s="100" t="s">
        <v>365</v>
      </c>
      <c r="I13" s="100" t="s">
        <v>365</v>
      </c>
      <c r="J13" s="71"/>
      <c r="K13" s="519"/>
      <c r="L13" s="25"/>
      <c r="M13" s="25"/>
      <c r="N13" s="25"/>
      <c r="O13" s="25"/>
      <c r="P13" s="25"/>
      <c r="Q13" s="25"/>
      <c r="R13" s="25"/>
      <c r="S13" s="25"/>
    </row>
    <row r="14" spans="1:20" ht="27" customHeight="1" thickTop="1" thickBot="1">
      <c r="B14" s="517"/>
      <c r="C14" s="67"/>
      <c r="D14" s="70" t="s">
        <v>40</v>
      </c>
      <c r="E14" s="70" t="s">
        <v>328</v>
      </c>
      <c r="F14" s="70" t="s">
        <v>328</v>
      </c>
      <c r="G14" s="70" t="s">
        <v>362</v>
      </c>
      <c r="H14" s="100" t="s">
        <v>365</v>
      </c>
      <c r="I14" s="100" t="s">
        <v>365</v>
      </c>
      <c r="J14" s="71"/>
      <c r="K14" s="519"/>
      <c r="L14" s="25"/>
      <c r="M14" s="25"/>
      <c r="N14" s="25"/>
      <c r="O14" s="25"/>
      <c r="P14" s="25"/>
      <c r="Q14" s="25"/>
      <c r="R14" s="25"/>
      <c r="S14" s="25"/>
    </row>
    <row r="15" spans="1:20" ht="27" customHeight="1" thickTop="1" thickBot="1">
      <c r="B15" s="517"/>
      <c r="C15" s="67"/>
      <c r="D15" s="70" t="s">
        <v>41</v>
      </c>
      <c r="E15" s="70" t="s">
        <v>328</v>
      </c>
      <c r="F15" s="70" t="s">
        <v>328</v>
      </c>
      <c r="G15" s="70" t="s">
        <v>362</v>
      </c>
      <c r="H15" s="100" t="s">
        <v>365</v>
      </c>
      <c r="I15" s="100" t="s">
        <v>365</v>
      </c>
      <c r="J15" s="71"/>
      <c r="K15" s="519"/>
      <c r="L15" s="25"/>
      <c r="M15" s="25"/>
      <c r="N15" s="25"/>
      <c r="O15" s="25"/>
      <c r="P15" s="25"/>
      <c r="Q15" s="25"/>
      <c r="R15" s="25"/>
      <c r="S15" s="25"/>
    </row>
    <row r="16" spans="1:20" ht="27" customHeight="1" thickTop="1" thickBot="1">
      <c r="B16" s="517"/>
      <c r="C16" s="67"/>
      <c r="D16" s="70" t="s">
        <v>42</v>
      </c>
      <c r="E16" s="70" t="s">
        <v>328</v>
      </c>
      <c r="F16" s="70" t="s">
        <v>328</v>
      </c>
      <c r="G16" s="70" t="s">
        <v>362</v>
      </c>
      <c r="H16" s="100" t="s">
        <v>365</v>
      </c>
      <c r="I16" s="100" t="s">
        <v>365</v>
      </c>
      <c r="J16" s="71"/>
      <c r="K16" s="519"/>
      <c r="L16" s="25"/>
      <c r="M16" s="25"/>
      <c r="N16" s="25"/>
      <c r="O16" s="25"/>
      <c r="P16" s="25"/>
      <c r="Q16" s="25"/>
      <c r="R16" s="25"/>
      <c r="S16" s="25"/>
    </row>
    <row r="17" spans="1:20" ht="27" customHeight="1" thickTop="1" thickBot="1">
      <c r="B17" s="517"/>
      <c r="C17" s="67"/>
      <c r="D17" s="70" t="s">
        <v>46</v>
      </c>
      <c r="E17" s="70" t="s">
        <v>328</v>
      </c>
      <c r="F17" s="70" t="s">
        <v>328</v>
      </c>
      <c r="G17" s="70" t="s">
        <v>362</v>
      </c>
      <c r="H17" s="100" t="s">
        <v>365</v>
      </c>
      <c r="I17" s="100" t="s">
        <v>365</v>
      </c>
      <c r="J17" s="71"/>
      <c r="K17" s="519"/>
      <c r="L17" s="25"/>
      <c r="M17" s="25"/>
      <c r="N17" s="25"/>
      <c r="O17" s="25"/>
      <c r="P17" s="25"/>
      <c r="Q17" s="25"/>
      <c r="R17" s="25"/>
      <c r="S17" s="25"/>
    </row>
    <row r="18" spans="1:20" ht="27" customHeight="1" thickTop="1" thickBot="1">
      <c r="B18" s="517"/>
      <c r="C18" s="67"/>
      <c r="D18" s="70" t="s">
        <v>47</v>
      </c>
      <c r="E18" s="70" t="s">
        <v>328</v>
      </c>
      <c r="F18" s="70" t="s">
        <v>328</v>
      </c>
      <c r="G18" s="70" t="s">
        <v>362</v>
      </c>
      <c r="H18" s="100" t="s">
        <v>365</v>
      </c>
      <c r="I18" s="100" t="s">
        <v>365</v>
      </c>
      <c r="J18" s="71"/>
      <c r="K18" s="519"/>
      <c r="L18" s="25"/>
      <c r="M18" s="25"/>
      <c r="N18" s="25"/>
      <c r="O18" s="25"/>
      <c r="P18" s="25"/>
      <c r="Q18" s="25"/>
      <c r="R18" s="25"/>
      <c r="S18" s="25"/>
    </row>
    <row r="19" spans="1:20" ht="27" customHeight="1" thickTop="1" thickBot="1">
      <c r="B19" s="517"/>
      <c r="C19" s="66"/>
      <c r="D19" s="70" t="s">
        <v>394</v>
      </c>
      <c r="E19" s="70" t="s">
        <v>328</v>
      </c>
      <c r="F19" s="70" t="s">
        <v>328</v>
      </c>
      <c r="G19" s="70" t="s">
        <v>362</v>
      </c>
      <c r="H19" s="100" t="s">
        <v>365</v>
      </c>
      <c r="I19" s="100" t="s">
        <v>365</v>
      </c>
      <c r="J19" s="71"/>
      <c r="K19" s="519"/>
      <c r="L19" s="25"/>
      <c r="M19" s="25"/>
      <c r="N19" s="25"/>
      <c r="O19" s="25"/>
      <c r="P19" s="25"/>
      <c r="Q19" s="25"/>
      <c r="R19" s="25"/>
      <c r="S19" s="25"/>
    </row>
    <row r="20" spans="1:20" ht="48.75" customHeight="1" thickTop="1" thickBot="1">
      <c r="A20" s="23" t="s">
        <v>189</v>
      </c>
      <c r="B20" s="517"/>
      <c r="C20" s="103"/>
      <c r="D20" s="104" t="s">
        <v>28</v>
      </c>
      <c r="E20" s="104" t="s">
        <v>19</v>
      </c>
      <c r="F20" s="104" t="s">
        <v>29</v>
      </c>
      <c r="G20" s="104" t="s">
        <v>362</v>
      </c>
      <c r="H20" s="499" t="s">
        <v>365</v>
      </c>
      <c r="I20" s="499" t="s">
        <v>365</v>
      </c>
      <c r="J20" s="105" t="s">
        <v>355</v>
      </c>
      <c r="K20" s="519"/>
      <c r="L20" s="42"/>
      <c r="M20" s="42"/>
      <c r="N20" s="42"/>
      <c r="O20" s="42"/>
      <c r="P20" s="42"/>
      <c r="Q20" s="42"/>
      <c r="R20" s="42"/>
      <c r="S20" s="42"/>
      <c r="T20" s="41"/>
    </row>
    <row r="21" spans="1:20" ht="48.75" thickTop="1" thickBot="1">
      <c r="A21" s="23" t="s">
        <v>189</v>
      </c>
      <c r="B21" s="517"/>
      <c r="C21" s="106"/>
      <c r="D21" s="104" t="s">
        <v>31</v>
      </c>
      <c r="E21" s="104" t="s">
        <v>19</v>
      </c>
      <c r="F21" s="104" t="s">
        <v>32</v>
      </c>
      <c r="G21" s="104" t="s">
        <v>362</v>
      </c>
      <c r="H21" s="500"/>
      <c r="I21" s="500"/>
      <c r="J21" s="105" t="s">
        <v>355</v>
      </c>
      <c r="K21" s="519"/>
      <c r="L21" s="42"/>
      <c r="M21" s="42"/>
      <c r="N21" s="42"/>
      <c r="O21" s="42"/>
      <c r="P21" s="42"/>
      <c r="Q21" s="42"/>
      <c r="R21" s="42"/>
      <c r="S21" s="42"/>
      <c r="T21" s="41"/>
    </row>
    <row r="22" spans="1:20" ht="48.75" thickTop="1" thickBot="1">
      <c r="A22" s="23" t="s">
        <v>189</v>
      </c>
      <c r="B22" s="517"/>
      <c r="C22" s="106"/>
      <c r="D22" s="104" t="s">
        <v>33</v>
      </c>
      <c r="E22" s="104" t="s">
        <v>19</v>
      </c>
      <c r="F22" s="104" t="s">
        <v>34</v>
      </c>
      <c r="G22" s="104" t="s">
        <v>362</v>
      </c>
      <c r="H22" s="500"/>
      <c r="I22" s="500"/>
      <c r="J22" s="105" t="s">
        <v>355</v>
      </c>
      <c r="K22" s="519"/>
      <c r="L22" s="42"/>
      <c r="M22" s="42"/>
      <c r="N22" s="42"/>
      <c r="O22" s="42"/>
      <c r="P22" s="42"/>
      <c r="Q22" s="42"/>
      <c r="R22" s="42"/>
      <c r="S22" s="42"/>
      <c r="T22" s="41"/>
    </row>
    <row r="23" spans="1:20" ht="80.25" thickTop="1" thickBot="1">
      <c r="A23" s="23" t="s">
        <v>189</v>
      </c>
      <c r="B23" s="517"/>
      <c r="C23" s="107"/>
      <c r="D23" s="104" t="s">
        <v>395</v>
      </c>
      <c r="E23" s="104" t="s">
        <v>2108</v>
      </c>
      <c r="F23" s="104" t="s">
        <v>363</v>
      </c>
      <c r="G23" s="104" t="s">
        <v>369</v>
      </c>
      <c r="H23" s="104" t="s">
        <v>366</v>
      </c>
      <c r="I23" s="104" t="s">
        <v>367</v>
      </c>
      <c r="J23" s="105" t="s">
        <v>355</v>
      </c>
      <c r="K23" s="519"/>
      <c r="L23" s="42"/>
      <c r="M23" s="42"/>
      <c r="N23" s="42"/>
      <c r="O23" s="42"/>
      <c r="P23" s="42"/>
      <c r="Q23" s="42"/>
      <c r="R23" s="42"/>
      <c r="S23" s="42"/>
      <c r="T23" s="41" t="s">
        <v>392</v>
      </c>
    </row>
    <row r="24" spans="1:20" ht="17.25" customHeight="1" thickTop="1" thickBot="1">
      <c r="A24" s="23" t="s">
        <v>189</v>
      </c>
      <c r="B24" s="517"/>
      <c r="C24" s="12"/>
      <c r="D24" s="70"/>
      <c r="E24" s="70"/>
      <c r="F24" s="70"/>
      <c r="G24" s="70"/>
      <c r="H24" s="70"/>
      <c r="I24" s="70"/>
      <c r="J24" s="71"/>
      <c r="K24" s="520"/>
      <c r="L24" s="42"/>
      <c r="M24" s="42"/>
      <c r="N24" s="42"/>
      <c r="O24" s="42"/>
      <c r="P24" s="42"/>
      <c r="Q24" s="42"/>
      <c r="R24" s="42"/>
      <c r="S24" s="42"/>
      <c r="T24" s="41"/>
    </row>
    <row r="25" spans="1:20" ht="48.75" thickTop="1" thickBot="1">
      <c r="A25" s="23" t="s">
        <v>189</v>
      </c>
      <c r="B25" s="517"/>
      <c r="C25" s="58" t="s">
        <v>143</v>
      </c>
      <c r="D25" s="69" t="s">
        <v>314</v>
      </c>
      <c r="E25" s="69" t="s">
        <v>315</v>
      </c>
      <c r="F25" s="69" t="s">
        <v>315</v>
      </c>
      <c r="G25" s="70" t="s">
        <v>362</v>
      </c>
      <c r="H25" s="69" t="s">
        <v>143</v>
      </c>
      <c r="I25" s="69"/>
      <c r="J25" s="24" t="s">
        <v>355</v>
      </c>
      <c r="K25" s="515" t="s">
        <v>400</v>
      </c>
      <c r="L25" s="42"/>
      <c r="M25" s="42"/>
      <c r="N25" s="42"/>
      <c r="O25" s="42"/>
      <c r="P25" s="42"/>
      <c r="Q25" s="42"/>
      <c r="R25" s="42"/>
      <c r="S25" s="42"/>
      <c r="T25" s="41"/>
    </row>
    <row r="26" spans="1:20" ht="48.75" thickTop="1" thickBot="1">
      <c r="A26" s="23" t="s">
        <v>189</v>
      </c>
      <c r="B26" s="517"/>
      <c r="C26" s="58" t="s">
        <v>313</v>
      </c>
      <c r="D26" s="58" t="s">
        <v>314</v>
      </c>
      <c r="E26" s="58" t="s">
        <v>315</v>
      </c>
      <c r="F26" s="58" t="s">
        <v>315</v>
      </c>
      <c r="G26" s="70" t="s">
        <v>362</v>
      </c>
      <c r="H26" s="58" t="s">
        <v>313</v>
      </c>
      <c r="I26" s="58"/>
      <c r="J26" s="24" t="s">
        <v>355</v>
      </c>
      <c r="K26" s="491"/>
      <c r="L26" s="42"/>
      <c r="M26" s="42"/>
      <c r="N26" s="42"/>
      <c r="O26" s="42"/>
      <c r="P26" s="42"/>
      <c r="Q26" s="42"/>
      <c r="R26" s="42"/>
      <c r="S26" s="42"/>
      <c r="T26" s="41"/>
    </row>
    <row r="27" spans="1:20" ht="48.75" thickTop="1" thickBot="1">
      <c r="A27" s="23" t="s">
        <v>189</v>
      </c>
      <c r="B27" s="517"/>
      <c r="C27" s="58" t="s">
        <v>144</v>
      </c>
      <c r="D27" s="58" t="s">
        <v>314</v>
      </c>
      <c r="E27" s="58" t="s">
        <v>315</v>
      </c>
      <c r="F27" s="58" t="s">
        <v>315</v>
      </c>
      <c r="G27" s="70" t="s">
        <v>362</v>
      </c>
      <c r="H27" s="58" t="s">
        <v>144</v>
      </c>
      <c r="I27" s="58"/>
      <c r="J27" s="24" t="s">
        <v>355</v>
      </c>
      <c r="K27" s="491"/>
    </row>
    <row r="28" spans="1:20" ht="48.75" thickTop="1" thickBot="1">
      <c r="B28" s="517"/>
      <c r="C28" s="58" t="s">
        <v>2297</v>
      </c>
      <c r="D28" s="58" t="s">
        <v>3439</v>
      </c>
      <c r="E28" s="58" t="s">
        <v>3440</v>
      </c>
      <c r="F28" s="58" t="s">
        <v>3441</v>
      </c>
      <c r="G28" s="70" t="s">
        <v>3442</v>
      </c>
      <c r="H28" s="58"/>
      <c r="I28" s="58"/>
      <c r="J28" s="24"/>
      <c r="K28" s="468"/>
    </row>
    <row r="29" spans="1:20" ht="30" customHeight="1" thickTop="1">
      <c r="A29" s="23" t="s">
        <v>221</v>
      </c>
      <c r="B29" s="517"/>
      <c r="C29" s="28" t="s">
        <v>310</v>
      </c>
      <c r="D29" s="466" t="s">
        <v>368</v>
      </c>
      <c r="E29" s="471"/>
      <c r="F29" s="471"/>
      <c r="G29" s="471"/>
      <c r="H29" s="471"/>
      <c r="I29" s="471"/>
      <c r="J29" s="471"/>
      <c r="K29" s="471"/>
      <c r="L29" s="25"/>
      <c r="M29" s="25"/>
      <c r="N29" s="25"/>
      <c r="O29" s="25"/>
      <c r="P29" s="25"/>
      <c r="Q29" s="25"/>
      <c r="R29" s="25"/>
      <c r="S29" s="25"/>
    </row>
    <row r="30" spans="1:20" ht="31.5" customHeight="1">
      <c r="A30" s="23" t="s">
        <v>189</v>
      </c>
      <c r="B30" s="517"/>
      <c r="C30" s="46" t="s">
        <v>326</v>
      </c>
      <c r="D30" s="45"/>
      <c r="E30" s="45"/>
      <c r="F30" s="45"/>
      <c r="G30" s="45"/>
      <c r="H30" s="45"/>
      <c r="I30" s="45"/>
      <c r="J30" s="24" t="s">
        <v>355</v>
      </c>
      <c r="K30" s="501" t="s">
        <v>359</v>
      </c>
      <c r="L30" s="43"/>
      <c r="M30" s="43"/>
      <c r="N30" s="43"/>
      <c r="O30" s="43"/>
      <c r="P30" s="43"/>
      <c r="Q30" s="43"/>
      <c r="R30" s="43"/>
      <c r="S30" s="43"/>
    </row>
    <row r="31" spans="1:20" ht="31.5">
      <c r="A31" s="23" t="s">
        <v>189</v>
      </c>
      <c r="B31" s="517"/>
      <c r="C31" s="523" t="s">
        <v>208</v>
      </c>
      <c r="D31" s="45" t="s">
        <v>36</v>
      </c>
      <c r="E31" s="45" t="s">
        <v>37</v>
      </c>
      <c r="F31" s="45" t="s">
        <v>328</v>
      </c>
      <c r="G31" s="45" t="s">
        <v>329</v>
      </c>
      <c r="H31" s="504" t="s">
        <v>39</v>
      </c>
      <c r="I31" s="506" t="s">
        <v>114</v>
      </c>
      <c r="J31" s="24" t="s">
        <v>355</v>
      </c>
      <c r="K31" s="502"/>
      <c r="L31" s="42"/>
      <c r="M31" s="42"/>
      <c r="N31" s="42"/>
      <c r="O31" s="42"/>
      <c r="P31" s="42"/>
      <c r="Q31" s="42"/>
      <c r="R31" s="42"/>
      <c r="S31" s="42"/>
      <c r="T31" s="41"/>
    </row>
    <row r="32" spans="1:20" ht="31.5">
      <c r="A32" s="23" t="s">
        <v>189</v>
      </c>
      <c r="B32" s="517"/>
      <c r="C32" s="524"/>
      <c r="D32" s="45" t="s">
        <v>40</v>
      </c>
      <c r="E32" s="45" t="s">
        <v>37</v>
      </c>
      <c r="F32" s="45" t="s">
        <v>328</v>
      </c>
      <c r="G32" s="45" t="s">
        <v>329</v>
      </c>
      <c r="H32" s="505"/>
      <c r="I32" s="507"/>
      <c r="J32" s="24" t="s">
        <v>355</v>
      </c>
      <c r="K32" s="502"/>
      <c r="L32" s="42"/>
      <c r="M32" s="42"/>
      <c r="N32" s="42"/>
      <c r="O32" s="42"/>
      <c r="P32" s="42"/>
      <c r="Q32" s="42"/>
      <c r="R32" s="42"/>
      <c r="S32" s="42"/>
      <c r="T32" s="41"/>
    </row>
    <row r="33" spans="1:20" ht="31.5">
      <c r="A33" s="23" t="s">
        <v>189</v>
      </c>
      <c r="B33" s="517"/>
      <c r="C33" s="525"/>
      <c r="D33" s="45" t="s">
        <v>41</v>
      </c>
      <c r="E33" s="45" t="s">
        <v>37</v>
      </c>
      <c r="F33" s="45" t="s">
        <v>328</v>
      </c>
      <c r="G33" s="45" t="s">
        <v>329</v>
      </c>
      <c r="H33" s="505"/>
      <c r="I33" s="507"/>
      <c r="J33" s="24" t="s">
        <v>355</v>
      </c>
      <c r="K33" s="502"/>
      <c r="L33" s="42"/>
      <c r="M33" s="42"/>
      <c r="N33" s="42"/>
      <c r="O33" s="42"/>
      <c r="P33" s="42"/>
      <c r="Q33" s="42"/>
      <c r="R33" s="42"/>
      <c r="S33" s="42"/>
      <c r="T33" s="41"/>
    </row>
    <row r="34" spans="1:20" ht="31.5">
      <c r="A34" s="23" t="s">
        <v>189</v>
      </c>
      <c r="B34" s="517"/>
      <c r="C34" s="523" t="s">
        <v>207</v>
      </c>
      <c r="D34" s="45" t="s">
        <v>42</v>
      </c>
      <c r="E34" s="45" t="s">
        <v>43</v>
      </c>
      <c r="F34" s="45" t="s">
        <v>328</v>
      </c>
      <c r="G34" s="45" t="s">
        <v>329</v>
      </c>
      <c r="H34" s="504" t="s">
        <v>44</v>
      </c>
      <c r="I34" s="504" t="s">
        <v>45</v>
      </c>
      <c r="J34" s="24" t="s">
        <v>355</v>
      </c>
      <c r="K34" s="502"/>
      <c r="L34" s="42"/>
      <c r="M34" s="42"/>
      <c r="N34" s="42"/>
      <c r="O34" s="42"/>
      <c r="P34" s="42"/>
      <c r="Q34" s="42"/>
      <c r="R34" s="42"/>
      <c r="S34" s="42"/>
      <c r="T34" s="41"/>
    </row>
    <row r="35" spans="1:20" ht="31.5">
      <c r="A35" s="23" t="s">
        <v>189</v>
      </c>
      <c r="B35" s="517"/>
      <c r="C35" s="524"/>
      <c r="D35" s="45" t="s">
        <v>46</v>
      </c>
      <c r="E35" s="45" t="s">
        <v>43</v>
      </c>
      <c r="F35" s="45" t="s">
        <v>328</v>
      </c>
      <c r="G35" s="45" t="s">
        <v>329</v>
      </c>
      <c r="H35" s="505"/>
      <c r="I35" s="505"/>
      <c r="J35" s="24" t="s">
        <v>355</v>
      </c>
      <c r="K35" s="502"/>
      <c r="L35" s="42"/>
      <c r="M35" s="42"/>
      <c r="N35" s="42"/>
      <c r="O35" s="42"/>
      <c r="P35" s="42"/>
      <c r="Q35" s="42"/>
      <c r="R35" s="42"/>
      <c r="S35" s="42"/>
      <c r="T35" s="41"/>
    </row>
    <row r="36" spans="1:20" ht="31.5">
      <c r="A36" s="23" t="s">
        <v>189</v>
      </c>
      <c r="B36" s="517"/>
      <c r="C36" s="524"/>
      <c r="D36" s="45" t="s">
        <v>47</v>
      </c>
      <c r="E36" s="45" t="s">
        <v>48</v>
      </c>
      <c r="F36" s="45" t="s">
        <v>328</v>
      </c>
      <c r="G36" s="45" t="s">
        <v>329</v>
      </c>
      <c r="H36" s="505"/>
      <c r="I36" s="505"/>
      <c r="J36" s="24" t="s">
        <v>355</v>
      </c>
      <c r="K36" s="502"/>
      <c r="L36" s="42"/>
      <c r="M36" s="42"/>
      <c r="N36" s="42"/>
      <c r="O36" s="42"/>
      <c r="P36" s="42"/>
      <c r="Q36" s="42"/>
      <c r="R36" s="42"/>
      <c r="S36" s="42"/>
    </row>
    <row r="37" spans="1:20" ht="32.25" thickBot="1">
      <c r="A37" s="23" t="s">
        <v>189</v>
      </c>
      <c r="B37" s="517"/>
      <c r="C37" s="525"/>
      <c r="D37" s="68" t="s">
        <v>120</v>
      </c>
      <c r="E37" s="68" t="s">
        <v>37</v>
      </c>
      <c r="F37" s="68" t="s">
        <v>328</v>
      </c>
      <c r="G37" s="68" t="s">
        <v>329</v>
      </c>
      <c r="H37" s="508"/>
      <c r="I37" s="508"/>
      <c r="J37" s="24" t="s">
        <v>355</v>
      </c>
      <c r="K37" s="503"/>
      <c r="L37" s="42"/>
      <c r="M37" s="42"/>
      <c r="N37" s="42"/>
      <c r="O37" s="42"/>
      <c r="P37" s="42"/>
      <c r="Q37" s="42"/>
      <c r="R37" s="42"/>
      <c r="S37" s="42"/>
      <c r="T37" s="41"/>
    </row>
    <row r="38" spans="1:20" ht="48.75" thickTop="1" thickBot="1">
      <c r="A38" s="23" t="s">
        <v>189</v>
      </c>
      <c r="B38" s="517"/>
      <c r="C38" s="526" t="s">
        <v>387</v>
      </c>
      <c r="D38" s="70">
        <f>-9876</f>
        <v>-9876</v>
      </c>
      <c r="E38" s="70" t="s">
        <v>19</v>
      </c>
      <c r="F38" s="70" t="s">
        <v>29</v>
      </c>
      <c r="G38" s="70" t="s">
        <v>362</v>
      </c>
      <c r="H38" s="511" t="s">
        <v>365</v>
      </c>
      <c r="I38" s="511" t="s">
        <v>365</v>
      </c>
      <c r="J38" s="71" t="s">
        <v>355</v>
      </c>
      <c r="K38" s="513" t="s">
        <v>340</v>
      </c>
      <c r="L38" s="42"/>
      <c r="M38" s="42"/>
      <c r="N38" s="42"/>
      <c r="O38" s="42"/>
      <c r="P38" s="42"/>
      <c r="Q38" s="42"/>
      <c r="R38" s="42"/>
      <c r="S38" s="42"/>
      <c r="T38" s="41"/>
    </row>
    <row r="39" spans="1:20" ht="48.75" thickTop="1" thickBot="1">
      <c r="A39" s="23" t="s">
        <v>189</v>
      </c>
      <c r="B39" s="517"/>
      <c r="C39" s="527"/>
      <c r="D39" s="70" t="s">
        <v>31</v>
      </c>
      <c r="E39" s="70" t="s">
        <v>19</v>
      </c>
      <c r="F39" s="70" t="s">
        <v>32</v>
      </c>
      <c r="G39" s="70" t="s">
        <v>362</v>
      </c>
      <c r="H39" s="512"/>
      <c r="I39" s="512"/>
      <c r="J39" s="71" t="s">
        <v>355</v>
      </c>
      <c r="K39" s="514"/>
      <c r="L39" s="42"/>
      <c r="M39" s="42"/>
      <c r="N39" s="42"/>
      <c r="O39" s="42"/>
      <c r="P39" s="42"/>
      <c r="Q39" s="42"/>
      <c r="R39" s="42"/>
      <c r="S39" s="42"/>
      <c r="T39" s="41"/>
    </row>
    <row r="40" spans="1:20" ht="48.75" thickTop="1" thickBot="1">
      <c r="A40" s="23" t="s">
        <v>189</v>
      </c>
      <c r="B40" s="517"/>
      <c r="C40" s="528"/>
      <c r="D40" s="70" t="s">
        <v>33</v>
      </c>
      <c r="E40" s="70" t="s">
        <v>19</v>
      </c>
      <c r="F40" s="70" t="s">
        <v>34</v>
      </c>
      <c r="G40" s="70" t="s">
        <v>362</v>
      </c>
      <c r="H40" s="512"/>
      <c r="I40" s="512"/>
      <c r="J40" s="71" t="s">
        <v>355</v>
      </c>
      <c r="K40" s="514"/>
      <c r="L40" s="42"/>
      <c r="M40" s="42"/>
      <c r="N40" s="42"/>
      <c r="O40" s="42"/>
      <c r="P40" s="42"/>
      <c r="Q40" s="42"/>
      <c r="R40" s="42"/>
      <c r="S40" s="42"/>
      <c r="T40" s="41"/>
    </row>
    <row r="41" spans="1:20" ht="80.25" thickTop="1" thickBot="1">
      <c r="A41" s="23" t="s">
        <v>189</v>
      </c>
      <c r="B41" s="517"/>
      <c r="C41" s="98" t="s">
        <v>145</v>
      </c>
      <c r="D41" s="70" t="s">
        <v>311</v>
      </c>
      <c r="E41" s="70" t="s">
        <v>202</v>
      </c>
      <c r="F41" s="70" t="s">
        <v>363</v>
      </c>
      <c r="G41" s="70" t="s">
        <v>362</v>
      </c>
      <c r="H41" s="70" t="s">
        <v>366</v>
      </c>
      <c r="I41" s="70" t="s">
        <v>367</v>
      </c>
      <c r="J41" s="71" t="s">
        <v>355</v>
      </c>
      <c r="K41" s="514"/>
      <c r="L41" s="42"/>
      <c r="M41" s="42"/>
      <c r="N41" s="42"/>
      <c r="O41" s="42"/>
      <c r="P41" s="42"/>
      <c r="Q41" s="42"/>
      <c r="R41" s="42"/>
      <c r="S41" s="42"/>
      <c r="T41" s="41"/>
    </row>
    <row r="42" spans="1:20" ht="21.75" thickTop="1" thickBot="1">
      <c r="B42" s="517"/>
      <c r="C42" s="323" t="s">
        <v>3501</v>
      </c>
      <c r="D42" s="56"/>
      <c r="E42" s="56"/>
      <c r="F42" s="56"/>
      <c r="G42" s="56"/>
      <c r="H42" s="56"/>
      <c r="I42" s="56"/>
      <c r="J42" s="24"/>
      <c r="K42" s="155"/>
      <c r="L42" s="42"/>
      <c r="M42" s="42"/>
      <c r="N42" s="42"/>
      <c r="O42" s="42"/>
      <c r="P42" s="42"/>
      <c r="Q42" s="42"/>
      <c r="R42" s="42"/>
      <c r="S42" s="42"/>
      <c r="T42" s="41"/>
    </row>
    <row r="43" spans="1:20" ht="33" thickTop="1" thickBot="1">
      <c r="A43" s="23" t="s">
        <v>189</v>
      </c>
      <c r="B43" s="517"/>
      <c r="C43" s="58" t="s">
        <v>2018</v>
      </c>
      <c r="D43" s="69" t="s">
        <v>314</v>
      </c>
      <c r="E43" s="69" t="s">
        <v>204</v>
      </c>
      <c r="F43" s="69" t="s">
        <v>315</v>
      </c>
      <c r="G43" s="69" t="s">
        <v>109</v>
      </c>
      <c r="H43" s="69" t="s">
        <v>364</v>
      </c>
      <c r="I43" s="69" t="s">
        <v>388</v>
      </c>
      <c r="J43" s="24" t="s">
        <v>355</v>
      </c>
      <c r="K43" s="509" t="s">
        <v>360</v>
      </c>
      <c r="L43" s="42"/>
      <c r="M43" s="42"/>
      <c r="N43" s="42"/>
      <c r="O43" s="42"/>
      <c r="P43" s="42"/>
      <c r="Q43" s="42"/>
      <c r="R43" s="42"/>
      <c r="S43" s="42"/>
      <c r="T43" s="41"/>
    </row>
    <row r="44" spans="1:20" ht="33" thickTop="1" thickBot="1">
      <c r="B44" s="517"/>
      <c r="C44" s="58" t="s">
        <v>2019</v>
      </c>
      <c r="D44" s="58" t="s">
        <v>314</v>
      </c>
      <c r="E44" s="58" t="s">
        <v>315</v>
      </c>
      <c r="F44" s="58" t="s">
        <v>315</v>
      </c>
      <c r="G44" s="58" t="s">
        <v>109</v>
      </c>
      <c r="H44" s="58" t="s">
        <v>364</v>
      </c>
      <c r="I44" s="58" t="s">
        <v>388</v>
      </c>
      <c r="J44" s="24" t="s">
        <v>355</v>
      </c>
      <c r="K44" s="509"/>
      <c r="L44" s="42"/>
      <c r="M44" s="42"/>
      <c r="N44" s="42"/>
      <c r="O44" s="42"/>
      <c r="P44" s="42"/>
      <c r="Q44" s="42"/>
      <c r="R44" s="42"/>
      <c r="S44" s="42"/>
      <c r="T44" s="41"/>
    </row>
    <row r="45" spans="1:20" ht="33" thickTop="1" thickBot="1">
      <c r="B45" s="517"/>
      <c r="C45" s="58" t="s">
        <v>2020</v>
      </c>
      <c r="D45" s="58" t="s">
        <v>314</v>
      </c>
      <c r="E45" s="58" t="s">
        <v>315</v>
      </c>
      <c r="F45" s="58" t="s">
        <v>315</v>
      </c>
      <c r="G45" s="58" t="s">
        <v>109</v>
      </c>
      <c r="H45" s="58" t="s">
        <v>364</v>
      </c>
      <c r="I45" s="58" t="s">
        <v>388</v>
      </c>
      <c r="J45" s="24" t="s">
        <v>355</v>
      </c>
      <c r="K45" s="509"/>
      <c r="L45" s="42"/>
      <c r="M45" s="42"/>
      <c r="N45" s="42"/>
      <c r="O45" s="42"/>
      <c r="P45" s="42"/>
      <c r="Q45" s="42"/>
      <c r="R45" s="42"/>
      <c r="S45" s="42"/>
      <c r="T45" s="41"/>
    </row>
    <row r="46" spans="1:20" ht="33" thickTop="1" thickBot="1">
      <c r="A46" s="23" t="s">
        <v>189</v>
      </c>
      <c r="B46" s="517"/>
      <c r="C46" s="58" t="s">
        <v>313</v>
      </c>
      <c r="D46" s="58" t="s">
        <v>314</v>
      </c>
      <c r="E46" s="58" t="s">
        <v>315</v>
      </c>
      <c r="F46" s="58" t="s">
        <v>315</v>
      </c>
      <c r="G46" s="58" t="s">
        <v>109</v>
      </c>
      <c r="H46" s="58" t="s">
        <v>364</v>
      </c>
      <c r="I46" s="58" t="s">
        <v>388</v>
      </c>
      <c r="J46" s="24" t="s">
        <v>355</v>
      </c>
      <c r="K46" s="510"/>
      <c r="L46" s="42"/>
      <c r="M46" s="42"/>
      <c r="N46" s="42"/>
      <c r="O46" s="42"/>
      <c r="P46" s="42"/>
      <c r="Q46" s="42"/>
      <c r="R46" s="42"/>
      <c r="S46" s="42"/>
      <c r="T46" s="41"/>
    </row>
    <row r="47" spans="1:20" ht="33" thickTop="1" thickBot="1">
      <c r="A47" s="23" t="s">
        <v>189</v>
      </c>
      <c r="B47" s="517"/>
      <c r="C47" s="58" t="s">
        <v>144</v>
      </c>
      <c r="D47" s="58" t="s">
        <v>314</v>
      </c>
      <c r="E47" s="58" t="s">
        <v>315</v>
      </c>
      <c r="F47" s="58" t="s">
        <v>315</v>
      </c>
      <c r="G47" s="58" t="s">
        <v>109</v>
      </c>
      <c r="H47" s="58" t="s">
        <v>364</v>
      </c>
      <c r="I47" s="58" t="s">
        <v>388</v>
      </c>
      <c r="J47" s="24" t="s">
        <v>355</v>
      </c>
      <c r="K47" s="510"/>
    </row>
    <row r="48" spans="1:20" ht="24.95" customHeight="1" thickTop="1" thickBot="1">
      <c r="A48" s="23" t="s">
        <v>188</v>
      </c>
      <c r="T48" s="9" t="s">
        <v>233</v>
      </c>
    </row>
    <row r="49" spans="1:19" ht="30" customHeight="1" thickTop="1">
      <c r="A49" s="23" t="s">
        <v>221</v>
      </c>
      <c r="B49" s="472" t="s">
        <v>312</v>
      </c>
      <c r="C49" s="351" t="s">
        <v>3819</v>
      </c>
      <c r="D49" s="492"/>
      <c r="E49" s="468"/>
      <c r="F49" s="468"/>
      <c r="G49" s="468"/>
      <c r="H49" s="468"/>
      <c r="I49" s="468"/>
      <c r="J49" s="468"/>
      <c r="K49" s="468"/>
      <c r="L49" s="451" t="s">
        <v>217</v>
      </c>
      <c r="M49" s="43"/>
      <c r="N49" s="43"/>
      <c r="O49" s="43"/>
      <c r="P49" s="43"/>
      <c r="Q49" s="43"/>
      <c r="R49" s="43"/>
      <c r="S49" s="43"/>
    </row>
    <row r="50" spans="1:19" ht="80.25" customHeight="1" thickBot="1">
      <c r="A50" s="23" t="s">
        <v>189</v>
      </c>
      <c r="B50" s="472"/>
      <c r="C50" s="10" t="s">
        <v>3820</v>
      </c>
      <c r="D50" s="10" t="s">
        <v>3821</v>
      </c>
      <c r="E50" s="10" t="s">
        <v>330</v>
      </c>
      <c r="F50" s="10" t="s">
        <v>389</v>
      </c>
      <c r="G50" s="10" t="s">
        <v>109</v>
      </c>
      <c r="H50" s="10" t="s">
        <v>365</v>
      </c>
      <c r="I50" s="10"/>
      <c r="J50" s="10" t="s">
        <v>142</v>
      </c>
      <c r="K50" s="10" t="s">
        <v>331</v>
      </c>
      <c r="L50" s="451"/>
      <c r="M50" s="43"/>
      <c r="N50" s="43"/>
      <c r="O50" s="43"/>
      <c r="P50" s="43"/>
      <c r="Q50" s="43"/>
      <c r="R50" s="43"/>
      <c r="S50" s="43"/>
    </row>
    <row r="51" spans="1:19" ht="24.95" customHeight="1" thickTop="1">
      <c r="A51" s="23" t="s">
        <v>189</v>
      </c>
      <c r="B51" s="472"/>
      <c r="C51" s="95" t="s">
        <v>312</v>
      </c>
      <c r="D51" s="59" t="s">
        <v>317</v>
      </c>
      <c r="E51" s="59" t="s">
        <v>37</v>
      </c>
      <c r="F51" s="59" t="s">
        <v>38</v>
      </c>
      <c r="G51" s="30" t="s">
        <v>109</v>
      </c>
      <c r="H51" s="483" t="s">
        <v>51</v>
      </c>
      <c r="I51" s="483" t="s">
        <v>52</v>
      </c>
      <c r="J51" s="10" t="s">
        <v>142</v>
      </c>
      <c r="K51" s="30" t="s">
        <v>211</v>
      </c>
      <c r="L51" s="450"/>
      <c r="M51" s="42"/>
      <c r="N51" s="42"/>
      <c r="O51" s="42"/>
      <c r="P51" s="42"/>
      <c r="Q51" s="42"/>
      <c r="R51" s="42"/>
      <c r="S51" s="42"/>
    </row>
    <row r="52" spans="1:19" ht="24.95" customHeight="1">
      <c r="A52" s="23" t="s">
        <v>189</v>
      </c>
      <c r="B52" s="472"/>
      <c r="C52" s="493" t="s">
        <v>336</v>
      </c>
      <c r="D52" s="60" t="s">
        <v>318</v>
      </c>
      <c r="E52" s="60" t="s">
        <v>37</v>
      </c>
      <c r="F52" s="60" t="s">
        <v>38</v>
      </c>
      <c r="G52" s="10" t="s">
        <v>109</v>
      </c>
      <c r="H52" s="461"/>
      <c r="I52" s="461"/>
      <c r="J52" s="10" t="s">
        <v>142</v>
      </c>
      <c r="K52" s="10" t="s">
        <v>212</v>
      </c>
      <c r="L52" s="450"/>
      <c r="M52" s="42"/>
      <c r="N52" s="42"/>
      <c r="O52" s="42"/>
      <c r="P52" s="42"/>
      <c r="Q52" s="42"/>
      <c r="R52" s="42"/>
      <c r="S52" s="42"/>
    </row>
    <row r="53" spans="1:19" ht="24.95" customHeight="1">
      <c r="A53" s="23" t="s">
        <v>189</v>
      </c>
      <c r="B53" s="472"/>
      <c r="C53" s="494"/>
      <c r="D53" s="61" t="s">
        <v>319</v>
      </c>
      <c r="E53" s="61" t="s">
        <v>37</v>
      </c>
      <c r="F53" s="61" t="s">
        <v>38</v>
      </c>
      <c r="G53" s="10" t="s">
        <v>109</v>
      </c>
      <c r="H53" s="461"/>
      <c r="I53" s="461"/>
      <c r="J53" s="10" t="s">
        <v>142</v>
      </c>
      <c r="K53" s="10" t="s">
        <v>213</v>
      </c>
      <c r="L53" s="450"/>
      <c r="M53" s="42"/>
      <c r="N53" s="42"/>
      <c r="O53" s="42"/>
      <c r="P53" s="42"/>
      <c r="Q53" s="42"/>
      <c r="R53" s="42"/>
      <c r="S53" s="42"/>
    </row>
    <row r="54" spans="1:19" ht="24.95" customHeight="1">
      <c r="A54" s="23" t="s">
        <v>189</v>
      </c>
      <c r="B54" s="472"/>
      <c r="C54" s="494"/>
      <c r="D54" s="61" t="s">
        <v>320</v>
      </c>
      <c r="E54" s="61" t="s">
        <v>37</v>
      </c>
      <c r="F54" s="61" t="s">
        <v>38</v>
      </c>
      <c r="G54" s="10" t="s">
        <v>109</v>
      </c>
      <c r="H54" s="461"/>
      <c r="I54" s="461"/>
      <c r="J54" s="10" t="s">
        <v>142</v>
      </c>
      <c r="K54" s="10"/>
      <c r="L54" s="450"/>
      <c r="M54" s="42"/>
      <c r="N54" s="42"/>
      <c r="O54" s="42"/>
      <c r="P54" s="42"/>
      <c r="Q54" s="42"/>
      <c r="R54" s="42"/>
      <c r="S54" s="42"/>
    </row>
    <row r="55" spans="1:19" ht="24.95" customHeight="1">
      <c r="A55" s="23" t="s">
        <v>189</v>
      </c>
      <c r="B55" s="472"/>
      <c r="C55" s="494"/>
      <c r="D55" s="60" t="s">
        <v>321</v>
      </c>
      <c r="E55" s="60" t="s">
        <v>43</v>
      </c>
      <c r="F55" s="60" t="s">
        <v>38</v>
      </c>
      <c r="G55" s="10" t="s">
        <v>109</v>
      </c>
      <c r="H55" s="461"/>
      <c r="I55" s="461"/>
      <c r="J55" s="10" t="s">
        <v>142</v>
      </c>
      <c r="K55" s="10" t="s">
        <v>214</v>
      </c>
      <c r="L55" s="450"/>
      <c r="M55" s="42"/>
      <c r="N55" s="42"/>
      <c r="O55" s="42"/>
      <c r="P55" s="42"/>
      <c r="Q55" s="42"/>
      <c r="R55" s="42"/>
      <c r="S55" s="42"/>
    </row>
    <row r="56" spans="1:19" ht="63">
      <c r="A56" s="23" t="s">
        <v>189</v>
      </c>
      <c r="B56" s="472"/>
      <c r="C56" s="494"/>
      <c r="D56" s="60" t="s">
        <v>322</v>
      </c>
      <c r="E56" s="60" t="s">
        <v>43</v>
      </c>
      <c r="F56" s="60" t="s">
        <v>38</v>
      </c>
      <c r="G56" s="10" t="s">
        <v>109</v>
      </c>
      <c r="H56" s="10" t="s">
        <v>58</v>
      </c>
      <c r="I56" s="474" t="s">
        <v>59</v>
      </c>
      <c r="J56" s="10" t="s">
        <v>142</v>
      </c>
      <c r="K56" s="10"/>
      <c r="L56" s="450"/>
      <c r="M56" s="42"/>
      <c r="N56" s="42"/>
      <c r="O56" s="42"/>
      <c r="P56" s="42"/>
      <c r="Q56" s="42"/>
      <c r="R56" s="42"/>
      <c r="S56" s="42"/>
    </row>
    <row r="57" spans="1:19" ht="47.25">
      <c r="A57" s="23" t="s">
        <v>189</v>
      </c>
      <c r="B57" s="472"/>
      <c r="C57" s="494"/>
      <c r="D57" s="60" t="s">
        <v>323</v>
      </c>
      <c r="E57" s="60" t="s">
        <v>43</v>
      </c>
      <c r="F57" s="60" t="s">
        <v>38</v>
      </c>
      <c r="G57" s="10" t="s">
        <v>109</v>
      </c>
      <c r="H57" s="10" t="s">
        <v>61</v>
      </c>
      <c r="I57" s="461"/>
      <c r="J57" s="10" t="s">
        <v>142</v>
      </c>
      <c r="K57" s="10" t="s">
        <v>215</v>
      </c>
      <c r="L57" s="450"/>
      <c r="M57" s="42"/>
      <c r="N57" s="42"/>
      <c r="O57" s="42"/>
      <c r="P57" s="42"/>
      <c r="Q57" s="42"/>
      <c r="R57" s="42"/>
      <c r="S57" s="42"/>
    </row>
    <row r="58" spans="1:19" ht="63">
      <c r="A58" s="23" t="s">
        <v>189</v>
      </c>
      <c r="B58" s="472"/>
      <c r="C58" s="494"/>
      <c r="D58" s="60" t="s">
        <v>324</v>
      </c>
      <c r="E58" s="60" t="s">
        <v>37</v>
      </c>
      <c r="F58" s="60" t="s">
        <v>38</v>
      </c>
      <c r="G58" s="10" t="s">
        <v>109</v>
      </c>
      <c r="H58" s="10" t="s">
        <v>63</v>
      </c>
      <c r="I58" s="461"/>
      <c r="J58" s="10" t="s">
        <v>142</v>
      </c>
      <c r="K58" s="10"/>
      <c r="L58" s="450"/>
      <c r="M58" s="42"/>
      <c r="N58" s="42"/>
      <c r="O58" s="42"/>
      <c r="P58" s="42"/>
      <c r="Q58" s="42"/>
      <c r="R58" s="42"/>
      <c r="S58" s="42"/>
    </row>
    <row r="59" spans="1:19" ht="63">
      <c r="A59" s="23" t="s">
        <v>189</v>
      </c>
      <c r="B59" s="472"/>
      <c r="C59" s="494"/>
      <c r="D59" s="61" t="s">
        <v>325</v>
      </c>
      <c r="E59" s="61" t="s">
        <v>48</v>
      </c>
      <c r="F59" s="61" t="s">
        <v>38</v>
      </c>
      <c r="G59" s="10" t="s">
        <v>109</v>
      </c>
      <c r="H59" s="10" t="s">
        <v>65</v>
      </c>
      <c r="I59" s="10" t="s">
        <v>52</v>
      </c>
      <c r="J59" s="10" t="s">
        <v>142</v>
      </c>
      <c r="K59" s="10" t="s">
        <v>49</v>
      </c>
      <c r="L59" s="450"/>
      <c r="M59" s="42"/>
      <c r="N59" s="42"/>
      <c r="O59" s="42"/>
      <c r="P59" s="42"/>
      <c r="Q59" s="42"/>
      <c r="R59" s="42"/>
      <c r="S59" s="42"/>
    </row>
    <row r="60" spans="1:19" ht="16.5" thickBot="1">
      <c r="A60" s="23" t="s">
        <v>189</v>
      </c>
      <c r="B60" s="472"/>
      <c r="C60" s="495"/>
      <c r="D60" s="62" t="s">
        <v>332</v>
      </c>
      <c r="E60" s="10" t="s">
        <v>48</v>
      </c>
      <c r="F60" s="10" t="s">
        <v>75</v>
      </c>
      <c r="G60" s="10" t="s">
        <v>109</v>
      </c>
      <c r="H60" s="10" t="s">
        <v>76</v>
      </c>
      <c r="I60" s="10" t="s">
        <v>76</v>
      </c>
      <c r="J60" s="10" t="s">
        <v>142</v>
      </c>
      <c r="K60" s="10" t="s">
        <v>361</v>
      </c>
      <c r="L60" s="450"/>
      <c r="M60" s="42"/>
      <c r="N60" s="42"/>
      <c r="O60" s="42"/>
      <c r="P60" s="42"/>
      <c r="Q60" s="42"/>
      <c r="R60" s="42"/>
      <c r="S60" s="42"/>
    </row>
    <row r="61" spans="1:19" ht="32.25" thickTop="1">
      <c r="A61" s="23" t="s">
        <v>189</v>
      </c>
      <c r="B61" s="473"/>
      <c r="C61" s="57" t="s">
        <v>335</v>
      </c>
      <c r="D61" s="30" t="s">
        <v>149</v>
      </c>
      <c r="E61" s="30" t="s">
        <v>69</v>
      </c>
      <c r="F61" s="30" t="s">
        <v>149</v>
      </c>
      <c r="G61" s="30" t="s">
        <v>109</v>
      </c>
      <c r="H61" s="30" t="s">
        <v>65</v>
      </c>
      <c r="I61" s="30" t="s">
        <v>70</v>
      </c>
      <c r="J61" s="30" t="s">
        <v>142</v>
      </c>
      <c r="K61" s="30" t="s">
        <v>71</v>
      </c>
      <c r="L61" s="450"/>
      <c r="M61" s="42"/>
      <c r="N61" s="42"/>
      <c r="O61" s="42"/>
      <c r="P61" s="42"/>
      <c r="Q61" s="42"/>
      <c r="R61" s="42"/>
      <c r="S61" s="42"/>
    </row>
    <row r="62" spans="1:19">
      <c r="A62" s="23" t="s">
        <v>189</v>
      </c>
      <c r="B62" s="473"/>
      <c r="C62" s="496" t="s">
        <v>334</v>
      </c>
      <c r="D62" s="10" t="s">
        <v>150</v>
      </c>
      <c r="E62" s="10" t="s">
        <v>43</v>
      </c>
      <c r="F62" s="10" t="s">
        <v>150</v>
      </c>
      <c r="G62" s="10" t="s">
        <v>109</v>
      </c>
      <c r="H62" s="10" t="s">
        <v>65</v>
      </c>
      <c r="I62" s="10" t="s">
        <v>70</v>
      </c>
      <c r="J62" s="10" t="s">
        <v>142</v>
      </c>
      <c r="K62" s="10" t="s">
        <v>73</v>
      </c>
      <c r="L62" s="450"/>
      <c r="M62" s="42"/>
      <c r="N62" s="42"/>
      <c r="O62" s="42"/>
      <c r="P62" s="42"/>
      <c r="Q62" s="42"/>
      <c r="R62" s="42"/>
      <c r="S62" s="42"/>
    </row>
    <row r="63" spans="1:19" ht="31.5">
      <c r="A63" s="23" t="s">
        <v>189</v>
      </c>
      <c r="B63" s="473"/>
      <c r="C63" s="497"/>
      <c r="D63" s="10" t="s">
        <v>151</v>
      </c>
      <c r="E63" s="10" t="s">
        <v>37</v>
      </c>
      <c r="F63" s="10" t="s">
        <v>404</v>
      </c>
      <c r="G63" s="10" t="s">
        <v>216</v>
      </c>
      <c r="H63" s="10" t="s">
        <v>76</v>
      </c>
      <c r="I63" s="10" t="s">
        <v>76</v>
      </c>
      <c r="J63" s="10" t="s">
        <v>142</v>
      </c>
      <c r="K63" s="10" t="s">
        <v>77</v>
      </c>
      <c r="L63" s="468"/>
      <c r="M63" s="41"/>
      <c r="N63" s="41"/>
      <c r="O63" s="41"/>
      <c r="P63" s="41"/>
      <c r="Q63" s="41"/>
      <c r="R63" s="41"/>
      <c r="S63" s="41"/>
    </row>
    <row r="64" spans="1:19" ht="16.5" thickBot="1">
      <c r="A64" s="23" t="s">
        <v>189</v>
      </c>
      <c r="B64" s="473"/>
      <c r="C64" s="498"/>
      <c r="D64" s="10" t="s">
        <v>41</v>
      </c>
      <c r="E64" s="10" t="s">
        <v>37</v>
      </c>
      <c r="F64" s="36" t="s">
        <v>405</v>
      </c>
      <c r="G64" s="10" t="s">
        <v>406</v>
      </c>
      <c r="H64" s="36" t="s">
        <v>76</v>
      </c>
      <c r="I64" s="36" t="s">
        <v>76</v>
      </c>
      <c r="J64" s="36" t="s">
        <v>142</v>
      </c>
      <c r="K64" s="10"/>
      <c r="L64" s="468"/>
      <c r="M64" s="41"/>
      <c r="N64" s="41"/>
      <c r="O64" s="41"/>
      <c r="P64" s="41"/>
      <c r="Q64" s="41"/>
      <c r="R64" s="41"/>
      <c r="S64" s="41"/>
    </row>
    <row r="65" spans="1:20" ht="48" thickTop="1">
      <c r="A65" s="23" t="s">
        <v>189</v>
      </c>
      <c r="B65" s="473"/>
      <c r="C65" s="57" t="s">
        <v>377</v>
      </c>
      <c r="D65" s="30" t="s">
        <v>152</v>
      </c>
      <c r="E65" s="30" t="s">
        <v>37</v>
      </c>
      <c r="F65" s="10" t="s">
        <v>38</v>
      </c>
      <c r="G65" s="30"/>
      <c r="H65" s="10" t="s">
        <v>76</v>
      </c>
      <c r="I65" s="10" t="s">
        <v>76</v>
      </c>
      <c r="J65" s="10" t="s">
        <v>142</v>
      </c>
      <c r="K65" s="30" t="s">
        <v>229</v>
      </c>
      <c r="L65" s="468"/>
      <c r="M65" s="41"/>
      <c r="N65" s="41"/>
      <c r="O65" s="41"/>
      <c r="P65" s="41"/>
      <c r="Q65" s="41"/>
      <c r="R65" s="41"/>
      <c r="S65" s="41"/>
    </row>
    <row r="66" spans="1:20">
      <c r="A66" s="23" t="s">
        <v>189</v>
      </c>
      <c r="B66" s="473"/>
      <c r="C66" s="10"/>
      <c r="D66" s="10"/>
      <c r="E66" s="10"/>
      <c r="F66" s="10"/>
      <c r="G66" s="10"/>
      <c r="H66" s="10" t="s">
        <v>76</v>
      </c>
      <c r="I66" s="10" t="s">
        <v>76</v>
      </c>
      <c r="J66" s="10" t="s">
        <v>142</v>
      </c>
      <c r="K66" s="10"/>
      <c r="L66" s="468"/>
      <c r="M66" s="41"/>
      <c r="N66" s="41"/>
      <c r="O66" s="41"/>
      <c r="P66" s="41"/>
      <c r="Q66" s="41"/>
      <c r="R66" s="41"/>
      <c r="S66" s="41"/>
    </row>
    <row r="67" spans="1:20">
      <c r="A67" s="23" t="s">
        <v>189</v>
      </c>
      <c r="B67" s="473"/>
      <c r="C67" s="10"/>
      <c r="D67" s="10" t="s">
        <v>153</v>
      </c>
      <c r="E67" s="10" t="s">
        <v>234</v>
      </c>
      <c r="F67" s="10" t="s">
        <v>75</v>
      </c>
      <c r="G67" s="10"/>
      <c r="H67" s="10" t="s">
        <v>76</v>
      </c>
      <c r="I67" s="10" t="s">
        <v>76</v>
      </c>
      <c r="J67" s="10" t="s">
        <v>142</v>
      </c>
      <c r="K67" s="10"/>
      <c r="L67" s="468"/>
      <c r="M67" s="41"/>
      <c r="N67" s="41"/>
      <c r="O67" s="41"/>
      <c r="P67" s="41"/>
      <c r="Q67" s="41"/>
      <c r="R67" s="41"/>
      <c r="S67" s="41"/>
    </row>
    <row r="68" spans="1:20" ht="48" thickBot="1">
      <c r="A68" s="23" t="s">
        <v>189</v>
      </c>
      <c r="B68" s="473"/>
      <c r="C68" s="10"/>
      <c r="D68" s="10" t="s">
        <v>154</v>
      </c>
      <c r="E68" s="10" t="s">
        <v>235</v>
      </c>
      <c r="F68" s="10" t="s">
        <v>403</v>
      </c>
      <c r="G68" s="10" t="s">
        <v>109</v>
      </c>
      <c r="H68" s="36"/>
      <c r="I68" s="36"/>
      <c r="J68" s="36" t="s">
        <v>142</v>
      </c>
      <c r="K68" s="10" t="s">
        <v>236</v>
      </c>
      <c r="L68" s="468"/>
      <c r="M68" s="41"/>
      <c r="N68" s="41"/>
      <c r="O68" s="41"/>
      <c r="P68" s="41"/>
      <c r="Q68" s="41"/>
      <c r="R68" s="41"/>
      <c r="S68" s="41"/>
    </row>
    <row r="69" spans="1:20" ht="16.5" thickTop="1">
      <c r="A69" s="23" t="s">
        <v>189</v>
      </c>
      <c r="B69" s="473"/>
      <c r="C69" s="30" t="s">
        <v>90</v>
      </c>
      <c r="D69" s="30" t="s">
        <v>91</v>
      </c>
      <c r="E69" s="30"/>
      <c r="F69" s="30" t="s">
        <v>92</v>
      </c>
      <c r="G69" s="30"/>
      <c r="H69" s="10" t="s">
        <v>76</v>
      </c>
      <c r="I69" s="10" t="s">
        <v>76</v>
      </c>
      <c r="J69" s="10"/>
      <c r="K69" s="30"/>
      <c r="L69" s="468"/>
      <c r="M69" s="41"/>
      <c r="N69" s="41"/>
      <c r="O69" s="41"/>
      <c r="P69" s="41"/>
      <c r="Q69" s="41"/>
      <c r="R69" s="41"/>
      <c r="S69" s="41"/>
    </row>
    <row r="70" spans="1:20">
      <c r="A70" s="23" t="s">
        <v>189</v>
      </c>
      <c r="B70" s="473"/>
      <c r="C70" s="10"/>
      <c r="D70" s="10" t="s">
        <v>93</v>
      </c>
      <c r="E70" s="10"/>
      <c r="F70" s="10" t="s">
        <v>225</v>
      </c>
      <c r="G70" s="10"/>
      <c r="H70" s="10" t="s">
        <v>76</v>
      </c>
      <c r="I70" s="10" t="s">
        <v>76</v>
      </c>
      <c r="J70" s="10"/>
      <c r="K70" s="10" t="s">
        <v>94</v>
      </c>
      <c r="L70" s="468"/>
      <c r="M70" s="41"/>
      <c r="N70" s="41"/>
      <c r="O70" s="41"/>
      <c r="P70" s="41"/>
      <c r="Q70" s="41"/>
      <c r="R70" s="41"/>
      <c r="S70" s="41"/>
    </row>
    <row r="71" spans="1:20" ht="15.75" customHeight="1">
      <c r="A71" s="23" t="s">
        <v>189</v>
      </c>
      <c r="B71" s="473"/>
      <c r="C71" s="10"/>
      <c r="D71" s="10" t="s">
        <v>95</v>
      </c>
      <c r="E71" s="10"/>
      <c r="F71" s="10" t="s">
        <v>226</v>
      </c>
      <c r="G71" s="10"/>
      <c r="H71" s="10" t="s">
        <v>76</v>
      </c>
      <c r="I71" s="10" t="s">
        <v>76</v>
      </c>
      <c r="J71" s="10"/>
      <c r="K71" s="10" t="s">
        <v>96</v>
      </c>
      <c r="L71" s="468"/>
      <c r="M71" s="41"/>
      <c r="N71" s="41"/>
      <c r="O71" s="41"/>
      <c r="P71" s="41"/>
      <c r="Q71" s="41"/>
      <c r="R71" s="41"/>
      <c r="S71" s="41"/>
    </row>
    <row r="72" spans="1:20" ht="15.75" customHeight="1">
      <c r="A72" s="23" t="s">
        <v>189</v>
      </c>
      <c r="B72" s="473"/>
      <c r="C72" s="10"/>
      <c r="D72" s="10" t="s">
        <v>97</v>
      </c>
      <c r="E72" s="10"/>
      <c r="F72" s="10" t="s">
        <v>227</v>
      </c>
      <c r="G72" s="10"/>
      <c r="H72" s="10" t="s">
        <v>76</v>
      </c>
      <c r="I72" s="10" t="s">
        <v>76</v>
      </c>
      <c r="J72" s="10"/>
      <c r="K72" s="10" t="s">
        <v>228</v>
      </c>
      <c r="L72" s="468"/>
      <c r="M72" s="41"/>
      <c r="N72" s="41"/>
      <c r="O72" s="41"/>
      <c r="P72" s="41"/>
      <c r="Q72" s="41"/>
      <c r="R72" s="41"/>
      <c r="S72" s="41"/>
    </row>
    <row r="73" spans="1:20" ht="16.5" thickBot="1">
      <c r="A73" s="23" t="s">
        <v>188</v>
      </c>
      <c r="B73" s="2"/>
      <c r="C73" s="37"/>
      <c r="D73" s="2"/>
      <c r="E73" s="2"/>
      <c r="F73" s="2"/>
      <c r="G73" s="2"/>
      <c r="H73" s="2"/>
      <c r="I73" s="2"/>
      <c r="J73" s="2"/>
      <c r="K73" s="2"/>
      <c r="T73" s="9" t="s">
        <v>238</v>
      </c>
    </row>
    <row r="74" spans="1:20" ht="48" thickTop="1">
      <c r="B74" s="19"/>
      <c r="C74" s="47" t="s">
        <v>372</v>
      </c>
      <c r="K74" s="9" t="s">
        <v>407</v>
      </c>
    </row>
    <row r="75" spans="1:20" ht="99.75">
      <c r="B75" s="19"/>
      <c r="C75" s="9" t="s">
        <v>376</v>
      </c>
      <c r="D75" s="9" t="s">
        <v>408</v>
      </c>
      <c r="E75" s="41" t="s">
        <v>3623</v>
      </c>
      <c r="F75" s="41"/>
      <c r="G75" s="41"/>
      <c r="H75" s="41"/>
      <c r="I75" s="9" t="s">
        <v>388</v>
      </c>
      <c r="J75" s="41" t="s">
        <v>410</v>
      </c>
      <c r="K75" s="41" t="s">
        <v>409</v>
      </c>
    </row>
    <row r="76" spans="1:20" ht="31.5">
      <c r="B76" s="19"/>
      <c r="D76" s="9" t="s">
        <v>390</v>
      </c>
    </row>
    <row r="77" spans="1:20">
      <c r="B77" s="19"/>
    </row>
    <row r="78" spans="1:20">
      <c r="B78" s="19"/>
    </row>
    <row r="79" spans="1:20" ht="16.5" thickBot="1">
      <c r="B79" s="19"/>
    </row>
    <row r="80" spans="1:20" ht="24" thickTop="1">
      <c r="B80" s="19"/>
      <c r="C80" s="47" t="s">
        <v>373</v>
      </c>
    </row>
    <row r="81" spans="2:20" ht="135" customHeight="1">
      <c r="B81" s="19"/>
      <c r="C81" s="9" t="s">
        <v>383</v>
      </c>
      <c r="D81" s="9" t="s">
        <v>391</v>
      </c>
      <c r="F81" s="41" t="s">
        <v>3624</v>
      </c>
      <c r="G81" s="9" t="s">
        <v>3625</v>
      </c>
      <c r="H81" s="9" t="s">
        <v>3626</v>
      </c>
      <c r="I81" s="9" t="s">
        <v>388</v>
      </c>
    </row>
    <row r="82" spans="2:20" ht="20.25">
      <c r="B82" s="19"/>
      <c r="C82" s="102"/>
    </row>
    <row r="83" spans="2:20" ht="20.25">
      <c r="B83" s="19"/>
      <c r="C83" s="102"/>
    </row>
    <row r="84" spans="2:20" ht="20.25">
      <c r="B84" s="19"/>
      <c r="C84" s="102"/>
    </row>
    <row r="85" spans="2:20" ht="20.25">
      <c r="B85" s="19"/>
      <c r="C85" s="102"/>
      <c r="T85" s="9" t="s">
        <v>437</v>
      </c>
    </row>
    <row r="86" spans="2:20" ht="47.25">
      <c r="B86" s="19"/>
      <c r="C86" s="102" t="s">
        <v>440</v>
      </c>
      <c r="D86" s="9" t="s">
        <v>444</v>
      </c>
      <c r="L86" s="9" t="s">
        <v>438</v>
      </c>
      <c r="M86" s="9" t="s">
        <v>439</v>
      </c>
      <c r="N86" s="9" t="s">
        <v>442</v>
      </c>
    </row>
    <row r="87" spans="2:20" ht="78.75">
      <c r="B87" s="19"/>
      <c r="C87" s="102"/>
      <c r="O87" s="9" t="s">
        <v>441</v>
      </c>
    </row>
    <row r="88" spans="2:20" ht="31.5">
      <c r="B88" s="19"/>
      <c r="C88" s="102"/>
      <c r="P88" s="9" t="s">
        <v>443</v>
      </c>
    </row>
    <row r="89" spans="2:20" ht="47.25">
      <c r="B89" s="19"/>
      <c r="C89" s="102" t="s">
        <v>445</v>
      </c>
      <c r="L89" s="9" t="s">
        <v>447</v>
      </c>
    </row>
    <row r="90" spans="2:20" ht="47.25">
      <c r="B90" s="19"/>
      <c r="C90" s="102"/>
      <c r="M90" s="9" t="s">
        <v>446</v>
      </c>
    </row>
    <row r="91" spans="2:20" ht="47.25">
      <c r="B91" s="19"/>
      <c r="C91" s="102"/>
      <c r="N91" s="9" t="s">
        <v>448</v>
      </c>
    </row>
    <row r="92" spans="2:20" ht="47.25">
      <c r="B92" s="19"/>
      <c r="C92" s="102"/>
      <c r="O92" s="9" t="s">
        <v>449</v>
      </c>
    </row>
    <row r="93" spans="2:20" ht="47.25">
      <c r="B93" s="19"/>
      <c r="C93" s="102"/>
      <c r="P93" s="9" t="s">
        <v>450</v>
      </c>
    </row>
    <row r="94" spans="2:20" ht="31.5">
      <c r="B94" s="19"/>
      <c r="C94" s="102"/>
      <c r="Q94" s="9" t="s">
        <v>452</v>
      </c>
    </row>
    <row r="95" spans="2:20" ht="20.25">
      <c r="B95" s="19"/>
      <c r="C95" s="102"/>
      <c r="R95" s="9" t="s">
        <v>453</v>
      </c>
    </row>
    <row r="96" spans="2:20" ht="47.25">
      <c r="B96" s="19"/>
      <c r="C96" s="102"/>
      <c r="S96" s="9" t="s">
        <v>451</v>
      </c>
    </row>
    <row r="97" spans="2:4" ht="20.25">
      <c r="B97" s="19"/>
      <c r="C97" s="102"/>
    </row>
    <row r="98" spans="2:4" ht="20.25">
      <c r="B98" s="19"/>
      <c r="C98" s="102"/>
    </row>
    <row r="99" spans="2:4" ht="20.25">
      <c r="B99" s="19"/>
      <c r="C99" s="102"/>
    </row>
    <row r="100" spans="2:4" ht="20.25">
      <c r="B100" s="19"/>
      <c r="C100" s="102"/>
    </row>
    <row r="101" spans="2:4" ht="21" thickBot="1">
      <c r="B101" s="19"/>
      <c r="C101" s="102"/>
    </row>
    <row r="102" spans="2:4" ht="24" thickTop="1">
      <c r="B102" s="19"/>
      <c r="C102" s="47" t="s">
        <v>374</v>
      </c>
    </row>
    <row r="103" spans="2:4" ht="31.5">
      <c r="B103" s="19"/>
      <c r="C103" s="9" t="s">
        <v>384</v>
      </c>
      <c r="D103" s="9" t="s">
        <v>402</v>
      </c>
    </row>
    <row r="104" spans="2:4">
      <c r="B104" s="19"/>
    </row>
    <row r="105" spans="2:4">
      <c r="B105" s="19"/>
    </row>
    <row r="106" spans="2:4" ht="16.5" thickBot="1">
      <c r="B106" s="19"/>
    </row>
    <row r="107" spans="2:4" ht="32.25" thickTop="1">
      <c r="B107" s="19"/>
      <c r="C107" s="47" t="s">
        <v>375</v>
      </c>
      <c r="D107" s="9" t="s">
        <v>3823</v>
      </c>
    </row>
    <row r="108" spans="2:4">
      <c r="B108" s="19"/>
      <c r="C108" s="9" t="s">
        <v>385</v>
      </c>
    </row>
    <row r="109" spans="2:4">
      <c r="B109" s="19"/>
    </row>
    <row r="110" spans="2:4">
      <c r="B110" s="19"/>
    </row>
    <row r="111" spans="2:4" ht="16.5" thickBot="1">
      <c r="B111" s="19"/>
    </row>
    <row r="112" spans="2:4" ht="24" thickTop="1">
      <c r="B112" s="19"/>
      <c r="C112" s="47" t="s">
        <v>337</v>
      </c>
    </row>
    <row r="113" spans="2:10" ht="31.5">
      <c r="B113" s="19"/>
      <c r="C113" s="9" t="s">
        <v>386</v>
      </c>
      <c r="D113" s="9" t="s">
        <v>346</v>
      </c>
    </row>
    <row r="114" spans="2:10">
      <c r="B114" s="19"/>
    </row>
    <row r="115" spans="2:10" ht="16.5" thickBot="1">
      <c r="B115" s="19"/>
    </row>
    <row r="116" spans="2:10" ht="24" thickTop="1">
      <c r="B116" s="19"/>
      <c r="C116" s="47" t="s">
        <v>338</v>
      </c>
    </row>
    <row r="117" spans="2:10">
      <c r="B117" s="19"/>
      <c r="C117" s="9" t="s">
        <v>339</v>
      </c>
    </row>
    <row r="118" spans="2:10">
      <c r="B118" s="19"/>
    </row>
    <row r="119" spans="2:10">
      <c r="B119" s="19"/>
    </row>
    <row r="120" spans="2:10">
      <c r="B120" s="19"/>
    </row>
    <row r="121" spans="2:10" ht="16.5" thickBot="1">
      <c r="B121" s="19"/>
    </row>
    <row r="122" spans="2:10" ht="24" thickTop="1">
      <c r="B122" s="19"/>
      <c r="C122" s="47" t="s">
        <v>146</v>
      </c>
    </row>
    <row r="123" spans="2:10" ht="21" thickBot="1">
      <c r="B123" s="19"/>
      <c r="C123" s="53" t="s">
        <v>352</v>
      </c>
    </row>
    <row r="124" spans="2:10" ht="12" customHeight="1">
      <c r="B124" s="19"/>
      <c r="C124" s="48" t="s">
        <v>156</v>
      </c>
      <c r="D124" s="14" t="s">
        <v>157</v>
      </c>
      <c r="E124" s="9" t="s">
        <v>341</v>
      </c>
      <c r="F124" s="490" t="s">
        <v>345</v>
      </c>
      <c r="G124" s="9" t="s">
        <v>343</v>
      </c>
      <c r="J124" s="9" t="s">
        <v>356</v>
      </c>
    </row>
    <row r="125" spans="2:10" ht="12" customHeight="1">
      <c r="B125" s="19"/>
      <c r="C125" s="49" t="s">
        <v>158</v>
      </c>
      <c r="D125" s="15" t="s">
        <v>159</v>
      </c>
      <c r="E125" s="9" t="s">
        <v>341</v>
      </c>
      <c r="F125" s="491"/>
      <c r="G125" s="9" t="s">
        <v>343</v>
      </c>
      <c r="J125" s="9" t="s">
        <v>356</v>
      </c>
    </row>
    <row r="126" spans="2:10" ht="12" customHeight="1">
      <c r="B126" s="19"/>
      <c r="C126" s="50" t="s">
        <v>160</v>
      </c>
      <c r="D126" s="16" t="s">
        <v>161</v>
      </c>
      <c r="E126" s="9" t="s">
        <v>341</v>
      </c>
      <c r="F126" s="491"/>
      <c r="G126" s="9" t="s">
        <v>343</v>
      </c>
      <c r="J126" s="9" t="s">
        <v>356</v>
      </c>
    </row>
    <row r="127" spans="2:10" ht="12" customHeight="1">
      <c r="B127" s="19"/>
      <c r="C127" s="51" t="s">
        <v>162</v>
      </c>
      <c r="D127" s="17" t="s">
        <v>163</v>
      </c>
      <c r="F127" s="491"/>
      <c r="J127" s="9" t="s">
        <v>358</v>
      </c>
    </row>
    <row r="128" spans="2:10" ht="12" customHeight="1">
      <c r="B128" s="19"/>
      <c r="C128" s="50" t="s">
        <v>164</v>
      </c>
      <c r="D128" s="16" t="s">
        <v>165</v>
      </c>
      <c r="E128" s="9" t="s">
        <v>341</v>
      </c>
      <c r="F128" s="491"/>
      <c r="G128" s="9" t="s">
        <v>343</v>
      </c>
      <c r="J128" s="9" t="s">
        <v>358</v>
      </c>
    </row>
    <row r="129" spans="1:10" ht="12" customHeight="1">
      <c r="B129" s="19"/>
      <c r="C129" s="49" t="s">
        <v>166</v>
      </c>
      <c r="D129" s="15" t="s">
        <v>159</v>
      </c>
      <c r="E129" s="9" t="s">
        <v>341</v>
      </c>
      <c r="F129" s="491"/>
      <c r="G129" s="9" t="s">
        <v>343</v>
      </c>
      <c r="J129" s="9" t="s">
        <v>358</v>
      </c>
    </row>
    <row r="130" spans="1:10" ht="12" customHeight="1">
      <c r="B130" s="19"/>
      <c r="C130" s="50" t="s">
        <v>167</v>
      </c>
      <c r="D130" s="16" t="s">
        <v>168</v>
      </c>
      <c r="E130" s="9" t="s">
        <v>342</v>
      </c>
      <c r="F130" s="491"/>
      <c r="G130" s="9" t="s">
        <v>343</v>
      </c>
      <c r="J130" s="9" t="s">
        <v>358</v>
      </c>
    </row>
    <row r="131" spans="1:10" ht="12" customHeight="1">
      <c r="B131" s="19"/>
      <c r="C131" s="51" t="s">
        <v>169</v>
      </c>
      <c r="D131" s="17" t="s">
        <v>163</v>
      </c>
      <c r="F131" s="491"/>
      <c r="J131" s="9" t="s">
        <v>358</v>
      </c>
    </row>
    <row r="132" spans="1:10" ht="12" customHeight="1">
      <c r="B132" s="19"/>
      <c r="C132" s="50" t="s">
        <v>170</v>
      </c>
      <c r="D132" s="16" t="s">
        <v>171</v>
      </c>
      <c r="E132" s="9" t="s">
        <v>342</v>
      </c>
      <c r="F132" s="491"/>
      <c r="G132" s="9" t="s">
        <v>343</v>
      </c>
      <c r="J132" s="9" t="s">
        <v>358</v>
      </c>
    </row>
    <row r="133" spans="1:10" ht="12" customHeight="1">
      <c r="B133" s="19"/>
      <c r="C133" s="49" t="s">
        <v>172</v>
      </c>
      <c r="D133" s="15" t="s">
        <v>168</v>
      </c>
      <c r="E133" s="9" t="s">
        <v>342</v>
      </c>
      <c r="F133" s="491"/>
      <c r="G133" s="9" t="s">
        <v>343</v>
      </c>
      <c r="J133" s="9" t="s">
        <v>358</v>
      </c>
    </row>
    <row r="134" spans="1:10" ht="12" customHeight="1">
      <c r="B134" s="19"/>
      <c r="C134" s="50" t="s">
        <v>173</v>
      </c>
      <c r="D134" s="16" t="s">
        <v>168</v>
      </c>
      <c r="E134" s="9" t="s">
        <v>342</v>
      </c>
      <c r="F134" s="491"/>
      <c r="G134" s="9" t="s">
        <v>343</v>
      </c>
      <c r="J134" s="9" t="s">
        <v>358</v>
      </c>
    </row>
    <row r="135" spans="1:10" ht="12" customHeight="1">
      <c r="B135" s="19"/>
      <c r="C135" s="49" t="s">
        <v>174</v>
      </c>
      <c r="D135" s="15" t="s">
        <v>175</v>
      </c>
      <c r="E135" s="9" t="s">
        <v>342</v>
      </c>
      <c r="F135" s="491"/>
      <c r="G135" s="9" t="s">
        <v>343</v>
      </c>
      <c r="J135" s="9" t="s">
        <v>358</v>
      </c>
    </row>
    <row r="136" spans="1:10" ht="12" customHeight="1">
      <c r="B136" s="19"/>
      <c r="C136" s="50" t="s">
        <v>176</v>
      </c>
      <c r="D136" s="16" t="s">
        <v>175</v>
      </c>
      <c r="E136" s="9" t="s">
        <v>342</v>
      </c>
      <c r="F136" s="491"/>
      <c r="G136" s="9" t="s">
        <v>343</v>
      </c>
      <c r="J136" s="9" t="s">
        <v>358</v>
      </c>
    </row>
    <row r="137" spans="1:10" ht="12" customHeight="1">
      <c r="B137" s="19"/>
      <c r="C137" s="49" t="s">
        <v>177</v>
      </c>
      <c r="D137" s="15" t="s">
        <v>168</v>
      </c>
      <c r="E137" s="9" t="s">
        <v>342</v>
      </c>
      <c r="F137" s="491"/>
      <c r="G137" s="9" t="s">
        <v>343</v>
      </c>
      <c r="J137" s="9" t="s">
        <v>358</v>
      </c>
    </row>
    <row r="138" spans="1:10" ht="12" customHeight="1">
      <c r="B138" s="19"/>
      <c r="C138" s="50" t="s">
        <v>178</v>
      </c>
      <c r="D138" s="16" t="s">
        <v>175</v>
      </c>
      <c r="E138" s="9" t="s">
        <v>342</v>
      </c>
      <c r="F138" s="491"/>
      <c r="G138" s="9" t="s">
        <v>343</v>
      </c>
      <c r="J138" s="9" t="s">
        <v>358</v>
      </c>
    </row>
    <row r="139" spans="1:10" ht="12" customHeight="1">
      <c r="B139" s="19"/>
      <c r="C139" s="49" t="s">
        <v>179</v>
      </c>
      <c r="D139" s="15" t="s">
        <v>168</v>
      </c>
      <c r="E139" s="9" t="s">
        <v>342</v>
      </c>
      <c r="F139" s="491"/>
      <c r="G139" s="9" t="s">
        <v>343</v>
      </c>
      <c r="J139" s="9" t="s">
        <v>358</v>
      </c>
    </row>
    <row r="140" spans="1:10" ht="12" customHeight="1">
      <c r="B140" s="19"/>
      <c r="C140" s="50" t="s">
        <v>180</v>
      </c>
      <c r="D140" s="16" t="s">
        <v>168</v>
      </c>
      <c r="E140" s="9" t="s">
        <v>342</v>
      </c>
      <c r="F140" s="491"/>
      <c r="G140" s="9" t="s">
        <v>343</v>
      </c>
      <c r="J140" s="9" t="s">
        <v>358</v>
      </c>
    </row>
    <row r="141" spans="1:10" ht="12" customHeight="1">
      <c r="B141" s="19"/>
      <c r="C141" s="49" t="s">
        <v>181</v>
      </c>
      <c r="D141" s="15" t="s">
        <v>168</v>
      </c>
      <c r="E141" s="9" t="s">
        <v>342</v>
      </c>
      <c r="F141" s="491"/>
      <c r="G141" s="9" t="s">
        <v>343</v>
      </c>
      <c r="J141" s="9" t="s">
        <v>358</v>
      </c>
    </row>
    <row r="142" spans="1:10" ht="12" customHeight="1" thickBot="1">
      <c r="B142" s="19"/>
      <c r="C142" s="52" t="s">
        <v>182</v>
      </c>
      <c r="D142" s="18" t="s">
        <v>155</v>
      </c>
      <c r="E142" s="9" t="s">
        <v>344</v>
      </c>
      <c r="F142" s="491"/>
      <c r="G142" s="9" t="s">
        <v>343</v>
      </c>
      <c r="J142" s="9" t="s">
        <v>358</v>
      </c>
    </row>
    <row r="143" spans="1:10" ht="12" customHeight="1">
      <c r="B143" s="19"/>
      <c r="C143" s="53" t="s">
        <v>333</v>
      </c>
    </row>
    <row r="144" spans="1:10" s="64" customFormat="1" ht="12" customHeight="1">
      <c r="A144" s="63"/>
      <c r="B144" s="54"/>
      <c r="C144" s="55"/>
      <c r="D144" s="11" t="s">
        <v>56</v>
      </c>
      <c r="J144" s="64" t="s">
        <v>357</v>
      </c>
    </row>
    <row r="145" spans="1:10" s="64" customFormat="1" ht="12" customHeight="1">
      <c r="A145" s="63"/>
      <c r="B145" s="54"/>
      <c r="C145" s="55"/>
      <c r="D145" s="11" t="s">
        <v>122</v>
      </c>
      <c r="J145" s="64" t="s">
        <v>357</v>
      </c>
    </row>
    <row r="146" spans="1:10" s="64" customFormat="1" ht="12" customHeight="1">
      <c r="A146" s="63"/>
      <c r="B146" s="54"/>
      <c r="C146" s="55"/>
      <c r="D146" s="11" t="s">
        <v>123</v>
      </c>
      <c r="J146" s="64" t="s">
        <v>357</v>
      </c>
    </row>
    <row r="147" spans="1:10" s="64" customFormat="1" ht="12" customHeight="1">
      <c r="A147" s="63"/>
      <c r="B147" s="54"/>
      <c r="C147" s="55"/>
      <c r="D147" s="11" t="s">
        <v>124</v>
      </c>
      <c r="J147" s="64" t="s">
        <v>357</v>
      </c>
    </row>
    <row r="148" spans="1:10" s="64" customFormat="1" ht="12" customHeight="1">
      <c r="A148" s="63"/>
      <c r="B148" s="54"/>
      <c r="C148" s="53" t="s">
        <v>147</v>
      </c>
    </row>
    <row r="149" spans="1:10" s="64" customFormat="1" ht="12" customHeight="1">
      <c r="A149" s="63"/>
      <c r="B149" s="54"/>
      <c r="C149" s="55"/>
      <c r="D149" s="11" t="s">
        <v>125</v>
      </c>
      <c r="J149" s="64" t="s">
        <v>357</v>
      </c>
    </row>
    <row r="150" spans="1:10" s="64" customFormat="1" ht="12" customHeight="1">
      <c r="A150" s="63"/>
      <c r="B150" s="54"/>
      <c r="C150" s="55"/>
      <c r="D150" s="11" t="s">
        <v>126</v>
      </c>
      <c r="J150" s="64" t="s">
        <v>357</v>
      </c>
    </row>
    <row r="151" spans="1:10" s="64" customFormat="1" ht="12" customHeight="1">
      <c r="A151" s="63"/>
      <c r="B151" s="54"/>
      <c r="C151" s="55"/>
      <c r="D151" s="11" t="s">
        <v>127</v>
      </c>
      <c r="J151" s="64" t="s">
        <v>357</v>
      </c>
    </row>
    <row r="152" spans="1:10" s="64" customFormat="1" ht="12" customHeight="1">
      <c r="A152" s="63"/>
      <c r="B152" s="54"/>
      <c r="C152" s="55"/>
      <c r="D152" s="11" t="s">
        <v>128</v>
      </c>
      <c r="J152" s="64" t="s">
        <v>357</v>
      </c>
    </row>
    <row r="153" spans="1:10" s="64" customFormat="1" ht="12" customHeight="1">
      <c r="A153" s="63"/>
      <c r="B153" s="54"/>
      <c r="C153" s="55"/>
      <c r="D153" s="11" t="s">
        <v>129</v>
      </c>
      <c r="E153" s="64" t="s">
        <v>344</v>
      </c>
      <c r="J153" s="64" t="s">
        <v>142</v>
      </c>
    </row>
    <row r="154" spans="1:10" s="64" customFormat="1" ht="12" customHeight="1">
      <c r="A154" s="63"/>
      <c r="B154" s="54"/>
      <c r="C154" s="55"/>
      <c r="D154" s="11" t="s">
        <v>130</v>
      </c>
      <c r="E154" s="64" t="s">
        <v>344</v>
      </c>
      <c r="J154" s="64" t="s">
        <v>142</v>
      </c>
    </row>
    <row r="155" spans="1:10" s="64" customFormat="1" ht="12" customHeight="1">
      <c r="A155" s="63"/>
      <c r="B155" s="54"/>
      <c r="C155" s="55"/>
      <c r="D155" s="11" t="s">
        <v>131</v>
      </c>
      <c r="E155" s="64" t="s">
        <v>344</v>
      </c>
      <c r="J155" s="64" t="s">
        <v>142</v>
      </c>
    </row>
    <row r="156" spans="1:10" s="64" customFormat="1" ht="12" customHeight="1">
      <c r="A156" s="63"/>
      <c r="B156" s="54"/>
      <c r="C156" s="55"/>
      <c r="D156" s="11" t="s">
        <v>132</v>
      </c>
      <c r="E156" s="64" t="s">
        <v>344</v>
      </c>
      <c r="J156" s="64" t="s">
        <v>142</v>
      </c>
    </row>
    <row r="157" spans="1:10" s="64" customFormat="1" ht="12" customHeight="1">
      <c r="A157" s="63"/>
      <c r="B157" s="54"/>
      <c r="C157" s="55"/>
      <c r="D157" s="11" t="s">
        <v>133</v>
      </c>
    </row>
    <row r="158" spans="1:10" s="64" customFormat="1" ht="12" customHeight="1">
      <c r="A158" s="63"/>
      <c r="B158" s="54"/>
      <c r="C158" s="55"/>
      <c r="D158" s="11" t="s">
        <v>134</v>
      </c>
    </row>
    <row r="159" spans="1:10" s="64" customFormat="1" ht="12" customHeight="1">
      <c r="A159" s="63"/>
      <c r="B159" s="54"/>
      <c r="C159" s="55"/>
      <c r="D159" s="11" t="s">
        <v>135</v>
      </c>
    </row>
    <row r="160" spans="1:10" s="64" customFormat="1" ht="12" customHeight="1">
      <c r="A160" s="63"/>
      <c r="B160" s="54"/>
      <c r="C160" s="55"/>
      <c r="D160" s="11" t="s">
        <v>136</v>
      </c>
    </row>
    <row r="161" spans="1:11" s="64" customFormat="1" ht="12" customHeight="1">
      <c r="A161" s="63"/>
      <c r="B161" s="54"/>
      <c r="C161" s="53" t="s">
        <v>353</v>
      </c>
    </row>
    <row r="162" spans="1:11" s="64" customFormat="1" ht="12" customHeight="1">
      <c r="A162" s="63"/>
      <c r="B162" s="54"/>
      <c r="C162" s="55"/>
      <c r="D162" s="11" t="s">
        <v>137</v>
      </c>
    </row>
    <row r="163" spans="1:11" s="64" customFormat="1" ht="12" customHeight="1">
      <c r="A163" s="63"/>
      <c r="B163" s="54"/>
      <c r="C163" s="55"/>
      <c r="D163" s="11" t="s">
        <v>138</v>
      </c>
    </row>
    <row r="164" spans="1:11" s="64" customFormat="1" ht="12" customHeight="1">
      <c r="A164" s="63"/>
      <c r="B164" s="54"/>
      <c r="C164" s="55"/>
      <c r="D164" s="11" t="s">
        <v>148</v>
      </c>
    </row>
    <row r="165" spans="1:11" s="64" customFormat="1" ht="12" customHeight="1">
      <c r="A165" s="63"/>
      <c r="B165" s="54"/>
      <c r="C165" s="55"/>
      <c r="D165" s="11" t="s">
        <v>139</v>
      </c>
    </row>
    <row r="166" spans="1:11" s="64" customFormat="1" ht="12" customHeight="1">
      <c r="A166" s="63"/>
      <c r="B166" s="54"/>
      <c r="C166" s="55"/>
      <c r="D166" s="11" t="s">
        <v>140</v>
      </c>
    </row>
    <row r="167" spans="1:11" s="64" customFormat="1" ht="12" customHeight="1">
      <c r="A167" s="63"/>
      <c r="B167" s="54"/>
      <c r="C167" s="55"/>
      <c r="D167" s="11" t="s">
        <v>141</v>
      </c>
    </row>
    <row r="168" spans="1:11" s="64" customFormat="1" ht="12" customHeight="1">
      <c r="A168" s="63"/>
      <c r="B168" s="54"/>
      <c r="C168" s="55"/>
      <c r="D168" s="11"/>
    </row>
    <row r="169" spans="1:11" ht="12" customHeight="1"/>
    <row r="170" spans="1:11" ht="12" customHeight="1">
      <c r="A170" s="23" t="s">
        <v>221</v>
      </c>
      <c r="B170" s="480" t="s">
        <v>98</v>
      </c>
      <c r="C170" s="6" t="s">
        <v>347</v>
      </c>
      <c r="D170" s="485" t="s">
        <v>380</v>
      </c>
      <c r="E170" s="468"/>
      <c r="F170" s="468"/>
      <c r="G170" s="468"/>
      <c r="H170" s="468"/>
      <c r="I170" s="468"/>
      <c r="J170" s="468"/>
      <c r="K170" s="468"/>
    </row>
    <row r="171" spans="1:11" ht="12" customHeight="1">
      <c r="A171" s="23" t="s">
        <v>189</v>
      </c>
      <c r="B171" s="480"/>
      <c r="C171" s="6" t="s">
        <v>348</v>
      </c>
      <c r="D171" s="485" t="s">
        <v>381</v>
      </c>
      <c r="E171" s="468"/>
      <c r="F171" s="468"/>
      <c r="G171" s="468"/>
      <c r="H171" s="468"/>
      <c r="I171" s="468"/>
      <c r="J171" s="468"/>
      <c r="K171" s="468"/>
    </row>
    <row r="172" spans="1:11" ht="12" customHeight="1">
      <c r="A172" s="23" t="s">
        <v>189</v>
      </c>
      <c r="B172" s="480"/>
      <c r="C172" s="6" t="s">
        <v>349</v>
      </c>
      <c r="D172" s="485" t="s">
        <v>306</v>
      </c>
      <c r="E172" s="468"/>
      <c r="F172" s="468"/>
      <c r="G172" s="468"/>
      <c r="H172" s="468"/>
      <c r="I172" s="468"/>
      <c r="J172" s="468"/>
      <c r="K172" s="468"/>
    </row>
    <row r="173" spans="1:11" ht="12" customHeight="1">
      <c r="A173" s="23" t="s">
        <v>189</v>
      </c>
      <c r="B173" s="480"/>
      <c r="C173" s="6" t="s">
        <v>350</v>
      </c>
      <c r="D173" s="485" t="s">
        <v>382</v>
      </c>
      <c r="E173" s="468"/>
      <c r="F173" s="468"/>
      <c r="G173" s="468"/>
      <c r="H173" s="468"/>
      <c r="I173" s="468"/>
      <c r="J173" s="468"/>
      <c r="K173" s="468"/>
    </row>
    <row r="174" spans="1:11" ht="12" customHeight="1">
      <c r="A174" s="23" t="s">
        <v>189</v>
      </c>
      <c r="B174" s="480"/>
      <c r="C174" s="6" t="s">
        <v>351</v>
      </c>
      <c r="D174" s="6"/>
      <c r="E174" s="6"/>
      <c r="F174" s="6"/>
      <c r="G174" s="6"/>
      <c r="H174" s="6"/>
      <c r="I174" s="6"/>
      <c r="J174" s="6"/>
      <c r="K174" s="6"/>
    </row>
    <row r="175" spans="1:11" ht="12" customHeight="1">
      <c r="A175" s="23" t="s">
        <v>189</v>
      </c>
      <c r="B175" s="477" t="s">
        <v>101</v>
      </c>
      <c r="C175" s="65" t="s">
        <v>102</v>
      </c>
      <c r="D175" s="65" t="s">
        <v>103</v>
      </c>
      <c r="E175" s="65" t="s">
        <v>99</v>
      </c>
      <c r="F175" s="65"/>
      <c r="G175" s="65"/>
      <c r="H175" s="65"/>
      <c r="I175" s="65"/>
      <c r="J175" s="65"/>
      <c r="K175" s="65"/>
    </row>
    <row r="176" spans="1:11" ht="12" customHeight="1">
      <c r="A176" s="23" t="s">
        <v>189</v>
      </c>
      <c r="B176" s="478"/>
      <c r="C176" s="65"/>
      <c r="D176" s="65" t="s">
        <v>104</v>
      </c>
      <c r="E176" s="65" t="s">
        <v>99</v>
      </c>
      <c r="F176" s="65"/>
      <c r="G176" s="65"/>
      <c r="H176" s="65"/>
      <c r="I176" s="65"/>
      <c r="J176" s="65"/>
      <c r="K176" s="65"/>
    </row>
    <row r="177" spans="1:20" ht="12" customHeight="1">
      <c r="A177" s="23" t="s">
        <v>189</v>
      </c>
      <c r="B177" s="478"/>
      <c r="C177" s="65"/>
      <c r="D177" s="65" t="s">
        <v>88</v>
      </c>
      <c r="E177" s="65" t="s">
        <v>99</v>
      </c>
      <c r="F177" s="65"/>
      <c r="G177" s="65"/>
      <c r="H177" s="65"/>
      <c r="I177" s="65"/>
      <c r="J177" s="65"/>
      <c r="K177" s="65"/>
    </row>
    <row r="178" spans="1:20" ht="12" customHeight="1">
      <c r="A178" s="23" t="s">
        <v>189</v>
      </c>
      <c r="B178" s="478"/>
      <c r="C178" s="65"/>
      <c r="D178" s="65" t="s">
        <v>105</v>
      </c>
      <c r="E178" s="65" t="s">
        <v>106</v>
      </c>
      <c r="F178" s="65"/>
      <c r="G178" s="65"/>
      <c r="H178" s="65"/>
      <c r="I178" s="65"/>
      <c r="J178" s="65"/>
      <c r="K178" s="65"/>
    </row>
    <row r="179" spans="1:20" ht="12" customHeight="1">
      <c r="A179" s="23" t="s">
        <v>188</v>
      </c>
      <c r="C179" s="9" t="s">
        <v>237</v>
      </c>
      <c r="D179" s="486" t="s">
        <v>240</v>
      </c>
      <c r="E179" s="468"/>
      <c r="F179" s="468"/>
      <c r="G179" s="468"/>
      <c r="H179" s="468"/>
      <c r="I179" s="468"/>
      <c r="J179" s="468"/>
      <c r="K179" s="468"/>
      <c r="T179" s="9" t="s">
        <v>239</v>
      </c>
    </row>
    <row r="180" spans="1:20" ht="12" customHeight="1">
      <c r="A180" s="23" t="s">
        <v>189</v>
      </c>
      <c r="C180" s="40" t="s">
        <v>241</v>
      </c>
    </row>
    <row r="181" spans="1:20" ht="12" customHeight="1">
      <c r="A181" s="23" t="s">
        <v>189</v>
      </c>
      <c r="C181" s="38" t="s">
        <v>242</v>
      </c>
      <c r="F181" s="38"/>
    </row>
    <row r="182" spans="1:20" ht="12" customHeight="1">
      <c r="A182" s="23" t="s">
        <v>189</v>
      </c>
      <c r="C182" s="38" t="s">
        <v>243</v>
      </c>
      <c r="F182" s="38"/>
    </row>
    <row r="183" spans="1:20" ht="12" customHeight="1">
      <c r="A183" s="23" t="s">
        <v>189</v>
      </c>
      <c r="C183" s="38" t="s">
        <v>244</v>
      </c>
      <c r="F183" s="38"/>
    </row>
    <row r="184" spans="1:20" ht="12" customHeight="1">
      <c r="A184" s="23" t="s">
        <v>189</v>
      </c>
      <c r="C184" s="38" t="s">
        <v>245</v>
      </c>
      <c r="F184" s="38"/>
    </row>
    <row r="185" spans="1:20" ht="12" customHeight="1">
      <c r="A185" s="23" t="s">
        <v>189</v>
      </c>
      <c r="C185" s="40" t="s">
        <v>281</v>
      </c>
    </row>
    <row r="186" spans="1:20" ht="12" customHeight="1">
      <c r="A186" s="23" t="s">
        <v>189</v>
      </c>
      <c r="C186" s="38" t="s">
        <v>246</v>
      </c>
    </row>
    <row r="187" spans="1:20" ht="12" customHeight="1">
      <c r="A187" s="23" t="s">
        <v>189</v>
      </c>
      <c r="C187" s="38" t="s">
        <v>247</v>
      </c>
    </row>
    <row r="188" spans="1:20" ht="12" customHeight="1">
      <c r="A188" s="23" t="s">
        <v>189</v>
      </c>
      <c r="C188" s="38" t="s">
        <v>248</v>
      </c>
    </row>
    <row r="189" spans="1:20" ht="12" customHeight="1">
      <c r="A189" s="23" t="s">
        <v>189</v>
      </c>
      <c r="C189" s="38" t="s">
        <v>249</v>
      </c>
    </row>
    <row r="190" spans="1:20" ht="12" customHeight="1">
      <c r="A190" s="23" t="s">
        <v>189</v>
      </c>
      <c r="C190" s="40" t="s">
        <v>282</v>
      </c>
    </row>
    <row r="191" spans="1:20" ht="12" customHeight="1">
      <c r="A191" s="23" t="s">
        <v>189</v>
      </c>
      <c r="C191" s="38" t="s">
        <v>250</v>
      </c>
    </row>
    <row r="192" spans="1:20" ht="12" customHeight="1">
      <c r="A192" s="23" t="s">
        <v>189</v>
      </c>
      <c r="C192" s="38" t="s">
        <v>251</v>
      </c>
    </row>
    <row r="193" spans="1:3" ht="12" customHeight="1">
      <c r="A193" s="23" t="s">
        <v>189</v>
      </c>
      <c r="C193" s="38" t="s">
        <v>252</v>
      </c>
    </row>
    <row r="194" spans="1:3" ht="12" customHeight="1">
      <c r="A194" s="23" t="s">
        <v>189</v>
      </c>
      <c r="C194" s="39" t="s">
        <v>253</v>
      </c>
    </row>
    <row r="195" spans="1:3" ht="12" customHeight="1">
      <c r="A195" s="23" t="s">
        <v>189</v>
      </c>
      <c r="C195" s="38" t="s">
        <v>254</v>
      </c>
    </row>
    <row r="196" spans="1:3" ht="12" customHeight="1">
      <c r="A196" s="23" t="s">
        <v>189</v>
      </c>
      <c r="C196" s="38" t="s">
        <v>255</v>
      </c>
    </row>
    <row r="197" spans="1:3" ht="12" customHeight="1">
      <c r="A197" s="23" t="s">
        <v>189</v>
      </c>
      <c r="C197" s="38" t="s">
        <v>256</v>
      </c>
    </row>
    <row r="198" spans="1:3" ht="12" customHeight="1">
      <c r="A198" s="23" t="s">
        <v>189</v>
      </c>
      <c r="C198" s="40" t="s">
        <v>283</v>
      </c>
    </row>
    <row r="199" spans="1:3" ht="12" customHeight="1">
      <c r="A199" s="23" t="s">
        <v>189</v>
      </c>
      <c r="C199" s="38" t="s">
        <v>257</v>
      </c>
    </row>
    <row r="200" spans="1:3" ht="12" customHeight="1">
      <c r="A200" s="23" t="s">
        <v>189</v>
      </c>
      <c r="C200" s="38" t="s">
        <v>258</v>
      </c>
    </row>
    <row r="201" spans="1:3" ht="12" customHeight="1">
      <c r="A201" s="23" t="s">
        <v>189</v>
      </c>
      <c r="C201" s="38" t="s">
        <v>259</v>
      </c>
    </row>
    <row r="202" spans="1:3" ht="12" customHeight="1">
      <c r="A202" s="23" t="s">
        <v>189</v>
      </c>
      <c r="C202" s="40" t="s">
        <v>284</v>
      </c>
    </row>
    <row r="203" spans="1:3" ht="12" customHeight="1">
      <c r="A203" s="23" t="s">
        <v>189</v>
      </c>
      <c r="C203" s="38" t="s">
        <v>260</v>
      </c>
    </row>
    <row r="204" spans="1:3" ht="12" customHeight="1">
      <c r="A204" s="23" t="s">
        <v>189</v>
      </c>
      <c r="C204" s="38" t="s">
        <v>261</v>
      </c>
    </row>
    <row r="205" spans="1:3" ht="12" customHeight="1">
      <c r="A205" s="23" t="s">
        <v>189</v>
      </c>
      <c r="C205" s="38" t="s">
        <v>262</v>
      </c>
    </row>
    <row r="206" spans="1:3" ht="12" customHeight="1">
      <c r="A206" s="23" t="s">
        <v>189</v>
      </c>
      <c r="C206" s="40" t="s">
        <v>285</v>
      </c>
    </row>
    <row r="207" spans="1:3" ht="12" customHeight="1">
      <c r="A207" s="23" t="s">
        <v>189</v>
      </c>
      <c r="C207" s="38" t="s">
        <v>263</v>
      </c>
    </row>
    <row r="208" spans="1:3" ht="12" customHeight="1">
      <c r="A208" s="23" t="s">
        <v>189</v>
      </c>
      <c r="C208" s="38" t="s">
        <v>264</v>
      </c>
    </row>
    <row r="209" spans="1:3" ht="12" customHeight="1">
      <c r="A209" s="23" t="s">
        <v>189</v>
      </c>
      <c r="C209" s="38" t="s">
        <v>265</v>
      </c>
    </row>
    <row r="210" spans="1:3" ht="12" customHeight="1">
      <c r="A210" s="23" t="s">
        <v>189</v>
      </c>
      <c r="C210" s="38" t="s">
        <v>266</v>
      </c>
    </row>
    <row r="211" spans="1:3" ht="12" customHeight="1">
      <c r="A211" s="23" t="s">
        <v>189</v>
      </c>
      <c r="C211" s="40" t="s">
        <v>286</v>
      </c>
    </row>
    <row r="212" spans="1:3">
      <c r="A212" s="23" t="s">
        <v>189</v>
      </c>
      <c r="C212" s="38" t="s">
        <v>267</v>
      </c>
    </row>
    <row r="213" spans="1:3">
      <c r="A213" s="23" t="s">
        <v>189</v>
      </c>
      <c r="C213" s="38" t="s">
        <v>268</v>
      </c>
    </row>
    <row r="214" spans="1:3">
      <c r="A214" s="23" t="s">
        <v>189</v>
      </c>
      <c r="C214" s="38" t="s">
        <v>269</v>
      </c>
    </row>
    <row r="215" spans="1:3">
      <c r="A215" s="23" t="s">
        <v>189</v>
      </c>
      <c r="C215" s="38" t="s">
        <v>270</v>
      </c>
    </row>
    <row r="216" spans="1:3" ht="17.25">
      <c r="A216" s="23" t="s">
        <v>189</v>
      </c>
      <c r="C216" s="40" t="s">
        <v>287</v>
      </c>
    </row>
    <row r="217" spans="1:3">
      <c r="A217" s="23" t="s">
        <v>189</v>
      </c>
      <c r="C217" s="38" t="s">
        <v>271</v>
      </c>
    </row>
    <row r="218" spans="1:3">
      <c r="A218" s="23" t="s">
        <v>189</v>
      </c>
      <c r="C218" s="38" t="s">
        <v>272</v>
      </c>
    </row>
    <row r="219" spans="1:3" ht="28.5">
      <c r="A219" s="23" t="s">
        <v>189</v>
      </c>
      <c r="C219" s="38" t="s">
        <v>273</v>
      </c>
    </row>
    <row r="220" spans="1:3" ht="29.25">
      <c r="A220" s="23" t="s">
        <v>189</v>
      </c>
      <c r="C220" s="38" t="s">
        <v>274</v>
      </c>
    </row>
    <row r="221" spans="1:3" ht="17.25">
      <c r="A221" s="23" t="s">
        <v>189</v>
      </c>
      <c r="C221" s="40" t="s">
        <v>288</v>
      </c>
    </row>
    <row r="222" spans="1:3" ht="28.5">
      <c r="A222" s="23" t="s">
        <v>189</v>
      </c>
      <c r="C222" s="38" t="s">
        <v>275</v>
      </c>
    </row>
    <row r="223" spans="1:3">
      <c r="A223" s="23" t="s">
        <v>189</v>
      </c>
      <c r="C223" s="38" t="s">
        <v>276</v>
      </c>
    </row>
    <row r="224" spans="1:3" ht="29.25">
      <c r="A224" s="23" t="s">
        <v>189</v>
      </c>
      <c r="C224" s="38" t="s">
        <v>277</v>
      </c>
    </row>
    <row r="225" spans="1:11" ht="17.25">
      <c r="A225" s="23" t="s">
        <v>189</v>
      </c>
      <c r="C225" s="40" t="s">
        <v>289</v>
      </c>
    </row>
    <row r="226" spans="1:11">
      <c r="A226" s="23" t="s">
        <v>189</v>
      </c>
      <c r="C226" s="38" t="s">
        <v>278</v>
      </c>
    </row>
    <row r="227" spans="1:11">
      <c r="A227" s="23" t="s">
        <v>189</v>
      </c>
      <c r="C227" s="38" t="s">
        <v>279</v>
      </c>
    </row>
    <row r="228" spans="1:11">
      <c r="A228" s="23" t="s">
        <v>189</v>
      </c>
      <c r="C228" s="38" t="s">
        <v>280</v>
      </c>
    </row>
    <row r="229" spans="1:11" ht="17.25">
      <c r="A229" s="23" t="s">
        <v>189</v>
      </c>
      <c r="C229" s="40" t="s">
        <v>290</v>
      </c>
    </row>
    <row r="230" spans="1:11" ht="28.5">
      <c r="A230" s="23" t="s">
        <v>189</v>
      </c>
      <c r="C230" s="38" t="s">
        <v>299</v>
      </c>
    </row>
    <row r="231" spans="1:11" ht="17.25">
      <c r="A231" s="23" t="s">
        <v>189</v>
      </c>
      <c r="C231" s="40" t="s">
        <v>298</v>
      </c>
    </row>
    <row r="232" spans="1:11" ht="42.75">
      <c r="A232" s="23" t="s">
        <v>189</v>
      </c>
      <c r="C232" s="38" t="s">
        <v>291</v>
      </c>
    </row>
    <row r="233" spans="1:11" ht="17.25">
      <c r="A233" s="23" t="s">
        <v>189</v>
      </c>
      <c r="C233" s="40" t="s">
        <v>297</v>
      </c>
    </row>
    <row r="234" spans="1:11">
      <c r="A234" s="23" t="s">
        <v>189</v>
      </c>
      <c r="C234" s="38" t="s">
        <v>292</v>
      </c>
    </row>
    <row r="235" spans="1:11" ht="17.25">
      <c r="A235" s="23" t="s">
        <v>189</v>
      </c>
      <c r="C235" s="40" t="s">
        <v>296</v>
      </c>
    </row>
    <row r="236" spans="1:11" ht="28.5">
      <c r="A236" s="23" t="s">
        <v>189</v>
      </c>
      <c r="C236" s="38" t="s">
        <v>307</v>
      </c>
    </row>
    <row r="237" spans="1:11" ht="17.25">
      <c r="A237" s="23" t="s">
        <v>189</v>
      </c>
      <c r="C237" s="40" t="s">
        <v>295</v>
      </c>
    </row>
    <row r="238" spans="1:11" ht="28.5">
      <c r="A238" s="23" t="s">
        <v>189</v>
      </c>
      <c r="C238" s="38" t="s">
        <v>294</v>
      </c>
    </row>
    <row r="240" spans="1:11">
      <c r="C240" s="486" t="s">
        <v>302</v>
      </c>
      <c r="D240" s="468"/>
      <c r="E240" s="468"/>
      <c r="F240" s="468"/>
      <c r="G240" s="468"/>
      <c r="H240" s="468"/>
      <c r="I240" s="468"/>
      <c r="J240" s="468"/>
      <c r="K240" s="468"/>
    </row>
  </sheetData>
  <autoFilter ref="A1:T195" xr:uid="{ACD697BE-B917-4891-9D9D-F3EA4A390D6C}"/>
  <mergeCells count="44">
    <mergeCell ref="B12:B47"/>
    <mergeCell ref="K12:K24"/>
    <mergeCell ref="D11:K11"/>
    <mergeCell ref="C31:C33"/>
    <mergeCell ref="C34:C37"/>
    <mergeCell ref="C38:C40"/>
    <mergeCell ref="L49:L72"/>
    <mergeCell ref="H20:H22"/>
    <mergeCell ref="I20:I22"/>
    <mergeCell ref="K30:K37"/>
    <mergeCell ref="H31:H33"/>
    <mergeCell ref="I31:I33"/>
    <mergeCell ref="H34:H37"/>
    <mergeCell ref="I34:I37"/>
    <mergeCell ref="K43:K47"/>
    <mergeCell ref="D29:K29"/>
    <mergeCell ref="H38:H40"/>
    <mergeCell ref="I38:I40"/>
    <mergeCell ref="K38:K41"/>
    <mergeCell ref="K25:K28"/>
    <mergeCell ref="B175:B178"/>
    <mergeCell ref="D179:K179"/>
    <mergeCell ref="C240:K240"/>
    <mergeCell ref="H51:H55"/>
    <mergeCell ref="I51:I55"/>
    <mergeCell ref="I56:I58"/>
    <mergeCell ref="B170:B174"/>
    <mergeCell ref="D170:K170"/>
    <mergeCell ref="D171:K171"/>
    <mergeCell ref="D172:K172"/>
    <mergeCell ref="D173:K173"/>
    <mergeCell ref="F124:F142"/>
    <mergeCell ref="B49:B72"/>
    <mergeCell ref="D49:K49"/>
    <mergeCell ref="C52:C60"/>
    <mergeCell ref="C62:C64"/>
    <mergeCell ref="L4:L8"/>
    <mergeCell ref="B5:B7"/>
    <mergeCell ref="C5:C7"/>
    <mergeCell ref="F5:F7"/>
    <mergeCell ref="H5:H7"/>
    <mergeCell ref="I5:I7"/>
    <mergeCell ref="D4:K4"/>
    <mergeCell ref="B8:K8"/>
  </mergeCells>
  <pageMargins left="0.25" right="0.25" top="0.75" bottom="0.75" header="0.3" footer="0.3"/>
  <pageSetup scale="34"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EB5D-4199-45A9-8658-BCEC295C4BA1}">
  <dimension ref="A1:V175"/>
  <sheetViews>
    <sheetView rightToLeft="1" view="pageBreakPreview" topLeftCell="A12" zoomScale="110" zoomScaleSheetLayoutView="110" workbookViewId="0">
      <selection activeCell="O3" sqref="O3"/>
    </sheetView>
  </sheetViews>
  <sheetFormatPr defaultRowHeight="12"/>
  <cols>
    <col min="1" max="1" width="11.625" style="11" customWidth="1"/>
    <col min="2" max="2" width="6.625" style="130" customWidth="1"/>
    <col min="3" max="3" width="15.625" style="126" customWidth="1"/>
    <col min="4" max="10" width="15.625" style="126" hidden="1" customWidth="1"/>
    <col min="11" max="11" width="24.25" style="126" customWidth="1"/>
    <col min="12" max="12" width="23.25" style="126" customWidth="1"/>
    <col min="13" max="14" width="12.625" style="126" customWidth="1"/>
    <col min="15" max="16" width="6.625" style="145" customWidth="1"/>
    <col min="17" max="21" width="3.625" style="126" customWidth="1"/>
    <col min="22" max="22" width="75.25" style="126" customWidth="1"/>
    <col min="23" max="16384" width="9" style="126"/>
  </cols>
  <sheetData>
    <row r="1" spans="1:22" s="124" customFormat="1" ht="31.5">
      <c r="A1" s="127" t="s">
        <v>1219</v>
      </c>
      <c r="B1" s="130" t="s">
        <v>411</v>
      </c>
      <c r="C1" s="125" t="s">
        <v>421</v>
      </c>
      <c r="D1" s="125" t="s">
        <v>573</v>
      </c>
      <c r="E1" s="125" t="s">
        <v>452</v>
      </c>
      <c r="F1" s="125" t="s">
        <v>461</v>
      </c>
      <c r="G1" s="125" t="s">
        <v>460</v>
      </c>
      <c r="H1" s="109" t="s">
        <v>1300</v>
      </c>
      <c r="I1" s="125" t="s">
        <v>1279</v>
      </c>
      <c r="J1" s="125" t="s">
        <v>422</v>
      </c>
      <c r="K1" s="125" t="s">
        <v>1301</v>
      </c>
      <c r="L1" s="125" t="s">
        <v>423</v>
      </c>
      <c r="O1" s="145" t="s">
        <v>1898</v>
      </c>
      <c r="P1" s="145"/>
      <c r="Q1" s="126"/>
      <c r="R1" s="126"/>
      <c r="S1" s="126"/>
      <c r="T1" s="126"/>
      <c r="U1" s="126"/>
      <c r="V1" s="126" t="s">
        <v>1899</v>
      </c>
    </row>
    <row r="2" spans="1:22" s="124" customFormat="1" ht="33.75">
      <c r="A2" s="134" t="s">
        <v>1220</v>
      </c>
      <c r="B2" s="135">
        <v>1</v>
      </c>
      <c r="C2" s="134" t="s">
        <v>1145</v>
      </c>
      <c r="D2" s="128" t="s">
        <v>1280</v>
      </c>
      <c r="E2" s="128" t="s">
        <v>1302</v>
      </c>
      <c r="F2" s="128" t="s">
        <v>521</v>
      </c>
      <c r="G2" s="128" t="s">
        <v>425</v>
      </c>
      <c r="H2" s="128" t="s">
        <v>1303</v>
      </c>
      <c r="I2" s="128" t="s">
        <v>1304</v>
      </c>
      <c r="J2" s="128" t="s">
        <v>1305</v>
      </c>
      <c r="K2" s="134" t="s">
        <v>1306</v>
      </c>
      <c r="L2" s="134" t="s">
        <v>1307</v>
      </c>
      <c r="M2" s="134"/>
      <c r="N2" s="137"/>
      <c r="O2" s="146" t="s">
        <v>1929</v>
      </c>
      <c r="P2" s="146"/>
      <c r="Q2" s="137" t="s">
        <v>564</v>
      </c>
      <c r="R2" s="137" t="s">
        <v>560</v>
      </c>
      <c r="S2" s="137" t="s">
        <v>645</v>
      </c>
      <c r="T2" s="137" t="s">
        <v>2044</v>
      </c>
      <c r="U2" s="137" t="s">
        <v>595</v>
      </c>
      <c r="V2" s="137" t="s">
        <v>1930</v>
      </c>
    </row>
    <row r="3" spans="1:22" ht="24">
      <c r="A3" s="139" t="s">
        <v>1221</v>
      </c>
      <c r="B3" s="140">
        <v>11</v>
      </c>
      <c r="C3" s="139" t="s">
        <v>1146</v>
      </c>
      <c r="D3" s="126" t="s">
        <v>1308</v>
      </c>
      <c r="E3" s="126" t="s">
        <v>1309</v>
      </c>
      <c r="F3" s="126" t="s">
        <v>521</v>
      </c>
      <c r="G3" s="126" t="s">
        <v>1310</v>
      </c>
      <c r="H3" s="126" t="s">
        <v>1303</v>
      </c>
      <c r="I3" s="126" t="s">
        <v>1304</v>
      </c>
      <c r="J3" s="126" t="s">
        <v>1311</v>
      </c>
      <c r="K3" s="139" t="s">
        <v>1312</v>
      </c>
      <c r="L3" s="139" t="s">
        <v>1313</v>
      </c>
      <c r="M3" s="139"/>
      <c r="N3" s="139"/>
      <c r="O3" s="147" t="s">
        <v>1902</v>
      </c>
      <c r="P3" s="147"/>
      <c r="Q3" s="139"/>
      <c r="R3" s="139"/>
      <c r="S3" s="139"/>
      <c r="T3" s="139"/>
      <c r="U3" s="139"/>
      <c r="V3" s="139" t="s">
        <v>1931</v>
      </c>
    </row>
    <row r="4" spans="1:22" ht="36">
      <c r="A4" s="141" t="s">
        <v>1222</v>
      </c>
      <c r="B4" s="142">
        <v>1101</v>
      </c>
      <c r="C4" s="143" t="s">
        <v>1223</v>
      </c>
      <c r="D4" s="126" t="s">
        <v>1314</v>
      </c>
      <c r="E4" s="126" t="s">
        <v>1315</v>
      </c>
      <c r="F4" s="126" t="s">
        <v>431</v>
      </c>
      <c r="G4" s="126" t="s">
        <v>412</v>
      </c>
      <c r="H4" s="126" t="s">
        <v>1316</v>
      </c>
      <c r="I4" s="126" t="s">
        <v>1317</v>
      </c>
      <c r="J4" s="126" t="s">
        <v>1318</v>
      </c>
      <c r="K4" s="143" t="s">
        <v>1319</v>
      </c>
      <c r="L4" s="143" t="s">
        <v>1320</v>
      </c>
      <c r="M4" s="143"/>
      <c r="N4" s="143"/>
      <c r="O4" s="141" t="s">
        <v>1900</v>
      </c>
      <c r="P4" s="141"/>
      <c r="Q4" s="143"/>
      <c r="R4" s="143"/>
      <c r="S4" s="143"/>
      <c r="T4" s="143"/>
      <c r="U4" s="143"/>
      <c r="V4" s="143" t="s">
        <v>1932</v>
      </c>
    </row>
    <row r="5" spans="1:22" ht="24">
      <c r="A5" s="11" t="s">
        <v>1224</v>
      </c>
      <c r="B5" s="130">
        <v>1101001</v>
      </c>
      <c r="C5" s="126" t="s">
        <v>1147</v>
      </c>
      <c r="D5" s="126" t="s">
        <v>1321</v>
      </c>
      <c r="E5" s="126" t="s">
        <v>1322</v>
      </c>
      <c r="F5" s="126" t="s">
        <v>431</v>
      </c>
      <c r="G5" s="126" t="s">
        <v>412</v>
      </c>
      <c r="H5" s="126" t="s">
        <v>1323</v>
      </c>
      <c r="I5" s="126" t="s">
        <v>1317</v>
      </c>
      <c r="J5" s="126" t="s">
        <v>1324</v>
      </c>
      <c r="K5" s="126" t="s">
        <v>1325</v>
      </c>
      <c r="L5" s="126" t="s">
        <v>1326</v>
      </c>
      <c r="O5" s="145" t="s">
        <v>1900</v>
      </c>
      <c r="V5" s="126" t="s">
        <v>1901</v>
      </c>
    </row>
    <row r="6" spans="1:22" ht="24">
      <c r="A6" s="11" t="s">
        <v>1224</v>
      </c>
      <c r="B6" s="130">
        <v>1101002</v>
      </c>
      <c r="C6" s="126" t="s">
        <v>1148</v>
      </c>
      <c r="D6" s="126" t="s">
        <v>1327</v>
      </c>
      <c r="E6" s="126" t="s">
        <v>1328</v>
      </c>
      <c r="F6" s="126" t="s">
        <v>431</v>
      </c>
      <c r="G6" s="126" t="s">
        <v>412</v>
      </c>
      <c r="H6" s="126" t="s">
        <v>1329</v>
      </c>
      <c r="I6" s="126" t="s">
        <v>503</v>
      </c>
      <c r="J6" s="126" t="s">
        <v>1330</v>
      </c>
      <c r="K6" s="126" t="s">
        <v>1331</v>
      </c>
      <c r="L6" s="126" t="s">
        <v>1332</v>
      </c>
      <c r="O6" s="145" t="s">
        <v>1902</v>
      </c>
      <c r="V6" s="126" t="s">
        <v>1903</v>
      </c>
    </row>
    <row r="7" spans="1:22" ht="24">
      <c r="A7" s="11" t="s">
        <v>1224</v>
      </c>
      <c r="B7" s="130">
        <v>1101003</v>
      </c>
      <c r="C7" s="126" t="s">
        <v>1149</v>
      </c>
      <c r="D7" s="126" t="s">
        <v>1333</v>
      </c>
      <c r="E7" s="126" t="s">
        <v>1334</v>
      </c>
      <c r="F7" s="126" t="s">
        <v>431</v>
      </c>
      <c r="G7" s="126" t="s">
        <v>412</v>
      </c>
      <c r="H7" s="126" t="s">
        <v>1319</v>
      </c>
      <c r="I7" s="126" t="s">
        <v>503</v>
      </c>
      <c r="J7" s="126" t="s">
        <v>1335</v>
      </c>
      <c r="K7" s="126" t="s">
        <v>1331</v>
      </c>
      <c r="L7" s="126" t="s">
        <v>1336</v>
      </c>
      <c r="O7" s="145" t="s">
        <v>1902</v>
      </c>
      <c r="V7" s="126" t="s">
        <v>1903</v>
      </c>
    </row>
    <row r="8" spans="1:22" ht="24">
      <c r="A8" s="141" t="s">
        <v>1222</v>
      </c>
      <c r="B8" s="142">
        <v>1102</v>
      </c>
      <c r="C8" s="143" t="s">
        <v>1225</v>
      </c>
      <c r="D8" s="126" t="s">
        <v>1337</v>
      </c>
      <c r="E8" s="126" t="s">
        <v>1338</v>
      </c>
      <c r="F8" s="126" t="s">
        <v>419</v>
      </c>
      <c r="G8" s="126" t="s">
        <v>414</v>
      </c>
      <c r="H8" s="126" t="s">
        <v>1339</v>
      </c>
      <c r="I8" s="126" t="s">
        <v>430</v>
      </c>
      <c r="J8" s="126" t="s">
        <v>1340</v>
      </c>
      <c r="K8" s="143" t="s">
        <v>1341</v>
      </c>
      <c r="L8" s="143" t="s">
        <v>1342</v>
      </c>
      <c r="M8" s="143"/>
      <c r="N8" s="143"/>
      <c r="O8" s="141" t="s">
        <v>1902</v>
      </c>
      <c r="P8" s="141"/>
      <c r="Q8" s="143"/>
      <c r="R8" s="143"/>
      <c r="S8" s="143"/>
      <c r="T8" s="143"/>
      <c r="U8" s="143"/>
      <c r="V8" s="143" t="s">
        <v>1912</v>
      </c>
    </row>
    <row r="9" spans="1:22" ht="24">
      <c r="A9" s="11" t="s">
        <v>1224</v>
      </c>
      <c r="B9" s="130">
        <v>1102001</v>
      </c>
      <c r="C9" s="126" t="s">
        <v>1150</v>
      </c>
      <c r="D9" s="126" t="s">
        <v>1343</v>
      </c>
      <c r="E9" s="126" t="s">
        <v>1344</v>
      </c>
      <c r="F9" s="126" t="s">
        <v>419</v>
      </c>
      <c r="G9" s="126" t="s">
        <v>521</v>
      </c>
      <c r="H9" s="126" t="s">
        <v>1345</v>
      </c>
      <c r="I9" s="126" t="s">
        <v>430</v>
      </c>
      <c r="J9" s="126" t="s">
        <v>1346</v>
      </c>
      <c r="K9" s="126" t="s">
        <v>1347</v>
      </c>
      <c r="L9" s="126" t="s">
        <v>1348</v>
      </c>
      <c r="O9" s="145" t="s">
        <v>1902</v>
      </c>
      <c r="V9" s="126" t="s">
        <v>1912</v>
      </c>
    </row>
    <row r="10" spans="1:22" ht="24">
      <c r="A10" s="11" t="s">
        <v>1224</v>
      </c>
      <c r="B10" s="130">
        <v>1102002</v>
      </c>
      <c r="C10" s="126" t="s">
        <v>1151</v>
      </c>
      <c r="D10" s="126" t="s">
        <v>1349</v>
      </c>
      <c r="E10" s="126" t="s">
        <v>1350</v>
      </c>
      <c r="F10" s="126" t="s">
        <v>419</v>
      </c>
      <c r="G10" s="126" t="s">
        <v>521</v>
      </c>
      <c r="H10" s="126" t="s">
        <v>1351</v>
      </c>
      <c r="I10" s="126" t="s">
        <v>430</v>
      </c>
      <c r="J10" s="126" t="s">
        <v>1352</v>
      </c>
      <c r="K10" s="126" t="s">
        <v>1347</v>
      </c>
      <c r="L10" s="126" t="s">
        <v>1353</v>
      </c>
      <c r="O10" s="145" t="s">
        <v>1902</v>
      </c>
      <c r="V10" s="126" t="s">
        <v>1912</v>
      </c>
    </row>
    <row r="11" spans="1:22" ht="24">
      <c r="A11" s="141" t="s">
        <v>1222</v>
      </c>
      <c r="B11" s="142">
        <v>1103</v>
      </c>
      <c r="C11" s="143" t="s">
        <v>1226</v>
      </c>
      <c r="D11" s="126" t="s">
        <v>1281</v>
      </c>
      <c r="E11" s="126" t="s">
        <v>1354</v>
      </c>
      <c r="F11" s="126" t="s">
        <v>416</v>
      </c>
      <c r="G11" s="126" t="s">
        <v>1355</v>
      </c>
      <c r="H11" s="126" t="s">
        <v>1356</v>
      </c>
      <c r="I11" s="126" t="s">
        <v>1357</v>
      </c>
      <c r="J11" s="126" t="s">
        <v>1358</v>
      </c>
      <c r="K11" s="143" t="s">
        <v>1359</v>
      </c>
      <c r="L11" s="143" t="s">
        <v>1360</v>
      </c>
      <c r="M11" s="143"/>
      <c r="N11" s="143"/>
      <c r="O11" s="141" t="s">
        <v>1900</v>
      </c>
      <c r="P11" s="141"/>
      <c r="Q11" s="143"/>
      <c r="R11" s="143"/>
      <c r="S11" s="143"/>
      <c r="T11" s="143"/>
      <c r="U11" s="143"/>
      <c r="V11" s="143" t="s">
        <v>1933</v>
      </c>
    </row>
    <row r="12" spans="1:22" ht="24">
      <c r="A12" s="11" t="s">
        <v>1224</v>
      </c>
      <c r="B12" s="130">
        <v>1103001</v>
      </c>
      <c r="C12" s="126" t="s">
        <v>1152</v>
      </c>
      <c r="D12" s="126" t="s">
        <v>1282</v>
      </c>
      <c r="E12" s="126" t="s">
        <v>1361</v>
      </c>
      <c r="F12" s="126" t="s">
        <v>416</v>
      </c>
      <c r="G12" s="126" t="s">
        <v>521</v>
      </c>
      <c r="H12" s="126" t="s">
        <v>1362</v>
      </c>
      <c r="I12" s="126" t="s">
        <v>503</v>
      </c>
      <c r="J12" s="126" t="s">
        <v>1363</v>
      </c>
      <c r="K12" s="126" t="s">
        <v>1364</v>
      </c>
      <c r="L12" s="126" t="s">
        <v>1365</v>
      </c>
      <c r="O12" s="145" t="s">
        <v>1902</v>
      </c>
      <c r="V12" s="126" t="s">
        <v>1904</v>
      </c>
    </row>
    <row r="13" spans="1:22" ht="24">
      <c r="A13" s="11" t="s">
        <v>1224</v>
      </c>
      <c r="B13" s="130">
        <v>1103002</v>
      </c>
      <c r="C13" s="126" t="s">
        <v>1153</v>
      </c>
      <c r="D13" s="126" t="s">
        <v>1282</v>
      </c>
      <c r="E13" s="126" t="s">
        <v>1366</v>
      </c>
      <c r="F13" s="126" t="s">
        <v>416</v>
      </c>
      <c r="G13" s="126" t="s">
        <v>521</v>
      </c>
      <c r="H13" s="126" t="s">
        <v>1367</v>
      </c>
      <c r="I13" s="126" t="s">
        <v>503</v>
      </c>
      <c r="J13" s="126" t="s">
        <v>1368</v>
      </c>
      <c r="K13" s="126" t="s">
        <v>1364</v>
      </c>
      <c r="L13" s="126" t="s">
        <v>1360</v>
      </c>
      <c r="O13" s="145" t="s">
        <v>1902</v>
      </c>
      <c r="V13" s="126" t="s">
        <v>1904</v>
      </c>
    </row>
    <row r="14" spans="1:22" ht="24">
      <c r="A14" s="141" t="s">
        <v>1222</v>
      </c>
      <c r="B14" s="142">
        <v>1104</v>
      </c>
      <c r="C14" s="143" t="s">
        <v>1227</v>
      </c>
      <c r="D14" s="126" t="s">
        <v>1369</v>
      </c>
      <c r="E14" s="126" t="s">
        <v>1370</v>
      </c>
      <c r="F14" s="126" t="s">
        <v>521</v>
      </c>
      <c r="G14" s="126" t="s">
        <v>414</v>
      </c>
      <c r="H14" s="126" t="s">
        <v>1371</v>
      </c>
      <c r="I14" s="126" t="s">
        <v>415</v>
      </c>
      <c r="J14" s="126" t="s">
        <v>1372</v>
      </c>
      <c r="K14" s="143" t="s">
        <v>1373</v>
      </c>
      <c r="L14" s="143" t="s">
        <v>1374</v>
      </c>
      <c r="M14" s="143" t="s">
        <v>1375</v>
      </c>
      <c r="N14" s="143"/>
      <c r="O14" s="141" t="s">
        <v>1900</v>
      </c>
      <c r="P14" s="141"/>
      <c r="Q14" s="143"/>
      <c r="R14" s="143"/>
      <c r="S14" s="143"/>
      <c r="T14" s="143"/>
      <c r="U14" s="143"/>
      <c r="V14" s="143" t="s">
        <v>1905</v>
      </c>
    </row>
    <row r="15" spans="1:22" ht="24">
      <c r="A15" s="11" t="s">
        <v>1224</v>
      </c>
      <c r="B15" s="130">
        <v>1104001</v>
      </c>
      <c r="C15" s="126" t="s">
        <v>1154</v>
      </c>
      <c r="D15" s="126" t="s">
        <v>1376</v>
      </c>
      <c r="E15" s="126" t="s">
        <v>1377</v>
      </c>
      <c r="F15" s="126" t="s">
        <v>521</v>
      </c>
      <c r="G15" s="126" t="s">
        <v>414</v>
      </c>
      <c r="H15" s="126" t="s">
        <v>1378</v>
      </c>
      <c r="I15" s="126" t="s">
        <v>415</v>
      </c>
      <c r="J15" s="126" t="s">
        <v>1379</v>
      </c>
      <c r="K15" s="126" t="s">
        <v>1373</v>
      </c>
      <c r="L15" s="126" t="s">
        <v>1374</v>
      </c>
      <c r="M15" s="126" t="s">
        <v>1380</v>
      </c>
    </row>
    <row r="16" spans="1:22" ht="24">
      <c r="A16" s="11" t="s">
        <v>1224</v>
      </c>
      <c r="B16" s="130">
        <v>1104002</v>
      </c>
      <c r="C16" s="126" t="s">
        <v>1155</v>
      </c>
      <c r="D16" s="126" t="s">
        <v>1381</v>
      </c>
      <c r="E16" s="126" t="s">
        <v>1382</v>
      </c>
      <c r="F16" s="126" t="s">
        <v>521</v>
      </c>
      <c r="G16" s="126" t="s">
        <v>414</v>
      </c>
      <c r="H16" s="126" t="s">
        <v>1378</v>
      </c>
      <c r="I16" s="126" t="s">
        <v>415</v>
      </c>
      <c r="J16" s="126" t="s">
        <v>1383</v>
      </c>
      <c r="K16" s="126" t="s">
        <v>1373</v>
      </c>
      <c r="L16" s="126" t="s">
        <v>1374</v>
      </c>
      <c r="M16" s="126" t="s">
        <v>1384</v>
      </c>
      <c r="O16" s="145" t="s">
        <v>1900</v>
      </c>
      <c r="V16" s="126" t="s">
        <v>1905</v>
      </c>
    </row>
    <row r="17" spans="1:22">
      <c r="O17" s="145" t="s">
        <v>1900</v>
      </c>
      <c r="V17" s="126" t="s">
        <v>1905</v>
      </c>
    </row>
    <row r="18" spans="1:22">
      <c r="O18" s="145" t="s">
        <v>1902</v>
      </c>
      <c r="V18" s="126" t="s">
        <v>1934</v>
      </c>
    </row>
    <row r="19" spans="1:22">
      <c r="O19" s="145" t="s">
        <v>1906</v>
      </c>
      <c r="V19" s="126" t="s">
        <v>1935</v>
      </c>
    </row>
    <row r="20" spans="1:22">
      <c r="O20" s="145" t="s">
        <v>1902</v>
      </c>
      <c r="V20" s="126" t="s">
        <v>1936</v>
      </c>
    </row>
    <row r="21" spans="1:22">
      <c r="O21" s="145" t="s">
        <v>1922</v>
      </c>
      <c r="V21" s="126" t="s">
        <v>1923</v>
      </c>
    </row>
    <row r="22" spans="1:22">
      <c r="O22" s="145" t="s">
        <v>1902</v>
      </c>
      <c r="V22" s="126" t="s">
        <v>1937</v>
      </c>
    </row>
    <row r="23" spans="1:22">
      <c r="O23" s="145" t="s">
        <v>1900</v>
      </c>
      <c r="V23" s="126" t="s">
        <v>1938</v>
      </c>
    </row>
    <row r="24" spans="1:22">
      <c r="O24" s="145" t="s">
        <v>1906</v>
      </c>
      <c r="V24" s="126" t="s">
        <v>1939</v>
      </c>
    </row>
    <row r="25" spans="1:22">
      <c r="O25" s="145" t="s">
        <v>1902</v>
      </c>
      <c r="V25" s="126" t="s">
        <v>1940</v>
      </c>
    </row>
    <row r="26" spans="1:22">
      <c r="O26" s="145" t="s">
        <v>1900</v>
      </c>
      <c r="V26" s="126" t="s">
        <v>1941</v>
      </c>
    </row>
    <row r="27" spans="1:22">
      <c r="O27" s="145" t="s">
        <v>1902</v>
      </c>
      <c r="V27" s="126" t="s">
        <v>1942</v>
      </c>
    </row>
    <row r="28" spans="1:22">
      <c r="A28" s="141" t="s">
        <v>1222</v>
      </c>
      <c r="B28" s="142">
        <v>1115</v>
      </c>
      <c r="C28" s="143" t="s">
        <v>1232</v>
      </c>
      <c r="D28" s="126" t="s">
        <v>1385</v>
      </c>
      <c r="E28" s="126" t="s">
        <v>1386</v>
      </c>
      <c r="F28" s="126" t="s">
        <v>521</v>
      </c>
      <c r="G28" s="126" t="s">
        <v>414</v>
      </c>
      <c r="H28" s="126" t="s">
        <v>1371</v>
      </c>
      <c r="I28" s="126" t="s">
        <v>415</v>
      </c>
      <c r="J28" s="126" t="s">
        <v>1387</v>
      </c>
      <c r="K28" s="143" t="s">
        <v>1388</v>
      </c>
      <c r="L28" s="143" t="s">
        <v>1389</v>
      </c>
      <c r="M28" s="143"/>
      <c r="N28" s="143"/>
      <c r="O28" s="141"/>
      <c r="P28" s="141"/>
      <c r="Q28" s="143"/>
      <c r="R28" s="143"/>
      <c r="S28" s="143"/>
      <c r="T28" s="143"/>
      <c r="U28" s="143"/>
      <c r="V28" s="143"/>
    </row>
    <row r="29" spans="1:22" ht="24">
      <c r="A29" s="11" t="s">
        <v>1224</v>
      </c>
      <c r="B29" s="130">
        <v>1115001</v>
      </c>
      <c r="C29" s="126" t="s">
        <v>1233</v>
      </c>
      <c r="D29" s="126" t="s">
        <v>1390</v>
      </c>
      <c r="E29" s="126" t="s">
        <v>1377</v>
      </c>
      <c r="F29" s="126" t="s">
        <v>521</v>
      </c>
      <c r="G29" s="126" t="s">
        <v>414</v>
      </c>
      <c r="H29" s="126" t="s">
        <v>1378</v>
      </c>
      <c r="I29" s="126" t="s">
        <v>415</v>
      </c>
      <c r="J29" s="126" t="s">
        <v>1391</v>
      </c>
      <c r="K29" s="126" t="s">
        <v>1388</v>
      </c>
      <c r="L29" s="126" t="s">
        <v>1392</v>
      </c>
    </row>
    <row r="30" spans="1:22" ht="24">
      <c r="A30" s="11" t="s">
        <v>1224</v>
      </c>
      <c r="B30" s="130">
        <v>1115002</v>
      </c>
      <c r="C30" s="126" t="s">
        <v>1234</v>
      </c>
      <c r="D30" s="126" t="s">
        <v>1393</v>
      </c>
      <c r="E30" s="126" t="s">
        <v>1394</v>
      </c>
      <c r="F30" s="126" t="s">
        <v>521</v>
      </c>
      <c r="G30" s="126" t="s">
        <v>414</v>
      </c>
      <c r="H30" s="126" t="s">
        <v>1378</v>
      </c>
      <c r="I30" s="126" t="s">
        <v>415</v>
      </c>
      <c r="J30" s="126" t="s">
        <v>1395</v>
      </c>
      <c r="K30" s="126" t="s">
        <v>1388</v>
      </c>
      <c r="L30" s="126" t="s">
        <v>1396</v>
      </c>
    </row>
    <row r="31" spans="1:22" ht="24">
      <c r="A31" s="141" t="s">
        <v>1222</v>
      </c>
      <c r="B31" s="142">
        <v>1116</v>
      </c>
      <c r="C31" s="143" t="s">
        <v>1235</v>
      </c>
      <c r="D31" s="126" t="s">
        <v>1397</v>
      </c>
      <c r="E31" s="126" t="s">
        <v>1398</v>
      </c>
      <c r="F31" s="126" t="s">
        <v>521</v>
      </c>
      <c r="G31" s="126" t="s">
        <v>414</v>
      </c>
      <c r="H31" s="126" t="s">
        <v>1399</v>
      </c>
      <c r="I31" s="126" t="s">
        <v>430</v>
      </c>
      <c r="J31" s="126" t="s">
        <v>1400</v>
      </c>
      <c r="K31" s="143" t="s">
        <v>1401</v>
      </c>
      <c r="L31" s="143" t="s">
        <v>1402</v>
      </c>
      <c r="M31" s="143"/>
      <c r="N31" s="143"/>
      <c r="O31" s="141"/>
      <c r="P31" s="141"/>
      <c r="Q31" s="143"/>
      <c r="R31" s="143"/>
      <c r="S31" s="143"/>
      <c r="T31" s="143"/>
      <c r="U31" s="143"/>
      <c r="V31" s="143"/>
    </row>
    <row r="32" spans="1:22" ht="24">
      <c r="A32" s="11" t="s">
        <v>1224</v>
      </c>
      <c r="B32" s="130">
        <v>1116001</v>
      </c>
      <c r="C32" s="126" t="s">
        <v>1236</v>
      </c>
      <c r="D32" s="126" t="s">
        <v>1403</v>
      </c>
      <c r="E32" s="126" t="s">
        <v>1404</v>
      </c>
      <c r="F32" s="126" t="s">
        <v>521</v>
      </c>
      <c r="G32" s="126" t="s">
        <v>414</v>
      </c>
      <c r="H32" s="126" t="s">
        <v>1405</v>
      </c>
      <c r="I32" s="126" t="s">
        <v>430</v>
      </c>
      <c r="J32" s="126" t="s">
        <v>1406</v>
      </c>
      <c r="K32" s="126" t="s">
        <v>1401</v>
      </c>
      <c r="L32" s="126" t="s">
        <v>1407</v>
      </c>
    </row>
    <row r="33" spans="1:22" ht="24">
      <c r="A33" s="11" t="s">
        <v>1224</v>
      </c>
      <c r="B33" s="130">
        <v>1116002</v>
      </c>
      <c r="C33" s="126" t="s">
        <v>1237</v>
      </c>
      <c r="D33" s="126" t="s">
        <v>1408</v>
      </c>
      <c r="E33" s="126" t="s">
        <v>1404</v>
      </c>
      <c r="F33" s="126" t="s">
        <v>521</v>
      </c>
      <c r="G33" s="126" t="s">
        <v>414</v>
      </c>
      <c r="H33" s="126" t="s">
        <v>1405</v>
      </c>
      <c r="I33" s="126" t="s">
        <v>430</v>
      </c>
      <c r="J33" s="126" t="s">
        <v>1406</v>
      </c>
      <c r="K33" s="126" t="s">
        <v>1401</v>
      </c>
      <c r="L33" s="126" t="s">
        <v>1407</v>
      </c>
    </row>
    <row r="34" spans="1:22" ht="24">
      <c r="A34" s="141" t="s">
        <v>1222</v>
      </c>
      <c r="B34" s="142">
        <v>1117</v>
      </c>
      <c r="C34" s="143" t="s">
        <v>1238</v>
      </c>
      <c r="D34" s="126" t="s">
        <v>1283</v>
      </c>
      <c r="E34" s="126" t="s">
        <v>1409</v>
      </c>
      <c r="F34" s="126" t="s">
        <v>521</v>
      </c>
      <c r="G34" s="126" t="s">
        <v>414</v>
      </c>
      <c r="H34" s="126" t="s">
        <v>1378</v>
      </c>
      <c r="I34" s="126" t="s">
        <v>415</v>
      </c>
      <c r="J34" s="126" t="s">
        <v>1410</v>
      </c>
      <c r="K34" s="143" t="s">
        <v>1388</v>
      </c>
      <c r="L34" s="143" t="s">
        <v>1411</v>
      </c>
      <c r="M34" s="143"/>
      <c r="N34" s="143"/>
      <c r="O34" s="141"/>
      <c r="P34" s="141"/>
      <c r="Q34" s="143"/>
      <c r="R34" s="143"/>
      <c r="S34" s="143"/>
      <c r="T34" s="143"/>
      <c r="U34" s="143"/>
      <c r="V34" s="143"/>
    </row>
    <row r="35" spans="1:22">
      <c r="A35" s="11" t="s">
        <v>1224</v>
      </c>
      <c r="B35" s="130">
        <v>1117001</v>
      </c>
      <c r="C35" s="126" t="s">
        <v>1239</v>
      </c>
      <c r="D35" s="126" t="s">
        <v>1412</v>
      </c>
      <c r="E35" s="126" t="s">
        <v>1413</v>
      </c>
      <c r="F35" s="126" t="s">
        <v>521</v>
      </c>
      <c r="G35" s="126" t="s">
        <v>414</v>
      </c>
      <c r="H35" s="126" t="s">
        <v>1378</v>
      </c>
      <c r="I35" s="126" t="s">
        <v>415</v>
      </c>
      <c r="J35" s="126" t="s">
        <v>1414</v>
      </c>
      <c r="K35" s="126" t="s">
        <v>1388</v>
      </c>
      <c r="L35" s="126" t="s">
        <v>1415</v>
      </c>
    </row>
    <row r="36" spans="1:22" ht="36">
      <c r="A36" s="139" t="s">
        <v>1221</v>
      </c>
      <c r="B36" s="140">
        <v>12</v>
      </c>
      <c r="C36" s="139" t="s">
        <v>1158</v>
      </c>
      <c r="D36" s="126" t="s">
        <v>1416</v>
      </c>
      <c r="E36" s="126" t="s">
        <v>1417</v>
      </c>
      <c r="F36" s="126" t="s">
        <v>1284</v>
      </c>
      <c r="G36" s="126" t="s">
        <v>425</v>
      </c>
      <c r="H36" s="126" t="s">
        <v>1303</v>
      </c>
      <c r="I36" s="126" t="s">
        <v>1304</v>
      </c>
      <c r="J36" s="126" t="s">
        <v>1418</v>
      </c>
      <c r="K36" s="139" t="s">
        <v>420</v>
      </c>
      <c r="L36" s="139" t="s">
        <v>1419</v>
      </c>
      <c r="M36" s="139"/>
      <c r="N36" s="139"/>
      <c r="O36" s="147" t="s">
        <v>1929</v>
      </c>
      <c r="P36" s="147"/>
      <c r="Q36" s="139"/>
      <c r="R36" s="139"/>
      <c r="S36" s="139"/>
      <c r="T36" s="139"/>
      <c r="U36" s="139"/>
      <c r="V36" s="139" t="s">
        <v>1943</v>
      </c>
    </row>
    <row r="37" spans="1:22" ht="24">
      <c r="A37" s="141" t="s">
        <v>1222</v>
      </c>
      <c r="B37" s="142">
        <v>1201</v>
      </c>
      <c r="C37" s="143" t="s">
        <v>1228</v>
      </c>
      <c r="D37" s="126" t="s">
        <v>1420</v>
      </c>
      <c r="E37" s="126" t="s">
        <v>1421</v>
      </c>
      <c r="F37" s="126" t="s">
        <v>521</v>
      </c>
      <c r="G37" s="126" t="s">
        <v>1287</v>
      </c>
      <c r="H37" s="126" t="s">
        <v>1422</v>
      </c>
      <c r="I37" s="126" t="s">
        <v>1423</v>
      </c>
      <c r="J37" s="126" t="s">
        <v>430</v>
      </c>
      <c r="K37" s="143" t="s">
        <v>1424</v>
      </c>
      <c r="L37" s="143" t="s">
        <v>1425</v>
      </c>
      <c r="M37" s="143" t="s">
        <v>1426</v>
      </c>
      <c r="N37" s="143"/>
      <c r="O37" s="141" t="s">
        <v>1918</v>
      </c>
      <c r="P37" s="141"/>
      <c r="Q37" s="143"/>
      <c r="R37" s="143"/>
      <c r="S37" s="143"/>
      <c r="T37" s="143"/>
      <c r="U37" s="143"/>
      <c r="V37" s="143" t="s">
        <v>1944</v>
      </c>
    </row>
    <row r="38" spans="1:22" ht="24">
      <c r="A38" s="11" t="s">
        <v>1224</v>
      </c>
      <c r="B38" s="130">
        <v>1201001</v>
      </c>
      <c r="C38" s="126" t="s">
        <v>1159</v>
      </c>
      <c r="D38" s="126" t="s">
        <v>1427</v>
      </c>
      <c r="E38" s="126" t="s">
        <v>1428</v>
      </c>
      <c r="F38" s="126" t="s">
        <v>521</v>
      </c>
      <c r="G38" s="126" t="s">
        <v>1287</v>
      </c>
      <c r="H38" s="126" t="s">
        <v>1429</v>
      </c>
      <c r="I38" s="126" t="s">
        <v>1423</v>
      </c>
      <c r="J38" s="126" t="s">
        <v>430</v>
      </c>
      <c r="K38" s="126" t="s">
        <v>1430</v>
      </c>
      <c r="L38" s="126" t="s">
        <v>1431</v>
      </c>
      <c r="M38" s="126" t="s">
        <v>1432</v>
      </c>
      <c r="O38" s="145" t="s">
        <v>1902</v>
      </c>
      <c r="V38" s="126" t="s">
        <v>1913</v>
      </c>
    </row>
    <row r="39" spans="1:22" ht="24">
      <c r="A39" s="11" t="s">
        <v>1224</v>
      </c>
      <c r="B39" s="130">
        <v>1201002</v>
      </c>
      <c r="C39" s="126" t="s">
        <v>1160</v>
      </c>
      <c r="D39" s="126" t="s">
        <v>1433</v>
      </c>
      <c r="E39" s="126" t="s">
        <v>1434</v>
      </c>
      <c r="F39" s="126" t="s">
        <v>521</v>
      </c>
      <c r="G39" s="126" t="s">
        <v>1287</v>
      </c>
      <c r="H39" s="126" t="s">
        <v>1435</v>
      </c>
      <c r="I39" s="126" t="s">
        <v>1423</v>
      </c>
      <c r="J39" s="126" t="s">
        <v>430</v>
      </c>
      <c r="K39" s="126" t="s">
        <v>1436</v>
      </c>
      <c r="L39" s="126" t="s">
        <v>1425</v>
      </c>
      <c r="M39" s="126" t="s">
        <v>1437</v>
      </c>
      <c r="O39" s="145" t="s">
        <v>1906</v>
      </c>
      <c r="V39" s="126" t="s">
        <v>1914</v>
      </c>
    </row>
    <row r="40" spans="1:22" ht="24">
      <c r="A40" s="141" t="s">
        <v>1222</v>
      </c>
      <c r="B40" s="142">
        <v>1202</v>
      </c>
      <c r="C40" s="143" t="s">
        <v>1229</v>
      </c>
      <c r="D40" s="126" t="s">
        <v>1438</v>
      </c>
      <c r="E40" s="126" t="s">
        <v>1439</v>
      </c>
      <c r="F40" s="126" t="s">
        <v>1286</v>
      </c>
      <c r="G40" s="126" t="s">
        <v>521</v>
      </c>
      <c r="H40" s="126" t="s">
        <v>1440</v>
      </c>
      <c r="I40" s="126" t="s">
        <v>1423</v>
      </c>
      <c r="J40" s="126" t="s">
        <v>430</v>
      </c>
      <c r="K40" s="143" t="s">
        <v>1441</v>
      </c>
      <c r="L40" s="143" t="s">
        <v>1442</v>
      </c>
      <c r="M40" s="143" t="s">
        <v>1443</v>
      </c>
      <c r="N40" s="143"/>
      <c r="O40" s="141" t="s">
        <v>1906</v>
      </c>
      <c r="P40" s="141"/>
      <c r="Q40" s="143"/>
      <c r="R40" s="143"/>
      <c r="S40" s="143"/>
      <c r="T40" s="143"/>
      <c r="U40" s="143"/>
      <c r="V40" s="143" t="s">
        <v>1915</v>
      </c>
    </row>
    <row r="41" spans="1:22" ht="36">
      <c r="A41" s="11" t="s">
        <v>1224</v>
      </c>
      <c r="B41" s="130">
        <v>1202001</v>
      </c>
      <c r="C41" s="126" t="s">
        <v>1161</v>
      </c>
      <c r="D41" s="126" t="s">
        <v>1444</v>
      </c>
      <c r="E41" s="126" t="s">
        <v>1445</v>
      </c>
      <c r="F41" s="126" t="s">
        <v>1286</v>
      </c>
      <c r="G41" s="126" t="s">
        <v>521</v>
      </c>
      <c r="H41" s="126" t="s">
        <v>1446</v>
      </c>
      <c r="I41" s="126" t="s">
        <v>1423</v>
      </c>
      <c r="J41" s="126" t="s">
        <v>430</v>
      </c>
      <c r="K41" s="126" t="s">
        <v>1447</v>
      </c>
      <c r="L41" s="126" t="s">
        <v>1448</v>
      </c>
      <c r="M41" s="126" t="s">
        <v>1449</v>
      </c>
      <c r="O41" s="145" t="s">
        <v>1906</v>
      </c>
      <c r="V41" s="126" t="s">
        <v>1915</v>
      </c>
    </row>
    <row r="42" spans="1:22" ht="36">
      <c r="A42" s="141" t="s">
        <v>1222</v>
      </c>
      <c r="B42" s="142">
        <v>1203</v>
      </c>
      <c r="C42" s="143" t="s">
        <v>1230</v>
      </c>
      <c r="D42" s="126" t="s">
        <v>1450</v>
      </c>
      <c r="E42" s="126" t="s">
        <v>1451</v>
      </c>
      <c r="F42" s="126" t="s">
        <v>416</v>
      </c>
      <c r="G42" s="126" t="s">
        <v>435</v>
      </c>
      <c r="H42" s="126" t="s">
        <v>1452</v>
      </c>
      <c r="I42" s="126" t="s">
        <v>1423</v>
      </c>
      <c r="J42" s="126" t="s">
        <v>1453</v>
      </c>
      <c r="K42" s="143" t="s">
        <v>1454</v>
      </c>
      <c r="L42" s="143" t="s">
        <v>1455</v>
      </c>
      <c r="M42" s="143" t="s">
        <v>1456</v>
      </c>
      <c r="N42" s="143"/>
      <c r="O42" s="141" t="s">
        <v>1918</v>
      </c>
      <c r="P42" s="141"/>
      <c r="Q42" s="143"/>
      <c r="R42" s="143"/>
      <c r="S42" s="143"/>
      <c r="T42" s="143"/>
      <c r="U42" s="143"/>
      <c r="V42" s="143" t="s">
        <v>1945</v>
      </c>
    </row>
    <row r="43" spans="1:22" ht="24">
      <c r="A43" s="11" t="s">
        <v>1224</v>
      </c>
      <c r="B43" s="130">
        <v>1203001</v>
      </c>
      <c r="C43" s="126" t="s">
        <v>1162</v>
      </c>
      <c r="D43" s="126" t="s">
        <v>1457</v>
      </c>
      <c r="E43" s="126" t="s">
        <v>1458</v>
      </c>
      <c r="F43" s="126" t="s">
        <v>416</v>
      </c>
      <c r="G43" s="126" t="s">
        <v>521</v>
      </c>
      <c r="H43" s="126" t="s">
        <v>1452</v>
      </c>
      <c r="I43" s="126" t="s">
        <v>1423</v>
      </c>
      <c r="J43" s="126" t="s">
        <v>430</v>
      </c>
      <c r="K43" s="126" t="s">
        <v>1459</v>
      </c>
      <c r="L43" s="126" t="s">
        <v>1455</v>
      </c>
      <c r="M43" s="126" t="s">
        <v>1460</v>
      </c>
      <c r="O43" s="145" t="s">
        <v>1902</v>
      </c>
      <c r="V43" s="126" t="s">
        <v>1916</v>
      </c>
    </row>
    <row r="44" spans="1:22" ht="24">
      <c r="A44" s="11" t="s">
        <v>1224</v>
      </c>
      <c r="B44" s="130">
        <v>1203002</v>
      </c>
      <c r="C44" s="126" t="s">
        <v>1163</v>
      </c>
      <c r="D44" s="126" t="s">
        <v>1461</v>
      </c>
      <c r="E44" s="126" t="s">
        <v>1462</v>
      </c>
      <c r="F44" s="126" t="s">
        <v>416</v>
      </c>
      <c r="G44" s="126" t="s">
        <v>521</v>
      </c>
      <c r="H44" s="126" t="s">
        <v>1452</v>
      </c>
      <c r="I44" s="126" t="s">
        <v>1423</v>
      </c>
      <c r="J44" s="126" t="s">
        <v>430</v>
      </c>
      <c r="K44" s="126" t="s">
        <v>1463</v>
      </c>
      <c r="L44" s="126" t="s">
        <v>1464</v>
      </c>
      <c r="M44" s="126" t="s">
        <v>1465</v>
      </c>
      <c r="O44" s="145" t="s">
        <v>1902</v>
      </c>
      <c r="V44" s="126" t="s">
        <v>1917</v>
      </c>
    </row>
    <row r="45" spans="1:22" ht="24">
      <c r="A45" s="11" t="s">
        <v>1224</v>
      </c>
      <c r="B45" s="130">
        <v>1203003</v>
      </c>
      <c r="C45" s="126" t="s">
        <v>1240</v>
      </c>
      <c r="D45" s="126" t="s">
        <v>1466</v>
      </c>
      <c r="E45" s="126" t="s">
        <v>1467</v>
      </c>
      <c r="F45" s="126" t="s">
        <v>521</v>
      </c>
      <c r="G45" s="126" t="s">
        <v>435</v>
      </c>
      <c r="H45" s="126" t="s">
        <v>1468</v>
      </c>
      <c r="I45" s="126" t="s">
        <v>1423</v>
      </c>
      <c r="J45" s="126" t="s">
        <v>434</v>
      </c>
      <c r="K45" s="126" t="s">
        <v>1469</v>
      </c>
      <c r="L45" s="126" t="s">
        <v>420</v>
      </c>
      <c r="M45" s="126" t="s">
        <v>1470</v>
      </c>
      <c r="O45" s="145" t="s">
        <v>1918</v>
      </c>
      <c r="V45" s="126" t="s">
        <v>1919</v>
      </c>
    </row>
    <row r="46" spans="1:22" ht="24">
      <c r="A46" s="11" t="s">
        <v>1224</v>
      </c>
      <c r="B46" s="130">
        <v>1203004</v>
      </c>
      <c r="C46" s="126" t="s">
        <v>1241</v>
      </c>
      <c r="D46" s="126" t="s">
        <v>1471</v>
      </c>
      <c r="E46" s="126" t="s">
        <v>436</v>
      </c>
      <c r="F46" s="126" t="s">
        <v>521</v>
      </c>
      <c r="G46" s="126" t="s">
        <v>435</v>
      </c>
      <c r="H46" s="126" t="s">
        <v>1472</v>
      </c>
      <c r="I46" s="126" t="s">
        <v>1423</v>
      </c>
      <c r="J46" s="126" t="s">
        <v>434</v>
      </c>
      <c r="K46" s="126" t="s">
        <v>1473</v>
      </c>
      <c r="L46" s="126" t="s">
        <v>420</v>
      </c>
      <c r="M46" s="126" t="s">
        <v>1474</v>
      </c>
      <c r="O46" s="145" t="s">
        <v>1918</v>
      </c>
      <c r="V46" s="126" t="s">
        <v>1920</v>
      </c>
    </row>
    <row r="47" spans="1:22" ht="24">
      <c r="A47" s="141" t="s">
        <v>1222</v>
      </c>
      <c r="B47" s="142">
        <v>1204</v>
      </c>
      <c r="C47" s="143" t="s">
        <v>1231</v>
      </c>
      <c r="D47" s="126" t="s">
        <v>1475</v>
      </c>
      <c r="E47" s="126" t="s">
        <v>1476</v>
      </c>
      <c r="F47" s="126" t="s">
        <v>416</v>
      </c>
      <c r="G47" s="126" t="s">
        <v>521</v>
      </c>
      <c r="H47" s="126" t="s">
        <v>1452</v>
      </c>
      <c r="I47" s="126" t="s">
        <v>1423</v>
      </c>
      <c r="J47" s="126" t="s">
        <v>430</v>
      </c>
      <c r="K47" s="143" t="s">
        <v>1454</v>
      </c>
      <c r="L47" s="143" t="s">
        <v>1455</v>
      </c>
      <c r="M47" s="143" t="s">
        <v>1477</v>
      </c>
      <c r="N47" s="143"/>
      <c r="O47" s="141" t="s">
        <v>1902</v>
      </c>
      <c r="P47" s="141"/>
      <c r="Q47" s="143"/>
      <c r="R47" s="143"/>
      <c r="S47" s="143"/>
      <c r="T47" s="143"/>
      <c r="U47" s="143"/>
      <c r="V47" s="143" t="s">
        <v>1921</v>
      </c>
    </row>
    <row r="48" spans="1:22" ht="24">
      <c r="A48" s="11" t="s">
        <v>1224</v>
      </c>
      <c r="B48" s="130">
        <v>1204001</v>
      </c>
      <c r="C48" s="126" t="s">
        <v>1164</v>
      </c>
      <c r="D48" s="126" t="s">
        <v>1478</v>
      </c>
      <c r="E48" s="126" t="s">
        <v>1458</v>
      </c>
      <c r="F48" s="126" t="s">
        <v>416</v>
      </c>
      <c r="G48" s="126" t="s">
        <v>521</v>
      </c>
      <c r="H48" s="126" t="s">
        <v>1452</v>
      </c>
      <c r="I48" s="126" t="s">
        <v>1423</v>
      </c>
      <c r="J48" s="126" t="s">
        <v>430</v>
      </c>
      <c r="K48" s="126" t="s">
        <v>1479</v>
      </c>
      <c r="L48" s="126" t="s">
        <v>1455</v>
      </c>
      <c r="M48" s="126" t="s">
        <v>1480</v>
      </c>
      <c r="O48" s="145" t="s">
        <v>1902</v>
      </c>
      <c r="V48" s="126" t="s">
        <v>1921</v>
      </c>
    </row>
    <row r="49" spans="1:22" ht="24">
      <c r="A49" s="141" t="s">
        <v>1222</v>
      </c>
      <c r="B49" s="142">
        <v>1205</v>
      </c>
      <c r="C49" s="143" t="s">
        <v>1242</v>
      </c>
      <c r="D49" s="126" t="s">
        <v>1481</v>
      </c>
      <c r="E49" s="126" t="s">
        <v>1482</v>
      </c>
      <c r="F49" s="126" t="s">
        <v>521</v>
      </c>
      <c r="G49" s="126" t="s">
        <v>425</v>
      </c>
      <c r="H49" s="126" t="s">
        <v>1429</v>
      </c>
      <c r="I49" s="126" t="s">
        <v>1423</v>
      </c>
      <c r="J49" s="126" t="s">
        <v>430</v>
      </c>
      <c r="K49" s="143" t="s">
        <v>1483</v>
      </c>
      <c r="L49" s="143" t="s">
        <v>1484</v>
      </c>
      <c r="M49" s="143" t="s">
        <v>1485</v>
      </c>
      <c r="N49" s="143"/>
      <c r="O49" s="141" t="s">
        <v>1922</v>
      </c>
      <c r="P49" s="141"/>
      <c r="Q49" s="143"/>
      <c r="R49" s="143"/>
      <c r="S49" s="143"/>
      <c r="T49" s="143"/>
      <c r="U49" s="143"/>
      <c r="V49" s="143" t="s">
        <v>1946</v>
      </c>
    </row>
    <row r="50" spans="1:22" ht="24">
      <c r="A50" s="11" t="s">
        <v>1224</v>
      </c>
      <c r="B50" s="130">
        <v>1205001</v>
      </c>
      <c r="C50" s="126" t="s">
        <v>1165</v>
      </c>
      <c r="D50" s="126" t="s">
        <v>1486</v>
      </c>
      <c r="E50" s="126" t="s">
        <v>1487</v>
      </c>
      <c r="F50" s="126" t="s">
        <v>416</v>
      </c>
      <c r="G50" s="126" t="s">
        <v>521</v>
      </c>
      <c r="H50" s="126" t="s">
        <v>1488</v>
      </c>
      <c r="I50" s="126" t="s">
        <v>1423</v>
      </c>
      <c r="J50" s="126" t="s">
        <v>430</v>
      </c>
      <c r="K50" s="126" t="s">
        <v>1489</v>
      </c>
      <c r="L50" s="126" t="s">
        <v>1331</v>
      </c>
      <c r="M50" s="126" t="s">
        <v>1490</v>
      </c>
      <c r="O50" s="145" t="s">
        <v>1922</v>
      </c>
      <c r="V50" s="126" t="s">
        <v>1923</v>
      </c>
    </row>
    <row r="51" spans="1:22" ht="24">
      <c r="A51" s="141" t="s">
        <v>1222</v>
      </c>
      <c r="B51" s="142">
        <v>1206</v>
      </c>
      <c r="C51" s="143" t="s">
        <v>1243</v>
      </c>
      <c r="D51" s="126" t="s">
        <v>1491</v>
      </c>
      <c r="E51" s="126" t="s">
        <v>1492</v>
      </c>
      <c r="F51" s="126" t="s">
        <v>521</v>
      </c>
      <c r="G51" s="126" t="s">
        <v>425</v>
      </c>
      <c r="H51" s="126" t="s">
        <v>1493</v>
      </c>
      <c r="I51" s="126" t="s">
        <v>1423</v>
      </c>
      <c r="J51" s="126" t="s">
        <v>430</v>
      </c>
      <c r="K51" s="143" t="s">
        <v>1494</v>
      </c>
      <c r="L51" s="143" t="s">
        <v>420</v>
      </c>
      <c r="M51" s="143" t="s">
        <v>1495</v>
      </c>
      <c r="N51" s="143"/>
      <c r="O51" s="141" t="s">
        <v>1902</v>
      </c>
      <c r="P51" s="141"/>
      <c r="Q51" s="143"/>
      <c r="R51" s="143"/>
      <c r="S51" s="143"/>
      <c r="T51" s="143"/>
      <c r="U51" s="143"/>
      <c r="V51" s="143" t="s">
        <v>1947</v>
      </c>
    </row>
    <row r="52" spans="1:22" ht="36">
      <c r="A52" s="11" t="s">
        <v>1224</v>
      </c>
      <c r="B52" s="130">
        <v>1206001</v>
      </c>
      <c r="C52" s="126" t="s">
        <v>1166</v>
      </c>
      <c r="D52" s="126" t="s">
        <v>1496</v>
      </c>
      <c r="E52" s="126" t="s">
        <v>1497</v>
      </c>
      <c r="F52" s="126" t="s">
        <v>521</v>
      </c>
      <c r="G52" s="126" t="s">
        <v>425</v>
      </c>
      <c r="H52" s="126" t="s">
        <v>1498</v>
      </c>
      <c r="I52" s="126" t="s">
        <v>1423</v>
      </c>
      <c r="J52" s="126" t="s">
        <v>430</v>
      </c>
      <c r="K52" s="126" t="s">
        <v>1499</v>
      </c>
      <c r="L52" s="126" t="s">
        <v>420</v>
      </c>
      <c r="M52" s="126" t="s">
        <v>1500</v>
      </c>
      <c r="O52" s="145" t="s">
        <v>1902</v>
      </c>
      <c r="V52" s="126" t="s">
        <v>1924</v>
      </c>
    </row>
    <row r="53" spans="1:22" ht="24">
      <c r="A53" s="11" t="s">
        <v>1224</v>
      </c>
      <c r="B53" s="130">
        <v>1206002</v>
      </c>
      <c r="C53" s="126" t="s">
        <v>1167</v>
      </c>
      <c r="D53" s="126" t="s">
        <v>1501</v>
      </c>
      <c r="E53" s="126" t="s">
        <v>1502</v>
      </c>
      <c r="F53" s="126" t="s">
        <v>521</v>
      </c>
      <c r="G53" s="126" t="s">
        <v>425</v>
      </c>
      <c r="H53" s="126" t="s">
        <v>1493</v>
      </c>
      <c r="I53" s="126" t="s">
        <v>1423</v>
      </c>
      <c r="J53" s="126" t="s">
        <v>430</v>
      </c>
      <c r="K53" s="126" t="s">
        <v>1503</v>
      </c>
      <c r="L53" s="126" t="s">
        <v>1504</v>
      </c>
      <c r="M53" s="126" t="s">
        <v>1505</v>
      </c>
      <c r="O53" s="145" t="s">
        <v>1902</v>
      </c>
      <c r="V53" s="126" t="s">
        <v>1925</v>
      </c>
    </row>
    <row r="54" spans="1:22" ht="24">
      <c r="A54" s="141" t="s">
        <v>1222</v>
      </c>
      <c r="B54" s="142">
        <v>1207</v>
      </c>
      <c r="C54" s="143" t="s">
        <v>1244</v>
      </c>
      <c r="D54" s="126" t="s">
        <v>1506</v>
      </c>
      <c r="E54" s="126" t="s">
        <v>1507</v>
      </c>
      <c r="F54" s="126" t="s">
        <v>521</v>
      </c>
      <c r="G54" s="126" t="s">
        <v>1285</v>
      </c>
      <c r="H54" s="126" t="s">
        <v>1508</v>
      </c>
      <c r="I54" s="126" t="s">
        <v>1423</v>
      </c>
      <c r="J54" s="126" t="s">
        <v>1509</v>
      </c>
      <c r="K54" s="143" t="s">
        <v>1510</v>
      </c>
      <c r="L54" s="143" t="s">
        <v>1511</v>
      </c>
      <c r="M54" s="143" t="s">
        <v>1512</v>
      </c>
      <c r="N54" s="143"/>
      <c r="O54" s="141" t="s">
        <v>1906</v>
      </c>
      <c r="P54" s="141"/>
      <c r="Q54" s="143"/>
      <c r="R54" s="143"/>
      <c r="S54" s="143"/>
      <c r="T54" s="143"/>
      <c r="U54" s="143"/>
      <c r="V54" s="143" t="s">
        <v>1907</v>
      </c>
    </row>
    <row r="55" spans="1:22" ht="24">
      <c r="A55" s="11" t="s">
        <v>1224</v>
      </c>
      <c r="B55" s="130">
        <v>1207001</v>
      </c>
      <c r="C55" s="126" t="s">
        <v>1168</v>
      </c>
      <c r="D55" s="126" t="s">
        <v>1513</v>
      </c>
      <c r="E55" s="126" t="s">
        <v>1514</v>
      </c>
      <c r="F55" s="126" t="s">
        <v>521</v>
      </c>
      <c r="G55" s="126" t="s">
        <v>1285</v>
      </c>
      <c r="H55" s="126" t="s">
        <v>1515</v>
      </c>
      <c r="I55" s="126" t="s">
        <v>1423</v>
      </c>
      <c r="J55" s="126" t="s">
        <v>430</v>
      </c>
      <c r="K55" s="126" t="s">
        <v>1516</v>
      </c>
      <c r="L55" s="126" t="s">
        <v>1517</v>
      </c>
      <c r="M55" s="126" t="s">
        <v>1518</v>
      </c>
      <c r="O55" s="145" t="s">
        <v>1906</v>
      </c>
      <c r="V55" s="126" t="s">
        <v>1907</v>
      </c>
    </row>
    <row r="56" spans="1:22" ht="24">
      <c r="A56" s="11" t="s">
        <v>1224</v>
      </c>
      <c r="B56" s="130">
        <v>1207002</v>
      </c>
      <c r="C56" s="126" t="s">
        <v>1169</v>
      </c>
      <c r="D56" s="126" t="s">
        <v>1519</v>
      </c>
      <c r="E56" s="126" t="s">
        <v>1514</v>
      </c>
      <c r="F56" s="126" t="s">
        <v>521</v>
      </c>
      <c r="G56" s="126" t="s">
        <v>1285</v>
      </c>
      <c r="H56" s="126" t="s">
        <v>1515</v>
      </c>
      <c r="I56" s="126" t="s">
        <v>1423</v>
      </c>
      <c r="J56" s="126" t="s">
        <v>430</v>
      </c>
      <c r="K56" s="126" t="s">
        <v>1520</v>
      </c>
      <c r="L56" s="126" t="s">
        <v>1448</v>
      </c>
      <c r="M56" s="126" t="s">
        <v>1521</v>
      </c>
      <c r="O56" s="145" t="s">
        <v>1906</v>
      </c>
      <c r="V56" s="126" t="s">
        <v>1907</v>
      </c>
    </row>
    <row r="57" spans="1:22" ht="24">
      <c r="A57" s="141" t="s">
        <v>1222</v>
      </c>
      <c r="B57" s="142">
        <v>1208</v>
      </c>
      <c r="C57" s="143" t="s">
        <v>1245</v>
      </c>
      <c r="D57" s="126" t="s">
        <v>1522</v>
      </c>
      <c r="E57" s="126" t="s">
        <v>1523</v>
      </c>
      <c r="F57" s="126" t="s">
        <v>1284</v>
      </c>
      <c r="G57" s="126" t="s">
        <v>1524</v>
      </c>
      <c r="H57" s="126" t="s">
        <v>1525</v>
      </c>
      <c r="I57" s="126" t="s">
        <v>1423</v>
      </c>
      <c r="J57" s="126" t="s">
        <v>430</v>
      </c>
      <c r="K57" s="143" t="s">
        <v>1526</v>
      </c>
      <c r="L57" s="143" t="s">
        <v>1527</v>
      </c>
      <c r="M57" s="143" t="s">
        <v>1528</v>
      </c>
      <c r="N57" s="143"/>
      <c r="O57" s="141" t="s">
        <v>1902</v>
      </c>
      <c r="P57" s="141"/>
      <c r="Q57" s="143"/>
      <c r="R57" s="143"/>
      <c r="S57" s="143"/>
      <c r="T57" s="143"/>
      <c r="U57" s="143"/>
      <c r="V57" s="143" t="s">
        <v>1926</v>
      </c>
    </row>
    <row r="58" spans="1:22" ht="24">
      <c r="A58" s="11" t="s">
        <v>1224</v>
      </c>
      <c r="B58" s="130">
        <v>1208001</v>
      </c>
      <c r="C58" s="126" t="s">
        <v>1170</v>
      </c>
      <c r="D58" s="126" t="s">
        <v>1529</v>
      </c>
      <c r="E58" s="126" t="s">
        <v>1523</v>
      </c>
      <c r="F58" s="126" t="s">
        <v>1284</v>
      </c>
      <c r="G58" s="126" t="s">
        <v>1524</v>
      </c>
      <c r="H58" s="126" t="s">
        <v>1525</v>
      </c>
      <c r="I58" s="126" t="s">
        <v>1423</v>
      </c>
      <c r="J58" s="126" t="s">
        <v>430</v>
      </c>
      <c r="K58" s="126" t="s">
        <v>1530</v>
      </c>
      <c r="L58" s="126" t="s">
        <v>1527</v>
      </c>
      <c r="M58" s="126" t="s">
        <v>1531</v>
      </c>
      <c r="O58" s="145" t="s">
        <v>1902</v>
      </c>
      <c r="V58" s="126" t="s">
        <v>1926</v>
      </c>
    </row>
    <row r="59" spans="1:22" ht="24">
      <c r="A59" s="11" t="s">
        <v>1224</v>
      </c>
      <c r="B59" s="130">
        <v>1208002</v>
      </c>
      <c r="C59" s="126" t="s">
        <v>1171</v>
      </c>
      <c r="D59" s="126" t="s">
        <v>1532</v>
      </c>
      <c r="E59" s="126" t="s">
        <v>1523</v>
      </c>
      <c r="F59" s="126" t="s">
        <v>1284</v>
      </c>
      <c r="G59" s="126" t="s">
        <v>1524</v>
      </c>
      <c r="H59" s="126" t="s">
        <v>1525</v>
      </c>
      <c r="I59" s="126" t="s">
        <v>1423</v>
      </c>
      <c r="J59" s="126" t="s">
        <v>430</v>
      </c>
      <c r="K59" s="126" t="s">
        <v>1533</v>
      </c>
      <c r="L59" s="126" t="s">
        <v>1527</v>
      </c>
      <c r="M59" s="126" t="s">
        <v>1534</v>
      </c>
      <c r="O59" s="145" t="s">
        <v>1902</v>
      </c>
      <c r="V59" s="126" t="s">
        <v>1926</v>
      </c>
    </row>
    <row r="60" spans="1:22" ht="24">
      <c r="A60" s="141" t="s">
        <v>1222</v>
      </c>
      <c r="B60" s="142">
        <v>1209</v>
      </c>
      <c r="C60" s="143" t="s">
        <v>1246</v>
      </c>
      <c r="D60" s="126" t="s">
        <v>1535</v>
      </c>
      <c r="E60" s="126" t="s">
        <v>1536</v>
      </c>
      <c r="F60" s="126" t="s">
        <v>1286</v>
      </c>
      <c r="G60" s="126" t="s">
        <v>521</v>
      </c>
      <c r="H60" s="126" t="s">
        <v>1446</v>
      </c>
      <c r="I60" s="126" t="s">
        <v>1423</v>
      </c>
      <c r="J60" s="126" t="s">
        <v>430</v>
      </c>
      <c r="K60" s="143" t="s">
        <v>1537</v>
      </c>
      <c r="L60" s="143" t="s">
        <v>1442</v>
      </c>
      <c r="M60" s="143" t="s">
        <v>1443</v>
      </c>
      <c r="N60" s="143"/>
      <c r="O60" s="141" t="s">
        <v>1906</v>
      </c>
      <c r="P60" s="141"/>
      <c r="Q60" s="143"/>
      <c r="R60" s="143"/>
      <c r="S60" s="143"/>
      <c r="T60" s="143"/>
      <c r="U60" s="143"/>
      <c r="V60" s="143" t="s">
        <v>1927</v>
      </c>
    </row>
    <row r="61" spans="1:22" ht="24">
      <c r="A61" s="11" t="s">
        <v>1224</v>
      </c>
      <c r="B61" s="130">
        <v>1209001</v>
      </c>
      <c r="C61" s="126" t="s">
        <v>1172</v>
      </c>
      <c r="D61" s="126" t="s">
        <v>1538</v>
      </c>
      <c r="E61" s="126" t="s">
        <v>1539</v>
      </c>
      <c r="F61" s="126" t="s">
        <v>1286</v>
      </c>
      <c r="G61" s="126" t="s">
        <v>521</v>
      </c>
      <c r="H61" s="126" t="s">
        <v>1446</v>
      </c>
      <c r="I61" s="126" t="s">
        <v>1423</v>
      </c>
      <c r="J61" s="126" t="s">
        <v>430</v>
      </c>
      <c r="K61" s="126" t="s">
        <v>1540</v>
      </c>
      <c r="L61" s="126" t="s">
        <v>1442</v>
      </c>
      <c r="M61" s="126" t="s">
        <v>1541</v>
      </c>
      <c r="O61" s="145" t="s">
        <v>1906</v>
      </c>
      <c r="V61" s="126" t="s">
        <v>1927</v>
      </c>
    </row>
    <row r="62" spans="1:22" ht="24">
      <c r="A62" s="141" t="s">
        <v>1222</v>
      </c>
      <c r="B62" s="142">
        <v>1210</v>
      </c>
      <c r="C62" s="143" t="s">
        <v>1247</v>
      </c>
      <c r="D62" s="126" t="s">
        <v>1542</v>
      </c>
      <c r="E62" s="126" t="s">
        <v>1543</v>
      </c>
      <c r="F62" s="126" t="s">
        <v>1288</v>
      </c>
      <c r="G62" s="126" t="s">
        <v>1289</v>
      </c>
      <c r="H62" s="126" t="s">
        <v>1544</v>
      </c>
      <c r="I62" s="126" t="s">
        <v>1423</v>
      </c>
      <c r="J62" s="126" t="s">
        <v>430</v>
      </c>
      <c r="K62" s="143" t="s">
        <v>1545</v>
      </c>
      <c r="L62" s="143" t="s">
        <v>1546</v>
      </c>
      <c r="M62" s="143" t="s">
        <v>1547</v>
      </c>
      <c r="N62" s="143"/>
      <c r="O62" s="141" t="s">
        <v>1902</v>
      </c>
      <c r="P62" s="141"/>
      <c r="Q62" s="143"/>
      <c r="R62" s="143"/>
      <c r="S62" s="143"/>
      <c r="T62" s="143"/>
      <c r="U62" s="143"/>
      <c r="V62" s="143" t="s">
        <v>1928</v>
      </c>
    </row>
    <row r="63" spans="1:22" ht="24">
      <c r="A63" s="11" t="s">
        <v>1224</v>
      </c>
      <c r="B63" s="130">
        <v>1210001</v>
      </c>
      <c r="C63" s="126" t="s">
        <v>1173</v>
      </c>
      <c r="D63" s="126" t="s">
        <v>1548</v>
      </c>
      <c r="E63" s="126" t="s">
        <v>1549</v>
      </c>
      <c r="F63" s="126" t="s">
        <v>1288</v>
      </c>
      <c r="G63" s="126" t="s">
        <v>1289</v>
      </c>
      <c r="H63" s="126" t="s">
        <v>1544</v>
      </c>
      <c r="I63" s="126" t="s">
        <v>1423</v>
      </c>
      <c r="J63" s="126" t="s">
        <v>430</v>
      </c>
      <c r="K63" s="126" t="s">
        <v>1550</v>
      </c>
      <c r="L63" s="126" t="s">
        <v>1546</v>
      </c>
      <c r="M63" s="126" t="s">
        <v>1551</v>
      </c>
      <c r="O63" s="145" t="s">
        <v>1902</v>
      </c>
      <c r="V63" s="126" t="s">
        <v>1928</v>
      </c>
    </row>
    <row r="64" spans="1:22" ht="22.5">
      <c r="A64" s="136" t="s">
        <v>1220</v>
      </c>
      <c r="B64" s="135">
        <v>2</v>
      </c>
      <c r="C64" s="136" t="s">
        <v>1174</v>
      </c>
      <c r="D64" s="129" t="s">
        <v>1552</v>
      </c>
      <c r="E64" s="129" t="s">
        <v>1553</v>
      </c>
      <c r="F64" s="129" t="s">
        <v>521</v>
      </c>
      <c r="G64" s="129" t="s">
        <v>425</v>
      </c>
      <c r="H64" s="129" t="s">
        <v>1303</v>
      </c>
      <c r="I64" s="129" t="s">
        <v>1304</v>
      </c>
      <c r="J64" s="129" t="s">
        <v>1554</v>
      </c>
      <c r="K64" s="136" t="s">
        <v>420</v>
      </c>
      <c r="L64" s="136" t="s">
        <v>1307</v>
      </c>
      <c r="M64" s="136"/>
      <c r="N64" s="138"/>
      <c r="O64" s="148" t="s">
        <v>1929</v>
      </c>
      <c r="P64" s="148"/>
      <c r="Q64" s="138"/>
      <c r="R64" s="138"/>
      <c r="S64" s="138"/>
      <c r="T64" s="138"/>
      <c r="U64" s="138"/>
      <c r="V64" s="138" t="s">
        <v>1948</v>
      </c>
    </row>
    <row r="65" spans="1:22" ht="24">
      <c r="A65" s="139" t="s">
        <v>1221</v>
      </c>
      <c r="B65" s="140">
        <v>21</v>
      </c>
      <c r="C65" s="139" t="s">
        <v>1175</v>
      </c>
      <c r="D65" s="126" t="s">
        <v>1555</v>
      </c>
      <c r="E65" s="126" t="s">
        <v>1556</v>
      </c>
      <c r="F65" s="126" t="s">
        <v>416</v>
      </c>
      <c r="G65" s="126" t="s">
        <v>425</v>
      </c>
      <c r="H65" s="126" t="s">
        <v>1557</v>
      </c>
      <c r="I65" s="126" t="s">
        <v>1304</v>
      </c>
      <c r="J65" s="126" t="s">
        <v>1558</v>
      </c>
      <c r="K65" s="139" t="s">
        <v>420</v>
      </c>
      <c r="L65" s="139" t="s">
        <v>1313</v>
      </c>
      <c r="M65" s="139"/>
      <c r="N65" s="139"/>
      <c r="O65" s="147" t="s">
        <v>1902</v>
      </c>
      <c r="P65" s="147"/>
      <c r="Q65" s="139"/>
      <c r="R65" s="139"/>
      <c r="S65" s="139"/>
      <c r="T65" s="139"/>
      <c r="U65" s="139"/>
      <c r="V65" s="139" t="s">
        <v>1949</v>
      </c>
    </row>
    <row r="66" spans="1:22" ht="24">
      <c r="A66" s="141" t="s">
        <v>1222</v>
      </c>
      <c r="B66" s="142">
        <v>2101</v>
      </c>
      <c r="C66" s="143" t="s">
        <v>1248</v>
      </c>
      <c r="D66" s="126" t="s">
        <v>1559</v>
      </c>
      <c r="E66" s="126" t="s">
        <v>1560</v>
      </c>
      <c r="F66" s="126" t="s">
        <v>416</v>
      </c>
      <c r="G66" s="126" t="s">
        <v>521</v>
      </c>
      <c r="H66" s="126" t="s">
        <v>1561</v>
      </c>
      <c r="I66" s="126" t="s">
        <v>503</v>
      </c>
      <c r="J66" s="126" t="s">
        <v>1562</v>
      </c>
      <c r="K66" s="143" t="s">
        <v>1563</v>
      </c>
      <c r="L66" s="143" t="s">
        <v>1374</v>
      </c>
      <c r="M66" s="143" t="s">
        <v>1564</v>
      </c>
      <c r="N66" s="143"/>
      <c r="O66" s="141" t="s">
        <v>1900</v>
      </c>
      <c r="P66" s="141"/>
      <c r="Q66" s="143"/>
      <c r="R66" s="143"/>
      <c r="S66" s="143"/>
      <c r="T66" s="143"/>
      <c r="U66" s="143"/>
      <c r="V66" s="143" t="s">
        <v>1950</v>
      </c>
    </row>
    <row r="67" spans="1:22" ht="24">
      <c r="A67" s="11" t="s">
        <v>1224</v>
      </c>
      <c r="B67" s="130">
        <v>2101001</v>
      </c>
      <c r="C67" s="126" t="s">
        <v>1176</v>
      </c>
      <c r="D67" s="126" t="s">
        <v>1565</v>
      </c>
      <c r="E67" s="126" t="s">
        <v>1566</v>
      </c>
      <c r="F67" s="126" t="s">
        <v>416</v>
      </c>
      <c r="G67" s="126" t="s">
        <v>521</v>
      </c>
      <c r="H67" s="126" t="s">
        <v>1567</v>
      </c>
      <c r="I67" s="126" t="s">
        <v>1423</v>
      </c>
      <c r="J67" s="126" t="s">
        <v>503</v>
      </c>
      <c r="K67" s="126" t="s">
        <v>1568</v>
      </c>
      <c r="L67" s="126" t="s">
        <v>1563</v>
      </c>
      <c r="M67" s="126" t="s">
        <v>1374</v>
      </c>
      <c r="N67" s="126" t="s">
        <v>1569</v>
      </c>
      <c r="O67" s="145" t="s">
        <v>1908</v>
      </c>
      <c r="V67" s="126" t="s">
        <v>1909</v>
      </c>
    </row>
    <row r="68" spans="1:22" ht="24">
      <c r="A68" s="11" t="s">
        <v>1224</v>
      </c>
      <c r="B68" s="130">
        <v>2101002</v>
      </c>
      <c r="C68" s="126" t="s">
        <v>1177</v>
      </c>
      <c r="D68" s="126" t="s">
        <v>1565</v>
      </c>
      <c r="E68" s="126" t="s">
        <v>1566</v>
      </c>
      <c r="F68" s="126" t="s">
        <v>416</v>
      </c>
      <c r="G68" s="126" t="s">
        <v>521</v>
      </c>
      <c r="H68" s="126" t="s">
        <v>1567</v>
      </c>
      <c r="I68" s="126" t="s">
        <v>1423</v>
      </c>
      <c r="J68" s="126" t="s">
        <v>503</v>
      </c>
      <c r="K68" s="126" t="s">
        <v>1568</v>
      </c>
      <c r="L68" s="126" t="s">
        <v>1563</v>
      </c>
      <c r="M68" s="126" t="s">
        <v>1374</v>
      </c>
      <c r="N68" s="126" t="s">
        <v>1569</v>
      </c>
      <c r="O68" s="145" t="s">
        <v>1908</v>
      </c>
      <c r="V68" s="126" t="s">
        <v>1909</v>
      </c>
    </row>
    <row r="69" spans="1:22" ht="24">
      <c r="A69" s="141" t="s">
        <v>1222</v>
      </c>
      <c r="B69" s="142">
        <v>2102</v>
      </c>
      <c r="C69" s="143" t="s">
        <v>1249</v>
      </c>
      <c r="D69" s="126" t="s">
        <v>1570</v>
      </c>
      <c r="E69" s="126" t="s">
        <v>1571</v>
      </c>
      <c r="F69" s="126" t="s">
        <v>521</v>
      </c>
      <c r="G69" s="126" t="s">
        <v>425</v>
      </c>
      <c r="H69" s="126" t="s">
        <v>1557</v>
      </c>
      <c r="I69" s="126" t="s">
        <v>1304</v>
      </c>
      <c r="J69" s="126" t="s">
        <v>1572</v>
      </c>
      <c r="K69" s="143" t="s">
        <v>1484</v>
      </c>
      <c r="L69" s="143" t="s">
        <v>1573</v>
      </c>
      <c r="M69" s="143"/>
      <c r="N69" s="143"/>
      <c r="O69" s="141" t="s">
        <v>1902</v>
      </c>
      <c r="P69" s="141"/>
      <c r="Q69" s="143"/>
      <c r="R69" s="143"/>
      <c r="S69" s="143"/>
      <c r="T69" s="143"/>
      <c r="U69" s="143"/>
      <c r="V69" s="143" t="s">
        <v>1951</v>
      </c>
    </row>
    <row r="70" spans="1:22" ht="24">
      <c r="A70" s="11" t="s">
        <v>1224</v>
      </c>
      <c r="B70" s="130">
        <v>2102001</v>
      </c>
      <c r="C70" s="126" t="s">
        <v>1178</v>
      </c>
      <c r="D70" s="126" t="s">
        <v>1574</v>
      </c>
      <c r="E70" s="126" t="s">
        <v>1575</v>
      </c>
      <c r="F70" s="126" t="s">
        <v>521</v>
      </c>
      <c r="G70" s="126" t="s">
        <v>425</v>
      </c>
      <c r="H70" s="126" t="s">
        <v>1576</v>
      </c>
      <c r="I70" s="126" t="s">
        <v>432</v>
      </c>
      <c r="J70" s="126" t="s">
        <v>1577</v>
      </c>
      <c r="K70" s="126" t="s">
        <v>1578</v>
      </c>
      <c r="L70" s="126" t="s">
        <v>1579</v>
      </c>
      <c r="O70" s="145" t="s">
        <v>1902</v>
      </c>
      <c r="V70" s="126" t="s">
        <v>1952</v>
      </c>
    </row>
    <row r="71" spans="1:22" ht="24">
      <c r="A71" s="141" t="s">
        <v>1222</v>
      </c>
      <c r="B71" s="142">
        <v>2103</v>
      </c>
      <c r="C71" s="143" t="s">
        <v>1250</v>
      </c>
      <c r="D71" s="126" t="s">
        <v>1580</v>
      </c>
      <c r="E71" s="126" t="s">
        <v>1581</v>
      </c>
      <c r="F71" s="126" t="s">
        <v>416</v>
      </c>
      <c r="G71" s="126" t="s">
        <v>1582</v>
      </c>
      <c r="H71" s="126" t="s">
        <v>1583</v>
      </c>
      <c r="I71" s="126" t="s">
        <v>1423</v>
      </c>
      <c r="J71" s="126" t="s">
        <v>1296</v>
      </c>
      <c r="K71" s="143" t="s">
        <v>1584</v>
      </c>
      <c r="L71" s="143" t="s">
        <v>420</v>
      </c>
      <c r="M71" s="143" t="s">
        <v>1585</v>
      </c>
      <c r="N71" s="143"/>
      <c r="O71" s="141" t="s">
        <v>1906</v>
      </c>
      <c r="P71" s="141"/>
      <c r="Q71" s="143"/>
      <c r="R71" s="143"/>
      <c r="S71" s="143"/>
      <c r="T71" s="143"/>
      <c r="U71" s="143"/>
      <c r="V71" s="143" t="s">
        <v>1953</v>
      </c>
    </row>
    <row r="72" spans="1:22">
      <c r="A72" s="11" t="s">
        <v>1224</v>
      </c>
      <c r="B72" s="130">
        <v>2103001</v>
      </c>
      <c r="C72" s="126" t="s">
        <v>1156</v>
      </c>
      <c r="D72" s="126" t="s">
        <v>1586</v>
      </c>
      <c r="E72" s="126" t="s">
        <v>1290</v>
      </c>
      <c r="F72" s="126" t="s">
        <v>416</v>
      </c>
      <c r="G72" s="126" t="s">
        <v>1582</v>
      </c>
      <c r="H72" s="126" t="s">
        <v>1583</v>
      </c>
      <c r="I72" s="126" t="s">
        <v>1423</v>
      </c>
      <c r="J72" s="126" t="s">
        <v>1296</v>
      </c>
      <c r="K72" s="126" t="s">
        <v>1587</v>
      </c>
      <c r="L72" s="126" t="s">
        <v>420</v>
      </c>
      <c r="M72" s="126" t="s">
        <v>1588</v>
      </c>
      <c r="O72" s="145" t="s">
        <v>1906</v>
      </c>
      <c r="V72" s="126" t="s">
        <v>1954</v>
      </c>
    </row>
    <row r="73" spans="1:22" ht="24">
      <c r="A73" s="11" t="s">
        <v>1224</v>
      </c>
      <c r="B73" s="130">
        <v>2103002</v>
      </c>
      <c r="C73" s="126" t="s">
        <v>1179</v>
      </c>
      <c r="D73" s="126" t="s">
        <v>1589</v>
      </c>
      <c r="E73" s="126" t="s">
        <v>1290</v>
      </c>
      <c r="F73" s="126" t="s">
        <v>416</v>
      </c>
      <c r="G73" s="126" t="s">
        <v>1582</v>
      </c>
      <c r="H73" s="126" t="s">
        <v>1583</v>
      </c>
      <c r="I73" s="126" t="s">
        <v>1423</v>
      </c>
      <c r="J73" s="126" t="s">
        <v>1296</v>
      </c>
      <c r="K73" s="126" t="s">
        <v>1590</v>
      </c>
      <c r="L73" s="126" t="s">
        <v>420</v>
      </c>
      <c r="M73" s="126" t="s">
        <v>1591</v>
      </c>
      <c r="O73" s="145" t="s">
        <v>1906</v>
      </c>
      <c r="V73" s="126" t="s">
        <v>1955</v>
      </c>
    </row>
    <row r="74" spans="1:22" ht="24">
      <c r="A74" s="141" t="s">
        <v>1222</v>
      </c>
      <c r="B74" s="142">
        <v>2104</v>
      </c>
      <c r="C74" s="143" t="s">
        <v>1251</v>
      </c>
      <c r="D74" s="126" t="s">
        <v>1592</v>
      </c>
      <c r="E74" s="126" t="s">
        <v>1593</v>
      </c>
      <c r="F74" s="126" t="s">
        <v>1286</v>
      </c>
      <c r="G74" s="126" t="s">
        <v>521</v>
      </c>
      <c r="H74" s="126" t="s">
        <v>1594</v>
      </c>
      <c r="I74" s="126" t="s">
        <v>1423</v>
      </c>
      <c r="J74" s="126" t="s">
        <v>430</v>
      </c>
      <c r="K74" s="143" t="s">
        <v>1595</v>
      </c>
      <c r="L74" s="143" t="s">
        <v>1442</v>
      </c>
      <c r="M74" s="143" t="s">
        <v>1596</v>
      </c>
      <c r="N74" s="143"/>
      <c r="O74" s="141" t="s">
        <v>1906</v>
      </c>
      <c r="P74" s="141"/>
      <c r="Q74" s="143"/>
      <c r="R74" s="143"/>
      <c r="S74" s="143"/>
      <c r="T74" s="143"/>
      <c r="U74" s="143"/>
      <c r="V74" s="143" t="s">
        <v>1956</v>
      </c>
    </row>
    <row r="75" spans="1:22" ht="24">
      <c r="A75" s="11" t="s">
        <v>1224</v>
      </c>
      <c r="B75" s="130">
        <v>2104001</v>
      </c>
      <c r="C75" s="126" t="s">
        <v>1180</v>
      </c>
      <c r="D75" s="126" t="s">
        <v>1597</v>
      </c>
      <c r="E75" s="126" t="s">
        <v>1598</v>
      </c>
      <c r="F75" s="126" t="s">
        <v>1286</v>
      </c>
      <c r="G75" s="126" t="s">
        <v>521</v>
      </c>
      <c r="H75" s="126" t="s">
        <v>1446</v>
      </c>
      <c r="I75" s="126" t="s">
        <v>1423</v>
      </c>
      <c r="J75" s="126" t="s">
        <v>430</v>
      </c>
      <c r="K75" s="126" t="s">
        <v>1599</v>
      </c>
      <c r="L75" s="126" t="s">
        <v>1448</v>
      </c>
      <c r="M75" s="126" t="s">
        <v>1600</v>
      </c>
      <c r="O75" s="145" t="s">
        <v>1906</v>
      </c>
      <c r="V75" s="126" t="s">
        <v>1957</v>
      </c>
    </row>
    <row r="76" spans="1:22" ht="24">
      <c r="A76" s="141" t="s">
        <v>1222</v>
      </c>
      <c r="B76" s="142">
        <v>2105</v>
      </c>
      <c r="C76" s="143" t="s">
        <v>1252</v>
      </c>
      <c r="D76" s="126" t="s">
        <v>1601</v>
      </c>
      <c r="E76" s="126" t="s">
        <v>1290</v>
      </c>
      <c r="F76" s="126" t="s">
        <v>416</v>
      </c>
      <c r="G76" s="126" t="s">
        <v>521</v>
      </c>
      <c r="H76" s="126" t="s">
        <v>1488</v>
      </c>
      <c r="I76" s="126" t="s">
        <v>1423</v>
      </c>
      <c r="J76" s="126" t="s">
        <v>1357</v>
      </c>
      <c r="K76" s="143" t="s">
        <v>1602</v>
      </c>
      <c r="L76" s="143" t="s">
        <v>1331</v>
      </c>
      <c r="M76" s="143" t="s">
        <v>1603</v>
      </c>
      <c r="N76" s="143"/>
      <c r="O76" s="141" t="s">
        <v>1902</v>
      </c>
      <c r="P76" s="141"/>
      <c r="Q76" s="143"/>
      <c r="R76" s="143"/>
      <c r="S76" s="143"/>
      <c r="T76" s="143"/>
      <c r="U76" s="143"/>
      <c r="V76" s="143" t="s">
        <v>1958</v>
      </c>
    </row>
    <row r="77" spans="1:22" ht="24">
      <c r="A77" s="11" t="s">
        <v>1224</v>
      </c>
      <c r="B77" s="130">
        <v>2105001</v>
      </c>
      <c r="C77" s="126" t="s">
        <v>1181</v>
      </c>
      <c r="D77" s="126" t="s">
        <v>1604</v>
      </c>
      <c r="E77" s="126" t="s">
        <v>1605</v>
      </c>
      <c r="F77" s="126" t="s">
        <v>416</v>
      </c>
      <c r="G77" s="126" t="s">
        <v>521</v>
      </c>
      <c r="H77" s="126" t="s">
        <v>1488</v>
      </c>
      <c r="I77" s="126" t="s">
        <v>1423</v>
      </c>
      <c r="J77" s="126" t="s">
        <v>430</v>
      </c>
      <c r="K77" s="126" t="s">
        <v>1606</v>
      </c>
      <c r="L77" s="126" t="s">
        <v>1331</v>
      </c>
      <c r="M77" s="126" t="s">
        <v>1607</v>
      </c>
      <c r="O77" s="145" t="s">
        <v>1902</v>
      </c>
      <c r="V77" s="126" t="s">
        <v>1959</v>
      </c>
    </row>
    <row r="78" spans="1:22" ht="24">
      <c r="A78" s="141" t="s">
        <v>1222</v>
      </c>
      <c r="B78" s="142">
        <v>2106</v>
      </c>
      <c r="C78" s="143" t="s">
        <v>1253</v>
      </c>
      <c r="D78" s="126" t="s">
        <v>1608</v>
      </c>
      <c r="E78" s="126" t="s">
        <v>1290</v>
      </c>
      <c r="F78" s="126" t="s">
        <v>416</v>
      </c>
      <c r="G78" s="126" t="s">
        <v>521</v>
      </c>
      <c r="H78" s="126" t="s">
        <v>1488</v>
      </c>
      <c r="I78" s="126" t="s">
        <v>1423</v>
      </c>
      <c r="J78" s="126" t="s">
        <v>430</v>
      </c>
      <c r="K78" s="143" t="s">
        <v>1609</v>
      </c>
      <c r="L78" s="143" t="s">
        <v>1331</v>
      </c>
      <c r="M78" s="143" t="s">
        <v>1603</v>
      </c>
      <c r="N78" s="143"/>
      <c r="O78" s="141" t="s">
        <v>1902</v>
      </c>
      <c r="P78" s="141"/>
      <c r="Q78" s="143"/>
      <c r="R78" s="143"/>
      <c r="S78" s="143"/>
      <c r="T78" s="143"/>
      <c r="U78" s="143"/>
      <c r="V78" s="143" t="s">
        <v>1958</v>
      </c>
    </row>
    <row r="79" spans="1:22" ht="24">
      <c r="A79" s="11" t="s">
        <v>1224</v>
      </c>
      <c r="B79" s="130">
        <v>2106001</v>
      </c>
      <c r="C79" s="126" t="s">
        <v>1182</v>
      </c>
      <c r="D79" s="126" t="s">
        <v>1610</v>
      </c>
      <c r="E79" s="126" t="s">
        <v>1611</v>
      </c>
      <c r="F79" s="126" t="s">
        <v>416</v>
      </c>
      <c r="G79" s="126" t="s">
        <v>521</v>
      </c>
      <c r="H79" s="126" t="s">
        <v>1488</v>
      </c>
      <c r="I79" s="126" t="s">
        <v>1423</v>
      </c>
      <c r="J79" s="126" t="s">
        <v>430</v>
      </c>
      <c r="K79" s="126" t="s">
        <v>1612</v>
      </c>
      <c r="L79" s="126" t="s">
        <v>1331</v>
      </c>
      <c r="M79" s="126" t="s">
        <v>1613</v>
      </c>
      <c r="O79" s="145" t="s">
        <v>1902</v>
      </c>
      <c r="V79" s="126" t="s">
        <v>1960</v>
      </c>
    </row>
    <row r="80" spans="1:22" ht="24">
      <c r="A80" s="141" t="s">
        <v>1222</v>
      </c>
      <c r="B80" s="142">
        <v>2107</v>
      </c>
      <c r="C80" s="143" t="s">
        <v>1254</v>
      </c>
      <c r="D80" s="126" t="s">
        <v>1614</v>
      </c>
      <c r="E80" s="126" t="s">
        <v>1615</v>
      </c>
      <c r="F80" s="126" t="s">
        <v>521</v>
      </c>
      <c r="G80" s="126" t="s">
        <v>425</v>
      </c>
      <c r="H80" s="126" t="s">
        <v>1576</v>
      </c>
      <c r="I80" s="126" t="s">
        <v>1304</v>
      </c>
      <c r="J80" s="126" t="s">
        <v>1616</v>
      </c>
      <c r="K80" s="143" t="s">
        <v>1484</v>
      </c>
      <c r="L80" s="143" t="s">
        <v>1617</v>
      </c>
      <c r="M80" s="143"/>
      <c r="N80" s="143"/>
      <c r="O80" s="141" t="s">
        <v>1900</v>
      </c>
      <c r="P80" s="141"/>
      <c r="Q80" s="143"/>
      <c r="R80" s="143"/>
      <c r="S80" s="143"/>
      <c r="T80" s="143"/>
      <c r="U80" s="143"/>
      <c r="V80" s="143" t="s">
        <v>1961</v>
      </c>
    </row>
    <row r="81" spans="1:22" ht="24">
      <c r="A81" s="11" t="s">
        <v>1224</v>
      </c>
      <c r="B81" s="130">
        <v>2107001</v>
      </c>
      <c r="C81" s="126" t="s">
        <v>1183</v>
      </c>
      <c r="D81" s="126" t="s">
        <v>1618</v>
      </c>
      <c r="E81" s="126" t="s">
        <v>1615</v>
      </c>
      <c r="F81" s="126" t="s">
        <v>521</v>
      </c>
      <c r="G81" s="126" t="s">
        <v>425</v>
      </c>
      <c r="H81" s="126" t="s">
        <v>1619</v>
      </c>
      <c r="I81" s="126" t="s">
        <v>1423</v>
      </c>
      <c r="J81" s="126" t="s">
        <v>432</v>
      </c>
      <c r="K81" s="126" t="s">
        <v>1620</v>
      </c>
      <c r="L81" s="126" t="s">
        <v>1292</v>
      </c>
      <c r="M81" s="126" t="s">
        <v>1621</v>
      </c>
      <c r="O81" s="145" t="s">
        <v>1900</v>
      </c>
      <c r="V81" s="126" t="s">
        <v>1962</v>
      </c>
    </row>
    <row r="82" spans="1:22" ht="24">
      <c r="A82" s="141" t="s">
        <v>1222</v>
      </c>
      <c r="B82" s="142">
        <v>2108</v>
      </c>
      <c r="C82" s="143" t="s">
        <v>1255</v>
      </c>
      <c r="D82" s="126" t="s">
        <v>1622</v>
      </c>
      <c r="E82" s="126" t="s">
        <v>1290</v>
      </c>
      <c r="F82" s="126" t="s">
        <v>416</v>
      </c>
      <c r="G82" s="126" t="s">
        <v>521</v>
      </c>
      <c r="H82" s="126" t="s">
        <v>1623</v>
      </c>
      <c r="I82" s="126" t="s">
        <v>1423</v>
      </c>
      <c r="J82" s="126" t="s">
        <v>503</v>
      </c>
      <c r="K82" s="143" t="s">
        <v>1624</v>
      </c>
      <c r="L82" s="143" t="s">
        <v>1625</v>
      </c>
      <c r="M82" s="143" t="s">
        <v>1626</v>
      </c>
      <c r="N82" s="143"/>
      <c r="O82" s="141" t="s">
        <v>1900</v>
      </c>
      <c r="P82" s="141"/>
      <c r="Q82" s="143"/>
      <c r="R82" s="143"/>
      <c r="S82" s="143"/>
      <c r="T82" s="143"/>
      <c r="U82" s="143"/>
      <c r="V82" s="143" t="s">
        <v>1963</v>
      </c>
    </row>
    <row r="83" spans="1:22">
      <c r="A83" s="11" t="s">
        <v>1224</v>
      </c>
      <c r="B83" s="130">
        <v>2108001</v>
      </c>
      <c r="C83" s="126" t="s">
        <v>1184</v>
      </c>
      <c r="D83" s="126" t="s">
        <v>1627</v>
      </c>
      <c r="E83" s="126" t="s">
        <v>1290</v>
      </c>
      <c r="F83" s="126" t="s">
        <v>416</v>
      </c>
      <c r="G83" s="126" t="s">
        <v>521</v>
      </c>
      <c r="H83" s="126" t="s">
        <v>1628</v>
      </c>
      <c r="I83" s="126" t="s">
        <v>1423</v>
      </c>
      <c r="J83" s="126" t="s">
        <v>503</v>
      </c>
      <c r="K83" s="126" t="s">
        <v>1629</v>
      </c>
      <c r="L83" s="126" t="s">
        <v>1625</v>
      </c>
      <c r="M83" s="126" t="s">
        <v>1630</v>
      </c>
      <c r="O83" s="145" t="s">
        <v>1900</v>
      </c>
      <c r="V83" s="126" t="s">
        <v>1963</v>
      </c>
    </row>
    <row r="84" spans="1:22" ht="24">
      <c r="A84" s="141" t="s">
        <v>1222</v>
      </c>
      <c r="B84" s="142">
        <v>2109</v>
      </c>
      <c r="C84" s="143" t="s">
        <v>426</v>
      </c>
      <c r="D84" s="126" t="s">
        <v>1631</v>
      </c>
      <c r="E84" s="126" t="s">
        <v>1632</v>
      </c>
      <c r="F84" s="126" t="s">
        <v>521</v>
      </c>
      <c r="G84" s="126" t="s">
        <v>521</v>
      </c>
      <c r="H84" s="126" t="s">
        <v>1633</v>
      </c>
      <c r="I84" s="126" t="s">
        <v>1423</v>
      </c>
      <c r="J84" s="126" t="s">
        <v>1291</v>
      </c>
      <c r="K84" s="143" t="s">
        <v>1634</v>
      </c>
      <c r="L84" s="143" t="s">
        <v>1635</v>
      </c>
      <c r="M84" s="143" t="s">
        <v>1636</v>
      </c>
      <c r="N84" s="143"/>
      <c r="O84" s="141" t="s">
        <v>1902</v>
      </c>
      <c r="P84" s="141"/>
      <c r="Q84" s="143"/>
      <c r="R84" s="143"/>
      <c r="S84" s="143"/>
      <c r="T84" s="143"/>
      <c r="U84" s="143"/>
      <c r="V84" s="143" t="s">
        <v>1964</v>
      </c>
    </row>
    <row r="85" spans="1:22" ht="24">
      <c r="A85" s="11" t="s">
        <v>1224</v>
      </c>
      <c r="B85" s="130">
        <v>2109001</v>
      </c>
      <c r="C85" s="126" t="s">
        <v>1185</v>
      </c>
      <c r="D85" s="126" t="s">
        <v>1637</v>
      </c>
      <c r="E85" s="126" t="s">
        <v>1638</v>
      </c>
      <c r="F85" s="126" t="s">
        <v>521</v>
      </c>
      <c r="G85" s="126" t="s">
        <v>521</v>
      </c>
      <c r="H85" s="126" t="s">
        <v>1633</v>
      </c>
      <c r="I85" s="126" t="s">
        <v>1423</v>
      </c>
      <c r="J85" s="126" t="s">
        <v>1291</v>
      </c>
      <c r="K85" s="126" t="s">
        <v>1639</v>
      </c>
      <c r="L85" s="126" t="s">
        <v>1635</v>
      </c>
      <c r="M85" s="126" t="s">
        <v>1640</v>
      </c>
      <c r="O85" s="145" t="s">
        <v>1902</v>
      </c>
      <c r="V85" s="126" t="s">
        <v>1964</v>
      </c>
    </row>
    <row r="86" spans="1:22" ht="24">
      <c r="A86" s="141" t="s">
        <v>1222</v>
      </c>
      <c r="B86" s="142">
        <v>2110</v>
      </c>
      <c r="C86" s="143" t="s">
        <v>1256</v>
      </c>
      <c r="D86" s="126" t="s">
        <v>1641</v>
      </c>
      <c r="E86" s="126" t="s">
        <v>1642</v>
      </c>
      <c r="F86" s="126" t="s">
        <v>521</v>
      </c>
      <c r="G86" s="126" t="s">
        <v>1294</v>
      </c>
      <c r="H86" s="126" t="s">
        <v>1643</v>
      </c>
      <c r="I86" s="126" t="s">
        <v>1423</v>
      </c>
      <c r="J86" s="126" t="s">
        <v>430</v>
      </c>
      <c r="K86" s="143" t="s">
        <v>1644</v>
      </c>
      <c r="L86" s="143" t="s">
        <v>1645</v>
      </c>
      <c r="M86" s="143" t="s">
        <v>1646</v>
      </c>
      <c r="N86" s="143"/>
      <c r="O86" s="141" t="s">
        <v>1902</v>
      </c>
      <c r="P86" s="141"/>
      <c r="Q86" s="143"/>
      <c r="R86" s="143"/>
      <c r="S86" s="143"/>
      <c r="T86" s="143"/>
      <c r="U86" s="143"/>
      <c r="V86" s="143" t="s">
        <v>1965</v>
      </c>
    </row>
    <row r="87" spans="1:22" ht="24">
      <c r="A87" s="11" t="s">
        <v>1224</v>
      </c>
      <c r="B87" s="130">
        <v>2110001</v>
      </c>
      <c r="C87" s="126" t="s">
        <v>1186</v>
      </c>
      <c r="D87" s="126" t="s">
        <v>1647</v>
      </c>
      <c r="E87" s="126" t="s">
        <v>1648</v>
      </c>
      <c r="F87" s="126" t="s">
        <v>521</v>
      </c>
      <c r="G87" s="126" t="s">
        <v>521</v>
      </c>
      <c r="H87" s="126" t="s">
        <v>1649</v>
      </c>
      <c r="I87" s="126" t="s">
        <v>1374</v>
      </c>
      <c r="J87" s="126" t="s">
        <v>430</v>
      </c>
      <c r="K87" s="126" t="s">
        <v>1650</v>
      </c>
      <c r="L87" s="126" t="s">
        <v>429</v>
      </c>
      <c r="M87" s="126" t="s">
        <v>1651</v>
      </c>
      <c r="O87" s="145" t="s">
        <v>1902</v>
      </c>
      <c r="V87" s="126" t="s">
        <v>1966</v>
      </c>
    </row>
    <row r="89" spans="1:22" ht="24">
      <c r="A89" s="139" t="s">
        <v>1221</v>
      </c>
      <c r="B89" s="140">
        <v>22</v>
      </c>
      <c r="C89" s="139" t="s">
        <v>1187</v>
      </c>
      <c r="D89" s="126" t="s">
        <v>1652</v>
      </c>
      <c r="E89" s="126" t="s">
        <v>1290</v>
      </c>
      <c r="F89" s="126" t="s">
        <v>416</v>
      </c>
      <c r="G89" s="126" t="s">
        <v>425</v>
      </c>
      <c r="H89" s="126" t="s">
        <v>1653</v>
      </c>
      <c r="I89" s="126" t="s">
        <v>1423</v>
      </c>
      <c r="J89" s="126" t="s">
        <v>1304</v>
      </c>
      <c r="K89" s="139" t="s">
        <v>1654</v>
      </c>
      <c r="L89" s="139" t="s">
        <v>420</v>
      </c>
      <c r="M89" s="139" t="s">
        <v>1613</v>
      </c>
      <c r="N89" s="139"/>
      <c r="O89" s="147" t="s">
        <v>1929</v>
      </c>
      <c r="P89" s="147"/>
      <c r="Q89" s="139"/>
      <c r="R89" s="139"/>
      <c r="S89" s="139"/>
      <c r="T89" s="139"/>
      <c r="U89" s="139"/>
      <c r="V89" s="139" t="s">
        <v>1948</v>
      </c>
    </row>
    <row r="90" spans="1:22" ht="24">
      <c r="A90" s="141" t="s">
        <v>1222</v>
      </c>
      <c r="B90" s="142">
        <v>2201</v>
      </c>
      <c r="C90" s="143" t="s">
        <v>1257</v>
      </c>
      <c r="D90" s="126" t="s">
        <v>1655</v>
      </c>
      <c r="E90" s="126" t="s">
        <v>1656</v>
      </c>
      <c r="F90" s="126" t="s">
        <v>521</v>
      </c>
      <c r="G90" s="126" t="s">
        <v>1293</v>
      </c>
      <c r="H90" s="126" t="s">
        <v>1657</v>
      </c>
      <c r="I90" s="126" t="s">
        <v>1423</v>
      </c>
      <c r="J90" s="126" t="s">
        <v>430</v>
      </c>
      <c r="K90" s="143" t="s">
        <v>1658</v>
      </c>
      <c r="L90" s="143" t="s">
        <v>1292</v>
      </c>
      <c r="M90" s="143" t="s">
        <v>1659</v>
      </c>
      <c r="N90" s="143"/>
      <c r="O90" s="141" t="s">
        <v>1910</v>
      </c>
      <c r="P90" s="141"/>
      <c r="Q90" s="143"/>
      <c r="R90" s="143"/>
      <c r="S90" s="143"/>
      <c r="T90" s="143"/>
      <c r="U90" s="143"/>
      <c r="V90" s="143" t="s">
        <v>1967</v>
      </c>
    </row>
    <row r="91" spans="1:22" ht="24">
      <c r="A91" s="11" t="s">
        <v>1224</v>
      </c>
      <c r="B91" s="130">
        <v>2201001</v>
      </c>
      <c r="C91" s="126" t="s">
        <v>1188</v>
      </c>
      <c r="D91" s="126" t="s">
        <v>1660</v>
      </c>
      <c r="E91" s="126" t="s">
        <v>1661</v>
      </c>
      <c r="F91" s="126" t="s">
        <v>521</v>
      </c>
      <c r="G91" s="126" t="s">
        <v>1293</v>
      </c>
      <c r="H91" s="126" t="s">
        <v>1662</v>
      </c>
      <c r="I91" s="126" t="s">
        <v>1423</v>
      </c>
      <c r="J91" s="126" t="s">
        <v>430</v>
      </c>
      <c r="K91" s="126" t="s">
        <v>1620</v>
      </c>
      <c r="L91" s="126" t="s">
        <v>1292</v>
      </c>
      <c r="M91" s="126" t="s">
        <v>1663</v>
      </c>
      <c r="O91" s="145" t="s">
        <v>1910</v>
      </c>
      <c r="V91" s="126" t="s">
        <v>1967</v>
      </c>
    </row>
    <row r="92" spans="1:22" ht="24">
      <c r="A92" s="141" t="s">
        <v>1222</v>
      </c>
      <c r="B92" s="142">
        <v>2202</v>
      </c>
      <c r="C92" s="143" t="s">
        <v>1250</v>
      </c>
      <c r="D92" s="126" t="s">
        <v>1664</v>
      </c>
      <c r="E92" s="126" t="s">
        <v>1290</v>
      </c>
      <c r="F92" s="126" t="s">
        <v>416</v>
      </c>
      <c r="G92" s="126" t="s">
        <v>1582</v>
      </c>
      <c r="H92" s="126" t="s">
        <v>1583</v>
      </c>
      <c r="I92" s="126" t="s">
        <v>1423</v>
      </c>
      <c r="J92" s="126" t="s">
        <v>1296</v>
      </c>
      <c r="K92" s="143" t="s">
        <v>1665</v>
      </c>
      <c r="L92" s="143" t="s">
        <v>420</v>
      </c>
      <c r="M92" s="143" t="s">
        <v>1666</v>
      </c>
      <c r="N92" s="143"/>
      <c r="O92" s="141" t="s">
        <v>1906</v>
      </c>
      <c r="P92" s="141"/>
      <c r="Q92" s="143"/>
      <c r="R92" s="143"/>
      <c r="S92" s="143"/>
      <c r="T92" s="143"/>
      <c r="U92" s="143"/>
      <c r="V92" s="143" t="s">
        <v>1953</v>
      </c>
    </row>
    <row r="93" spans="1:22" ht="24">
      <c r="A93" s="11" t="s">
        <v>1224</v>
      </c>
      <c r="B93" s="130">
        <v>2202001</v>
      </c>
      <c r="C93" s="126" t="s">
        <v>1156</v>
      </c>
      <c r="D93" s="126" t="s">
        <v>1667</v>
      </c>
      <c r="E93" s="126" t="s">
        <v>1290</v>
      </c>
      <c r="F93" s="126" t="s">
        <v>416</v>
      </c>
      <c r="G93" s="126" t="s">
        <v>1582</v>
      </c>
      <c r="H93" s="126" t="s">
        <v>1583</v>
      </c>
      <c r="I93" s="126" t="s">
        <v>1423</v>
      </c>
      <c r="J93" s="126" t="s">
        <v>1296</v>
      </c>
      <c r="K93" s="126" t="s">
        <v>1668</v>
      </c>
      <c r="L93" s="126" t="s">
        <v>420</v>
      </c>
      <c r="M93" s="126" t="s">
        <v>1588</v>
      </c>
      <c r="O93" s="145" t="s">
        <v>1906</v>
      </c>
      <c r="V93" s="126" t="s">
        <v>1954</v>
      </c>
    </row>
    <row r="94" spans="1:22" ht="24">
      <c r="A94" s="11" t="s">
        <v>1224</v>
      </c>
      <c r="B94" s="130">
        <v>2202002</v>
      </c>
      <c r="C94" s="126" t="s">
        <v>1179</v>
      </c>
      <c r="D94" s="126" t="s">
        <v>1669</v>
      </c>
      <c r="E94" s="126" t="s">
        <v>1290</v>
      </c>
      <c r="F94" s="126" t="s">
        <v>416</v>
      </c>
      <c r="G94" s="126" t="s">
        <v>1582</v>
      </c>
      <c r="H94" s="126" t="s">
        <v>1583</v>
      </c>
      <c r="I94" s="126" t="s">
        <v>1423</v>
      </c>
      <c r="J94" s="126" t="s">
        <v>1296</v>
      </c>
      <c r="K94" s="126" t="s">
        <v>1670</v>
      </c>
      <c r="L94" s="126" t="s">
        <v>420</v>
      </c>
      <c r="M94" s="126" t="s">
        <v>1588</v>
      </c>
      <c r="O94" s="145" t="s">
        <v>1906</v>
      </c>
      <c r="V94" s="126" t="s">
        <v>1955</v>
      </c>
    </row>
    <row r="95" spans="1:22" ht="24">
      <c r="A95" s="141" t="s">
        <v>1222</v>
      </c>
      <c r="B95" s="142">
        <v>2203</v>
      </c>
      <c r="C95" s="143" t="s">
        <v>1258</v>
      </c>
      <c r="D95" s="126" t="s">
        <v>1671</v>
      </c>
      <c r="E95" s="126" t="s">
        <v>1672</v>
      </c>
      <c r="F95" s="126" t="s">
        <v>1286</v>
      </c>
      <c r="G95" s="126" t="s">
        <v>521</v>
      </c>
      <c r="H95" s="126" t="s">
        <v>1446</v>
      </c>
      <c r="I95" s="126" t="s">
        <v>1423</v>
      </c>
      <c r="J95" s="126" t="s">
        <v>430</v>
      </c>
      <c r="K95" s="143" t="s">
        <v>1673</v>
      </c>
      <c r="L95" s="143" t="s">
        <v>1442</v>
      </c>
      <c r="M95" s="143" t="s">
        <v>1596</v>
      </c>
      <c r="N95" s="143"/>
      <c r="O95" s="141" t="s">
        <v>1906</v>
      </c>
      <c r="P95" s="141"/>
      <c r="Q95" s="143"/>
      <c r="R95" s="143"/>
      <c r="S95" s="143"/>
      <c r="T95" s="143"/>
      <c r="U95" s="143"/>
      <c r="V95" s="143" t="s">
        <v>1956</v>
      </c>
    </row>
    <row r="96" spans="1:22" ht="24">
      <c r="A96" s="11" t="s">
        <v>1224</v>
      </c>
      <c r="B96" s="130">
        <v>2203001</v>
      </c>
      <c r="C96" s="126" t="s">
        <v>1189</v>
      </c>
      <c r="D96" s="126" t="s">
        <v>1674</v>
      </c>
      <c r="E96" s="126" t="s">
        <v>1672</v>
      </c>
      <c r="F96" s="126" t="s">
        <v>1286</v>
      </c>
      <c r="G96" s="126" t="s">
        <v>521</v>
      </c>
      <c r="H96" s="126" t="s">
        <v>1446</v>
      </c>
      <c r="I96" s="126" t="s">
        <v>1423</v>
      </c>
      <c r="J96" s="126" t="s">
        <v>430</v>
      </c>
      <c r="K96" s="126" t="s">
        <v>1675</v>
      </c>
      <c r="L96" s="126" t="s">
        <v>1442</v>
      </c>
      <c r="M96" s="126" t="s">
        <v>1676</v>
      </c>
      <c r="O96" s="145" t="s">
        <v>1906</v>
      </c>
      <c r="V96" s="126" t="s">
        <v>1957</v>
      </c>
    </row>
    <row r="97" spans="1:22" ht="24">
      <c r="A97" s="141" t="s">
        <v>1222</v>
      </c>
      <c r="B97" s="142">
        <v>2204</v>
      </c>
      <c r="C97" s="143" t="s">
        <v>1259</v>
      </c>
      <c r="D97" s="126" t="s">
        <v>1677</v>
      </c>
      <c r="E97" s="126" t="s">
        <v>1678</v>
      </c>
      <c r="F97" s="126" t="s">
        <v>416</v>
      </c>
      <c r="G97" s="126" t="s">
        <v>521</v>
      </c>
      <c r="H97" s="126" t="s">
        <v>1488</v>
      </c>
      <c r="I97" s="126" t="s">
        <v>1423</v>
      </c>
      <c r="J97" s="126" t="s">
        <v>430</v>
      </c>
      <c r="K97" s="143" t="s">
        <v>1679</v>
      </c>
      <c r="L97" s="143" t="s">
        <v>1331</v>
      </c>
      <c r="M97" s="143" t="s">
        <v>1613</v>
      </c>
      <c r="N97" s="143"/>
      <c r="O97" s="141" t="s">
        <v>1902</v>
      </c>
      <c r="P97" s="141"/>
      <c r="Q97" s="143"/>
      <c r="R97" s="143"/>
      <c r="S97" s="143"/>
      <c r="T97" s="143"/>
      <c r="U97" s="143"/>
      <c r="V97" s="143" t="s">
        <v>1958</v>
      </c>
    </row>
    <row r="98" spans="1:22" ht="24">
      <c r="A98" s="11" t="s">
        <v>1224</v>
      </c>
      <c r="B98" s="130">
        <v>2204001</v>
      </c>
      <c r="C98" s="126" t="s">
        <v>1190</v>
      </c>
      <c r="D98" s="126" t="s">
        <v>1680</v>
      </c>
      <c r="E98" s="126" t="s">
        <v>1290</v>
      </c>
      <c r="F98" s="126" t="s">
        <v>416</v>
      </c>
      <c r="G98" s="126" t="s">
        <v>521</v>
      </c>
      <c r="H98" s="126" t="s">
        <v>1488</v>
      </c>
      <c r="I98" s="126" t="s">
        <v>1423</v>
      </c>
      <c r="J98" s="126" t="s">
        <v>430</v>
      </c>
      <c r="K98" s="126" t="s">
        <v>1681</v>
      </c>
      <c r="L98" s="126" t="s">
        <v>1331</v>
      </c>
      <c r="M98" s="126" t="s">
        <v>1607</v>
      </c>
      <c r="O98" s="145" t="s">
        <v>1902</v>
      </c>
      <c r="V98" s="126" t="s">
        <v>1958</v>
      </c>
    </row>
    <row r="99" spans="1:22" ht="24">
      <c r="A99" s="141" t="s">
        <v>1222</v>
      </c>
      <c r="B99" s="142">
        <v>2205</v>
      </c>
      <c r="C99" s="143" t="s">
        <v>1260</v>
      </c>
      <c r="D99" s="126" t="s">
        <v>1682</v>
      </c>
      <c r="E99" s="126" t="s">
        <v>1290</v>
      </c>
      <c r="F99" s="126" t="s">
        <v>416</v>
      </c>
      <c r="G99" s="126" t="s">
        <v>521</v>
      </c>
      <c r="H99" s="126" t="s">
        <v>1488</v>
      </c>
      <c r="I99" s="126" t="s">
        <v>1423</v>
      </c>
      <c r="J99" s="126" t="s">
        <v>430</v>
      </c>
      <c r="K99" s="143" t="s">
        <v>1683</v>
      </c>
      <c r="L99" s="143" t="s">
        <v>1331</v>
      </c>
      <c r="M99" s="143" t="s">
        <v>1607</v>
      </c>
      <c r="N99" s="143"/>
      <c r="O99" s="141" t="s">
        <v>1902</v>
      </c>
      <c r="P99" s="141"/>
      <c r="Q99" s="143"/>
      <c r="R99" s="143"/>
      <c r="S99" s="143"/>
      <c r="T99" s="143"/>
      <c r="U99" s="143"/>
      <c r="V99" s="143" t="s">
        <v>1958</v>
      </c>
    </row>
    <row r="100" spans="1:22" ht="24">
      <c r="A100" s="11" t="s">
        <v>1224</v>
      </c>
      <c r="B100" s="130">
        <v>2205001</v>
      </c>
      <c r="C100" s="126" t="s">
        <v>1191</v>
      </c>
      <c r="D100" s="126" t="s">
        <v>1684</v>
      </c>
      <c r="E100" s="126" t="s">
        <v>1685</v>
      </c>
      <c r="F100" s="126" t="s">
        <v>416</v>
      </c>
      <c r="G100" s="126" t="s">
        <v>521</v>
      </c>
      <c r="H100" s="126" t="s">
        <v>1488</v>
      </c>
      <c r="I100" s="126" t="s">
        <v>1423</v>
      </c>
      <c r="J100" s="126" t="s">
        <v>430</v>
      </c>
      <c r="K100" s="126" t="s">
        <v>1686</v>
      </c>
      <c r="L100" s="126" t="s">
        <v>1331</v>
      </c>
      <c r="M100" s="126" t="s">
        <v>1687</v>
      </c>
      <c r="O100" s="145" t="s">
        <v>1902</v>
      </c>
      <c r="V100" s="126" t="s">
        <v>1958</v>
      </c>
    </row>
    <row r="101" spans="1:22" ht="24">
      <c r="A101" s="141" t="s">
        <v>1222</v>
      </c>
      <c r="B101" s="142">
        <v>2206</v>
      </c>
      <c r="C101" s="143" t="s">
        <v>1261</v>
      </c>
      <c r="D101" s="126" t="s">
        <v>1688</v>
      </c>
      <c r="E101" s="126" t="s">
        <v>1689</v>
      </c>
      <c r="F101" s="126" t="s">
        <v>521</v>
      </c>
      <c r="G101" s="126" t="s">
        <v>1690</v>
      </c>
      <c r="H101" s="126" t="s">
        <v>1691</v>
      </c>
      <c r="I101" s="126" t="s">
        <v>1423</v>
      </c>
      <c r="J101" s="126" t="s">
        <v>430</v>
      </c>
      <c r="K101" s="143" t="s">
        <v>1692</v>
      </c>
      <c r="L101" s="143" t="s">
        <v>1693</v>
      </c>
      <c r="M101" s="143" t="s">
        <v>1694</v>
      </c>
      <c r="N101" s="143"/>
      <c r="O101" s="141" t="s">
        <v>1922</v>
      </c>
      <c r="P101" s="141"/>
      <c r="Q101" s="143"/>
      <c r="R101" s="143"/>
      <c r="S101" s="143"/>
      <c r="T101" s="143"/>
      <c r="U101" s="143"/>
      <c r="V101" s="143" t="s">
        <v>1968</v>
      </c>
    </row>
    <row r="102" spans="1:22" ht="24">
      <c r="A102" s="11" t="s">
        <v>1224</v>
      </c>
      <c r="B102" s="130">
        <v>2206001</v>
      </c>
      <c r="C102" s="126" t="s">
        <v>1192</v>
      </c>
      <c r="D102" s="126" t="s">
        <v>1695</v>
      </c>
      <c r="E102" s="126" t="s">
        <v>1696</v>
      </c>
      <c r="F102" s="126" t="s">
        <v>521</v>
      </c>
      <c r="G102" s="126" t="s">
        <v>1690</v>
      </c>
      <c r="H102" s="126" t="s">
        <v>1691</v>
      </c>
      <c r="I102" s="126" t="s">
        <v>1423</v>
      </c>
      <c r="J102" s="126" t="s">
        <v>430</v>
      </c>
      <c r="K102" s="126" t="s">
        <v>1697</v>
      </c>
      <c r="L102" s="126" t="s">
        <v>1693</v>
      </c>
      <c r="M102" s="126" t="s">
        <v>1698</v>
      </c>
      <c r="O102" s="145" t="s">
        <v>1922</v>
      </c>
      <c r="V102" s="126" t="s">
        <v>1968</v>
      </c>
    </row>
    <row r="103" spans="1:22" ht="24">
      <c r="A103" s="141" t="s">
        <v>1222</v>
      </c>
      <c r="B103" s="142">
        <v>2207</v>
      </c>
      <c r="C103" s="143" t="s">
        <v>1262</v>
      </c>
      <c r="D103" s="126" t="s">
        <v>1699</v>
      </c>
      <c r="E103" s="126" t="s">
        <v>1700</v>
      </c>
      <c r="F103" s="126" t="s">
        <v>521</v>
      </c>
      <c r="G103" s="126" t="s">
        <v>1294</v>
      </c>
      <c r="H103" s="126" t="s">
        <v>1701</v>
      </c>
      <c r="I103" s="126" t="s">
        <v>1423</v>
      </c>
      <c r="J103" s="126" t="s">
        <v>430</v>
      </c>
      <c r="K103" s="143" t="s">
        <v>1702</v>
      </c>
      <c r="L103" s="143" t="s">
        <v>1703</v>
      </c>
      <c r="M103" s="143" t="s">
        <v>1704</v>
      </c>
      <c r="N103" s="143"/>
      <c r="O103" s="141" t="s">
        <v>1922</v>
      </c>
      <c r="P103" s="141"/>
      <c r="Q103" s="143"/>
      <c r="R103" s="143"/>
      <c r="S103" s="143"/>
      <c r="T103" s="143"/>
      <c r="U103" s="143"/>
      <c r="V103" s="143" t="s">
        <v>1969</v>
      </c>
    </row>
    <row r="104" spans="1:22" ht="24">
      <c r="A104" s="11" t="s">
        <v>1224</v>
      </c>
      <c r="B104" s="130">
        <v>2207001</v>
      </c>
      <c r="C104" s="126" t="s">
        <v>1263</v>
      </c>
      <c r="D104" s="126" t="s">
        <v>1262</v>
      </c>
      <c r="E104" s="126" t="s">
        <v>1705</v>
      </c>
      <c r="F104" s="126" t="s">
        <v>521</v>
      </c>
      <c r="G104" s="126" t="s">
        <v>1294</v>
      </c>
      <c r="H104" s="126" t="s">
        <v>1701</v>
      </c>
      <c r="I104" s="126" t="s">
        <v>1423</v>
      </c>
      <c r="J104" s="126" t="s">
        <v>430</v>
      </c>
      <c r="K104" s="126" t="s">
        <v>1706</v>
      </c>
      <c r="L104" s="126" t="s">
        <v>1703</v>
      </c>
      <c r="M104" s="126" t="s">
        <v>1707</v>
      </c>
      <c r="O104" s="145" t="s">
        <v>1922</v>
      </c>
      <c r="V104" s="126" t="s">
        <v>1969</v>
      </c>
    </row>
    <row r="105" spans="1:22" ht="36">
      <c r="A105" s="136" t="s">
        <v>1220</v>
      </c>
      <c r="B105" s="135">
        <v>3</v>
      </c>
      <c r="C105" s="136" t="s">
        <v>1193</v>
      </c>
      <c r="D105" s="129" t="s">
        <v>1708</v>
      </c>
      <c r="E105" s="129" t="s">
        <v>1709</v>
      </c>
      <c r="F105" s="129" t="s">
        <v>521</v>
      </c>
      <c r="G105" s="129" t="s">
        <v>425</v>
      </c>
      <c r="H105" s="129" t="s">
        <v>1710</v>
      </c>
      <c r="I105" s="129" t="s">
        <v>1423</v>
      </c>
      <c r="J105" s="129" t="s">
        <v>1304</v>
      </c>
      <c r="K105" s="136" t="s">
        <v>1711</v>
      </c>
      <c r="L105" s="136" t="s">
        <v>420</v>
      </c>
      <c r="M105" s="136" t="s">
        <v>1712</v>
      </c>
      <c r="N105" s="138"/>
      <c r="O105" s="148" t="s">
        <v>1929</v>
      </c>
      <c r="P105" s="148"/>
      <c r="Q105" s="138"/>
      <c r="R105" s="138"/>
      <c r="S105" s="138"/>
      <c r="T105" s="138"/>
      <c r="U105" s="138"/>
      <c r="V105" s="138" t="s">
        <v>1970</v>
      </c>
    </row>
    <row r="106" spans="1:22" ht="24">
      <c r="A106" s="139" t="s">
        <v>1221</v>
      </c>
      <c r="B106" s="140">
        <v>31</v>
      </c>
      <c r="C106" s="139" t="s">
        <v>417</v>
      </c>
      <c r="D106" s="126" t="s">
        <v>1713</v>
      </c>
      <c r="E106" s="126" t="s">
        <v>1714</v>
      </c>
      <c r="F106" s="126" t="s">
        <v>1715</v>
      </c>
      <c r="G106" s="126" t="s">
        <v>502</v>
      </c>
      <c r="H106" s="126" t="s">
        <v>1716</v>
      </c>
      <c r="I106" s="126" t="s">
        <v>1423</v>
      </c>
      <c r="J106" s="126" t="s">
        <v>1295</v>
      </c>
      <c r="K106" s="139" t="s">
        <v>1717</v>
      </c>
      <c r="L106" s="139" t="s">
        <v>420</v>
      </c>
      <c r="M106" s="139" t="s">
        <v>1718</v>
      </c>
      <c r="N106" s="139"/>
      <c r="O106" s="147" t="s">
        <v>1918</v>
      </c>
      <c r="P106" s="147"/>
      <c r="Q106" s="139"/>
      <c r="R106" s="139"/>
      <c r="S106" s="139"/>
      <c r="T106" s="139"/>
      <c r="U106" s="139"/>
      <c r="V106" s="139" t="s">
        <v>1971</v>
      </c>
    </row>
    <row r="107" spans="1:22" ht="24">
      <c r="B107" s="126">
        <v>3101</v>
      </c>
      <c r="C107" s="126" t="s">
        <v>1972</v>
      </c>
      <c r="O107" s="145" t="s">
        <v>1918</v>
      </c>
      <c r="V107" s="126" t="s">
        <v>1973</v>
      </c>
    </row>
    <row r="108" spans="1:22" ht="24">
      <c r="A108" s="11" t="s">
        <v>1224</v>
      </c>
      <c r="B108" s="130">
        <v>3101001</v>
      </c>
      <c r="C108" s="126" t="s">
        <v>1194</v>
      </c>
      <c r="D108" s="126" t="s">
        <v>1719</v>
      </c>
      <c r="E108" s="126" t="s">
        <v>1720</v>
      </c>
      <c r="F108" s="126" t="s">
        <v>521</v>
      </c>
      <c r="G108" s="126" t="s">
        <v>502</v>
      </c>
      <c r="H108" s="126" t="s">
        <v>1716</v>
      </c>
      <c r="I108" s="126" t="s">
        <v>1423</v>
      </c>
      <c r="J108" s="126" t="s">
        <v>1295</v>
      </c>
      <c r="K108" s="126" t="s">
        <v>1721</v>
      </c>
      <c r="L108" s="126" t="s">
        <v>420</v>
      </c>
      <c r="M108" s="126" t="s">
        <v>1722</v>
      </c>
      <c r="O108" s="145" t="s">
        <v>1918</v>
      </c>
      <c r="V108" s="126" t="s">
        <v>1974</v>
      </c>
    </row>
    <row r="109" spans="1:22" ht="24">
      <c r="A109" s="11" t="s">
        <v>1224</v>
      </c>
      <c r="B109" s="130">
        <v>3101002</v>
      </c>
      <c r="C109" s="126" t="s">
        <v>1195</v>
      </c>
      <c r="D109" s="126" t="s">
        <v>1723</v>
      </c>
      <c r="E109" s="126" t="s">
        <v>1720</v>
      </c>
      <c r="F109" s="126" t="s">
        <v>521</v>
      </c>
      <c r="G109" s="126" t="s">
        <v>502</v>
      </c>
      <c r="H109" s="126" t="s">
        <v>1716</v>
      </c>
      <c r="I109" s="126" t="s">
        <v>1423</v>
      </c>
      <c r="J109" s="126" t="s">
        <v>1295</v>
      </c>
      <c r="K109" s="126" t="s">
        <v>1721</v>
      </c>
      <c r="L109" s="126" t="s">
        <v>420</v>
      </c>
      <c r="M109" s="126" t="s">
        <v>1722</v>
      </c>
      <c r="O109" s="145" t="s">
        <v>1918</v>
      </c>
      <c r="V109" s="126" t="s">
        <v>1974</v>
      </c>
    </row>
    <row r="110" spans="1:22" ht="24">
      <c r="A110" s="139" t="s">
        <v>1221</v>
      </c>
      <c r="B110" s="140">
        <v>32</v>
      </c>
      <c r="C110" s="139" t="s">
        <v>1264</v>
      </c>
      <c r="D110" s="126" t="s">
        <v>1724</v>
      </c>
      <c r="E110" s="126" t="s">
        <v>1725</v>
      </c>
      <c r="F110" s="126" t="s">
        <v>521</v>
      </c>
      <c r="G110" s="126" t="s">
        <v>425</v>
      </c>
      <c r="H110" s="126" t="s">
        <v>1726</v>
      </c>
      <c r="I110" s="126" t="s">
        <v>1423</v>
      </c>
      <c r="J110" s="126" t="s">
        <v>1295</v>
      </c>
      <c r="K110" s="139" t="s">
        <v>1727</v>
      </c>
      <c r="L110" s="139" t="s">
        <v>420</v>
      </c>
      <c r="M110" s="139" t="s">
        <v>1728</v>
      </c>
      <c r="N110" s="139"/>
      <c r="O110" s="147" t="s">
        <v>1902</v>
      </c>
      <c r="P110" s="147"/>
      <c r="Q110" s="139"/>
      <c r="R110" s="139"/>
      <c r="S110" s="139"/>
      <c r="T110" s="139"/>
      <c r="U110" s="139"/>
      <c r="V110" s="139" t="s">
        <v>1975</v>
      </c>
    </row>
    <row r="111" spans="1:22" ht="24">
      <c r="O111" s="145" t="s">
        <v>1902</v>
      </c>
      <c r="V111" s="126" t="s">
        <v>1976</v>
      </c>
    </row>
    <row r="112" spans="1:22" ht="24">
      <c r="A112" s="11" t="s">
        <v>1224</v>
      </c>
      <c r="B112" s="130">
        <v>3201001</v>
      </c>
      <c r="C112" s="126" t="s">
        <v>1196</v>
      </c>
      <c r="D112" s="126" t="s">
        <v>1729</v>
      </c>
      <c r="E112" s="126" t="s">
        <v>1730</v>
      </c>
      <c r="F112" s="126" t="s">
        <v>521</v>
      </c>
      <c r="G112" s="126" t="s">
        <v>425</v>
      </c>
      <c r="H112" s="126" t="s">
        <v>1731</v>
      </c>
      <c r="I112" s="126" t="s">
        <v>1423</v>
      </c>
      <c r="J112" s="126" t="s">
        <v>1295</v>
      </c>
      <c r="K112" s="126" t="s">
        <v>1732</v>
      </c>
      <c r="L112" s="126" t="s">
        <v>420</v>
      </c>
      <c r="M112" s="126" t="s">
        <v>1733</v>
      </c>
      <c r="O112" s="145" t="s">
        <v>1902</v>
      </c>
      <c r="V112" s="126" t="s">
        <v>1976</v>
      </c>
    </row>
    <row r="113" spans="1:22">
      <c r="O113" s="145" t="s">
        <v>1902</v>
      </c>
      <c r="V113" s="126" t="s">
        <v>1977</v>
      </c>
    </row>
    <row r="114" spans="1:22" ht="24">
      <c r="A114" s="11" t="s">
        <v>1224</v>
      </c>
      <c r="B114" s="130">
        <v>3202001</v>
      </c>
      <c r="C114" s="126" t="s">
        <v>1197</v>
      </c>
      <c r="D114" s="126" t="s">
        <v>1734</v>
      </c>
      <c r="E114" s="126" t="s">
        <v>1735</v>
      </c>
      <c r="F114" s="126" t="s">
        <v>521</v>
      </c>
      <c r="G114" s="126" t="s">
        <v>425</v>
      </c>
      <c r="H114" s="126" t="s">
        <v>1731</v>
      </c>
      <c r="I114" s="126" t="s">
        <v>1423</v>
      </c>
      <c r="J114" s="126" t="s">
        <v>1295</v>
      </c>
      <c r="K114" s="126" t="s">
        <v>1736</v>
      </c>
      <c r="L114" s="126" t="s">
        <v>420</v>
      </c>
      <c r="M114" s="126" t="s">
        <v>1737</v>
      </c>
      <c r="O114" s="145" t="s">
        <v>1902</v>
      </c>
      <c r="V114" s="126" t="s">
        <v>1977</v>
      </c>
    </row>
    <row r="115" spans="1:22" ht="24">
      <c r="O115" s="145" t="s">
        <v>1902</v>
      </c>
      <c r="V115" s="126" t="s">
        <v>1978</v>
      </c>
    </row>
    <row r="116" spans="1:22" ht="24">
      <c r="A116" s="11" t="s">
        <v>1224</v>
      </c>
      <c r="B116" s="130">
        <v>3203001</v>
      </c>
      <c r="C116" s="126" t="s">
        <v>1198</v>
      </c>
      <c r="D116" s="126" t="s">
        <v>1738</v>
      </c>
      <c r="E116" s="126" t="s">
        <v>1739</v>
      </c>
      <c r="F116" s="126" t="s">
        <v>521</v>
      </c>
      <c r="G116" s="126" t="s">
        <v>425</v>
      </c>
      <c r="H116" s="126" t="s">
        <v>1731</v>
      </c>
      <c r="I116" s="126" t="s">
        <v>1423</v>
      </c>
      <c r="J116" s="126" t="s">
        <v>1295</v>
      </c>
      <c r="K116" s="126" t="s">
        <v>1740</v>
      </c>
      <c r="L116" s="126" t="s">
        <v>420</v>
      </c>
      <c r="M116" s="126" t="s">
        <v>1741</v>
      </c>
      <c r="O116" s="145" t="s">
        <v>1902</v>
      </c>
      <c r="V116" s="126" t="s">
        <v>1978</v>
      </c>
    </row>
    <row r="117" spans="1:22" ht="24">
      <c r="A117" s="139" t="s">
        <v>1221</v>
      </c>
      <c r="B117" s="140">
        <v>33</v>
      </c>
      <c r="C117" s="139" t="s">
        <v>1265</v>
      </c>
      <c r="D117" s="126" t="s">
        <v>1742</v>
      </c>
      <c r="E117" s="126" t="s">
        <v>1743</v>
      </c>
      <c r="F117" s="126" t="s">
        <v>1715</v>
      </c>
      <c r="G117" s="126" t="s">
        <v>425</v>
      </c>
      <c r="H117" s="126" t="s">
        <v>1744</v>
      </c>
      <c r="I117" s="126" t="s">
        <v>1423</v>
      </c>
      <c r="J117" s="126" t="s">
        <v>1295</v>
      </c>
      <c r="K117" s="139" t="s">
        <v>1745</v>
      </c>
      <c r="L117" s="139" t="s">
        <v>1746</v>
      </c>
      <c r="M117" s="139" t="s">
        <v>1747</v>
      </c>
      <c r="N117" s="139"/>
      <c r="O117" s="147" t="s">
        <v>1902</v>
      </c>
      <c r="P117" s="147"/>
      <c r="Q117" s="139"/>
      <c r="R117" s="139"/>
      <c r="S117" s="139"/>
      <c r="T117" s="139"/>
      <c r="U117" s="139"/>
      <c r="V117" s="139" t="s">
        <v>1979</v>
      </c>
    </row>
    <row r="118" spans="1:22">
      <c r="O118" s="145" t="s">
        <v>1902</v>
      </c>
      <c r="V118" s="126" t="s">
        <v>1980</v>
      </c>
    </row>
    <row r="119" spans="1:22" ht="24">
      <c r="A119" s="11" t="s">
        <v>1224</v>
      </c>
      <c r="B119" s="130">
        <v>3301001</v>
      </c>
      <c r="C119" s="126" t="s">
        <v>1199</v>
      </c>
      <c r="D119" s="126" t="s">
        <v>1748</v>
      </c>
      <c r="E119" s="126" t="s">
        <v>1749</v>
      </c>
      <c r="F119" s="126" t="s">
        <v>1715</v>
      </c>
      <c r="G119" s="126" t="s">
        <v>425</v>
      </c>
      <c r="H119" s="126" t="s">
        <v>1750</v>
      </c>
      <c r="I119" s="126" t="s">
        <v>1423</v>
      </c>
      <c r="J119" s="126" t="s">
        <v>1295</v>
      </c>
      <c r="K119" s="126" t="s">
        <v>1751</v>
      </c>
      <c r="L119" s="126" t="s">
        <v>1746</v>
      </c>
      <c r="M119" s="126" t="s">
        <v>1752</v>
      </c>
      <c r="O119" s="145" t="s">
        <v>1902</v>
      </c>
      <c r="V119" s="126" t="s">
        <v>1980</v>
      </c>
    </row>
    <row r="120" spans="1:22" ht="24">
      <c r="A120" s="139" t="s">
        <v>1221</v>
      </c>
      <c r="B120" s="140">
        <v>34</v>
      </c>
      <c r="C120" s="139" t="s">
        <v>1266</v>
      </c>
      <c r="D120" s="126" t="s">
        <v>1753</v>
      </c>
      <c r="E120" s="126" t="s">
        <v>1754</v>
      </c>
      <c r="F120" s="126" t="s">
        <v>521</v>
      </c>
      <c r="G120" s="126" t="s">
        <v>425</v>
      </c>
      <c r="H120" s="126" t="s">
        <v>1755</v>
      </c>
      <c r="I120" s="126" t="s">
        <v>1423</v>
      </c>
      <c r="J120" s="126" t="s">
        <v>1297</v>
      </c>
      <c r="K120" s="139" t="s">
        <v>1756</v>
      </c>
      <c r="L120" s="139" t="s">
        <v>420</v>
      </c>
      <c r="M120" s="139" t="s">
        <v>1728</v>
      </c>
      <c r="N120" s="139"/>
      <c r="O120" s="147" t="s">
        <v>1902</v>
      </c>
      <c r="P120" s="147"/>
      <c r="Q120" s="139"/>
      <c r="R120" s="139"/>
      <c r="S120" s="139"/>
      <c r="T120" s="139"/>
      <c r="U120" s="139"/>
      <c r="V120" s="139" t="s">
        <v>1981</v>
      </c>
    </row>
    <row r="121" spans="1:22">
      <c r="O121" s="145" t="s">
        <v>1902</v>
      </c>
      <c r="V121" s="126" t="s">
        <v>1981</v>
      </c>
    </row>
    <row r="122" spans="1:22" ht="24">
      <c r="A122" s="11" t="s">
        <v>1224</v>
      </c>
      <c r="B122" s="130">
        <v>3401001</v>
      </c>
      <c r="C122" s="126" t="s">
        <v>1200</v>
      </c>
      <c r="D122" s="126" t="s">
        <v>1757</v>
      </c>
      <c r="E122" s="126" t="s">
        <v>1758</v>
      </c>
      <c r="F122" s="126" t="s">
        <v>521</v>
      </c>
      <c r="G122" s="126" t="s">
        <v>425</v>
      </c>
      <c r="H122" s="126" t="s">
        <v>1759</v>
      </c>
      <c r="I122" s="126" t="s">
        <v>1423</v>
      </c>
      <c r="J122" s="126" t="s">
        <v>1297</v>
      </c>
      <c r="K122" s="126" t="s">
        <v>1760</v>
      </c>
      <c r="L122" s="126" t="s">
        <v>420</v>
      </c>
      <c r="M122" s="126" t="s">
        <v>1761</v>
      </c>
      <c r="O122" s="145" t="s">
        <v>1902</v>
      </c>
      <c r="V122" s="126" t="s">
        <v>1981</v>
      </c>
    </row>
    <row r="123" spans="1:22">
      <c r="O123" s="145" t="s">
        <v>1902</v>
      </c>
      <c r="V123" s="126" t="s">
        <v>1982</v>
      </c>
    </row>
    <row r="124" spans="1:22">
      <c r="O124" s="145" t="s">
        <v>1902</v>
      </c>
      <c r="V124" s="126" t="s">
        <v>1982</v>
      </c>
    </row>
    <row r="125" spans="1:22">
      <c r="O125" s="145" t="s">
        <v>1898</v>
      </c>
      <c r="V125" s="126" t="s">
        <v>1899</v>
      </c>
    </row>
    <row r="126" spans="1:22" ht="24">
      <c r="A126" s="136" t="s">
        <v>1220</v>
      </c>
      <c r="B126" s="135">
        <v>4</v>
      </c>
      <c r="C126" s="136" t="s">
        <v>1201</v>
      </c>
      <c r="D126" s="129" t="s">
        <v>1762</v>
      </c>
      <c r="E126" s="129" t="s">
        <v>1763</v>
      </c>
      <c r="F126" s="129" t="s">
        <v>419</v>
      </c>
      <c r="G126" s="129" t="s">
        <v>521</v>
      </c>
      <c r="H126" s="129" t="s">
        <v>1764</v>
      </c>
      <c r="I126" s="129" t="s">
        <v>1423</v>
      </c>
      <c r="J126" s="129" t="s">
        <v>1765</v>
      </c>
      <c r="K126" s="136" t="s">
        <v>1766</v>
      </c>
      <c r="L126" s="136" t="s">
        <v>1767</v>
      </c>
      <c r="M126" s="136" t="s">
        <v>1374</v>
      </c>
      <c r="N126" s="138" t="s">
        <v>1768</v>
      </c>
      <c r="O126" s="148" t="s">
        <v>1983</v>
      </c>
      <c r="P126" s="148"/>
      <c r="Q126" s="138"/>
      <c r="R126" s="138"/>
      <c r="S126" s="138"/>
      <c r="T126" s="138"/>
      <c r="U126" s="138"/>
      <c r="V126" s="138" t="s">
        <v>1984</v>
      </c>
    </row>
    <row r="127" spans="1:22" ht="24">
      <c r="A127" s="139" t="s">
        <v>1221</v>
      </c>
      <c r="B127" s="140">
        <v>41</v>
      </c>
      <c r="C127" s="139" t="s">
        <v>1267</v>
      </c>
      <c r="D127" s="126" t="s">
        <v>1769</v>
      </c>
      <c r="E127" s="126" t="s">
        <v>1770</v>
      </c>
      <c r="F127" s="126" t="s">
        <v>419</v>
      </c>
      <c r="G127" s="126" t="s">
        <v>521</v>
      </c>
      <c r="H127" s="126" t="s">
        <v>1771</v>
      </c>
      <c r="I127" s="126" t="s">
        <v>1423</v>
      </c>
      <c r="J127" s="126" t="s">
        <v>1772</v>
      </c>
      <c r="K127" s="139" t="s">
        <v>1773</v>
      </c>
      <c r="L127" s="139" t="s">
        <v>1767</v>
      </c>
      <c r="M127" s="139" t="s">
        <v>1374</v>
      </c>
      <c r="N127" s="139" t="s">
        <v>1774</v>
      </c>
      <c r="O127" s="147" t="s">
        <v>1983</v>
      </c>
      <c r="P127" s="147"/>
      <c r="Q127" s="139"/>
      <c r="R127" s="139"/>
      <c r="S127" s="139"/>
      <c r="T127" s="139"/>
      <c r="U127" s="139"/>
      <c r="V127" s="139" t="s">
        <v>1985</v>
      </c>
    </row>
    <row r="128" spans="1:22" ht="24">
      <c r="O128" s="145" t="s">
        <v>1983</v>
      </c>
      <c r="V128" s="126" t="s">
        <v>1986</v>
      </c>
    </row>
    <row r="129" spans="1:22" ht="24">
      <c r="A129" s="11" t="s">
        <v>1224</v>
      </c>
      <c r="B129" s="130">
        <v>4101001</v>
      </c>
      <c r="C129" s="126" t="s">
        <v>1202</v>
      </c>
      <c r="D129" s="126" t="s">
        <v>1775</v>
      </c>
      <c r="E129" s="126" t="s">
        <v>1776</v>
      </c>
      <c r="F129" s="126" t="s">
        <v>419</v>
      </c>
      <c r="G129" s="126" t="s">
        <v>521</v>
      </c>
      <c r="H129" s="126" t="s">
        <v>1777</v>
      </c>
      <c r="I129" s="126" t="s">
        <v>1423</v>
      </c>
      <c r="J129" s="126" t="s">
        <v>1298</v>
      </c>
      <c r="K129" s="126" t="s">
        <v>1778</v>
      </c>
      <c r="L129" s="126" t="s">
        <v>413</v>
      </c>
      <c r="M129" s="126" t="s">
        <v>1374</v>
      </c>
      <c r="N129" s="126" t="s">
        <v>1779</v>
      </c>
      <c r="O129" s="145" t="s">
        <v>1983</v>
      </c>
      <c r="V129" s="126" t="s">
        <v>1987</v>
      </c>
    </row>
    <row r="130" spans="1:22" ht="24">
      <c r="A130" s="11" t="s">
        <v>1224</v>
      </c>
      <c r="B130" s="130">
        <v>4101002</v>
      </c>
      <c r="C130" s="126" t="s">
        <v>1203</v>
      </c>
      <c r="D130" s="126" t="s">
        <v>1780</v>
      </c>
      <c r="E130" s="126" t="s">
        <v>1781</v>
      </c>
      <c r="F130" s="126" t="s">
        <v>419</v>
      </c>
      <c r="G130" s="126" t="s">
        <v>521</v>
      </c>
      <c r="H130" s="126" t="s">
        <v>1782</v>
      </c>
      <c r="I130" s="126" t="s">
        <v>1423</v>
      </c>
      <c r="J130" s="126" t="s">
        <v>1298</v>
      </c>
      <c r="K130" s="126" t="s">
        <v>1783</v>
      </c>
      <c r="L130" s="126" t="s">
        <v>1784</v>
      </c>
      <c r="M130" s="126" t="s">
        <v>1374</v>
      </c>
      <c r="N130" s="126" t="s">
        <v>1785</v>
      </c>
      <c r="O130" s="145" t="s">
        <v>1983</v>
      </c>
      <c r="V130" s="126" t="s">
        <v>1988</v>
      </c>
    </row>
    <row r="131" spans="1:22" ht="24">
      <c r="A131" s="11" t="s">
        <v>1224</v>
      </c>
      <c r="B131" s="130">
        <v>4101003</v>
      </c>
      <c r="C131" s="126" t="s">
        <v>1268</v>
      </c>
      <c r="D131" s="126" t="s">
        <v>1786</v>
      </c>
      <c r="E131" s="126" t="s">
        <v>1787</v>
      </c>
      <c r="F131" s="126" t="s">
        <v>419</v>
      </c>
      <c r="G131" s="126" t="s">
        <v>521</v>
      </c>
      <c r="H131" s="126" t="s">
        <v>1777</v>
      </c>
      <c r="I131" s="126" t="s">
        <v>1423</v>
      </c>
      <c r="J131" s="126" t="s">
        <v>1298</v>
      </c>
      <c r="K131" s="126" t="s">
        <v>1788</v>
      </c>
      <c r="L131" s="126" t="s">
        <v>1789</v>
      </c>
      <c r="M131" s="126" t="s">
        <v>1374</v>
      </c>
      <c r="N131" s="126" t="s">
        <v>1790</v>
      </c>
      <c r="O131" s="145" t="s">
        <v>1983</v>
      </c>
      <c r="V131" s="126" t="s">
        <v>1989</v>
      </c>
    </row>
    <row r="132" spans="1:22" ht="24">
      <c r="A132" s="11" t="s">
        <v>1224</v>
      </c>
      <c r="B132" s="130">
        <v>4101004</v>
      </c>
      <c r="C132" s="126" t="s">
        <v>1269</v>
      </c>
      <c r="D132" s="126" t="s">
        <v>1791</v>
      </c>
      <c r="E132" s="126" t="s">
        <v>1792</v>
      </c>
      <c r="F132" s="126" t="s">
        <v>419</v>
      </c>
      <c r="G132" s="126" t="s">
        <v>521</v>
      </c>
      <c r="H132" s="126" t="s">
        <v>1793</v>
      </c>
      <c r="I132" s="126" t="s">
        <v>1423</v>
      </c>
      <c r="J132" s="126" t="s">
        <v>1298</v>
      </c>
      <c r="K132" s="126" t="s">
        <v>1794</v>
      </c>
      <c r="L132" s="126" t="s">
        <v>1563</v>
      </c>
      <c r="M132" s="126" t="s">
        <v>1374</v>
      </c>
      <c r="N132" s="126" t="s">
        <v>1795</v>
      </c>
      <c r="O132" s="145" t="s">
        <v>1908</v>
      </c>
      <c r="V132" s="126" t="s">
        <v>1990</v>
      </c>
    </row>
    <row r="133" spans="1:22" ht="24">
      <c r="A133" s="11" t="s">
        <v>1224</v>
      </c>
      <c r="B133" s="130">
        <v>4101005</v>
      </c>
      <c r="C133" s="126" t="s">
        <v>1270</v>
      </c>
      <c r="D133" s="126" t="s">
        <v>1796</v>
      </c>
      <c r="E133" s="126" t="s">
        <v>1797</v>
      </c>
      <c r="F133" s="126" t="s">
        <v>419</v>
      </c>
      <c r="G133" s="126" t="s">
        <v>521</v>
      </c>
      <c r="H133" s="126" t="s">
        <v>1798</v>
      </c>
      <c r="I133" s="126" t="s">
        <v>1423</v>
      </c>
      <c r="J133" s="126" t="s">
        <v>1298</v>
      </c>
      <c r="K133" s="126" t="s">
        <v>1799</v>
      </c>
      <c r="L133" s="126" t="s">
        <v>1563</v>
      </c>
      <c r="M133" s="126" t="s">
        <v>1374</v>
      </c>
      <c r="N133" s="126" t="s">
        <v>1800</v>
      </c>
      <c r="O133" s="145" t="s">
        <v>1908</v>
      </c>
      <c r="V133" s="126" t="s">
        <v>1991</v>
      </c>
    </row>
    <row r="134" spans="1:22">
      <c r="O134" s="145" t="s">
        <v>1992</v>
      </c>
      <c r="V134" s="126" t="s">
        <v>1993</v>
      </c>
    </row>
    <row r="135" spans="1:22" ht="24">
      <c r="A135" s="11" t="s">
        <v>1224</v>
      </c>
      <c r="B135" s="130">
        <v>4102001</v>
      </c>
      <c r="C135" s="126" t="s">
        <v>427</v>
      </c>
      <c r="D135" s="126" t="s">
        <v>1801</v>
      </c>
      <c r="E135" s="126" t="s">
        <v>1802</v>
      </c>
      <c r="F135" s="126" t="s">
        <v>521</v>
      </c>
      <c r="G135" s="126" t="s">
        <v>414</v>
      </c>
      <c r="H135" s="126" t="s">
        <v>1803</v>
      </c>
      <c r="I135" s="126" t="s">
        <v>1423</v>
      </c>
      <c r="J135" s="126" t="s">
        <v>428</v>
      </c>
      <c r="K135" s="126" t="s">
        <v>1804</v>
      </c>
      <c r="L135" s="126" t="s">
        <v>1373</v>
      </c>
      <c r="M135" s="126" t="s">
        <v>1374</v>
      </c>
      <c r="N135" s="126" t="s">
        <v>1805</v>
      </c>
      <c r="O135" s="145" t="s">
        <v>1992</v>
      </c>
      <c r="V135" s="126" t="s">
        <v>1994</v>
      </c>
    </row>
    <row r="136" spans="1:22" ht="24">
      <c r="A136" s="139" t="s">
        <v>1221</v>
      </c>
      <c r="B136" s="140">
        <v>42</v>
      </c>
      <c r="C136" s="139" t="s">
        <v>1271</v>
      </c>
      <c r="D136" s="126" t="s">
        <v>1806</v>
      </c>
      <c r="E136" s="126" t="s">
        <v>1807</v>
      </c>
      <c r="F136" s="126" t="s">
        <v>416</v>
      </c>
      <c r="G136" s="126" t="s">
        <v>435</v>
      </c>
      <c r="H136" s="126" t="s">
        <v>1808</v>
      </c>
      <c r="I136" s="126" t="s">
        <v>1423</v>
      </c>
      <c r="J136" s="126" t="s">
        <v>430</v>
      </c>
      <c r="K136" s="139" t="s">
        <v>1809</v>
      </c>
      <c r="L136" s="139" t="s">
        <v>1455</v>
      </c>
      <c r="M136" s="139" t="s">
        <v>1810</v>
      </c>
      <c r="N136" s="139"/>
      <c r="O136" s="147" t="s">
        <v>1902</v>
      </c>
      <c r="P136" s="147"/>
      <c r="Q136" s="139"/>
      <c r="R136" s="139"/>
      <c r="S136" s="139"/>
      <c r="T136" s="139"/>
      <c r="U136" s="139"/>
      <c r="V136" s="139" t="s">
        <v>1995</v>
      </c>
    </row>
    <row r="137" spans="1:22">
      <c r="O137" s="145" t="s">
        <v>1902</v>
      </c>
      <c r="V137" s="126" t="s">
        <v>1996</v>
      </c>
    </row>
    <row r="138" spans="1:22" ht="24">
      <c r="A138" s="11" t="s">
        <v>1224</v>
      </c>
      <c r="B138" s="130">
        <v>4201001</v>
      </c>
      <c r="C138" s="126" t="s">
        <v>1204</v>
      </c>
      <c r="D138" s="126" t="s">
        <v>1811</v>
      </c>
      <c r="E138" s="126" t="s">
        <v>1812</v>
      </c>
      <c r="F138" s="126" t="s">
        <v>416</v>
      </c>
      <c r="G138" s="126" t="s">
        <v>521</v>
      </c>
      <c r="H138" s="126" t="s">
        <v>1452</v>
      </c>
      <c r="I138" s="126" t="s">
        <v>1423</v>
      </c>
      <c r="J138" s="126" t="s">
        <v>430</v>
      </c>
      <c r="K138" s="126" t="s">
        <v>1813</v>
      </c>
      <c r="L138" s="126" t="s">
        <v>1455</v>
      </c>
      <c r="M138" s="126" t="s">
        <v>1814</v>
      </c>
      <c r="O138" s="145" t="s">
        <v>1902</v>
      </c>
      <c r="V138" s="126" t="s">
        <v>1996</v>
      </c>
    </row>
    <row r="139" spans="1:22" ht="24">
      <c r="A139" s="11" t="s">
        <v>1224</v>
      </c>
      <c r="B139" s="130">
        <v>4201002</v>
      </c>
      <c r="C139" s="126" t="s">
        <v>1205</v>
      </c>
      <c r="D139" s="126" t="s">
        <v>1815</v>
      </c>
      <c r="E139" s="126" t="s">
        <v>1816</v>
      </c>
      <c r="F139" s="126" t="s">
        <v>416</v>
      </c>
      <c r="G139" s="126" t="s">
        <v>521</v>
      </c>
      <c r="H139" s="126" t="s">
        <v>1817</v>
      </c>
      <c r="I139" s="126" t="s">
        <v>1423</v>
      </c>
      <c r="J139" s="126" t="s">
        <v>430</v>
      </c>
      <c r="K139" s="126" t="s">
        <v>1818</v>
      </c>
      <c r="L139" s="126" t="s">
        <v>1331</v>
      </c>
      <c r="M139" s="126" t="s">
        <v>1819</v>
      </c>
      <c r="O139" s="145" t="s">
        <v>1902</v>
      </c>
      <c r="V139" s="126" t="s">
        <v>1997</v>
      </c>
    </row>
    <row r="140" spans="1:22" ht="24">
      <c r="O140" s="145" t="s">
        <v>1918</v>
      </c>
      <c r="V140" s="126" t="s">
        <v>1998</v>
      </c>
    </row>
    <row r="141" spans="1:22" ht="24">
      <c r="A141" s="11" t="s">
        <v>1224</v>
      </c>
      <c r="B141" s="130">
        <v>4202001</v>
      </c>
      <c r="C141" s="126" t="s">
        <v>1206</v>
      </c>
      <c r="D141" s="126" t="s">
        <v>1820</v>
      </c>
      <c r="E141" s="126" t="s">
        <v>1821</v>
      </c>
      <c r="F141" s="126" t="s">
        <v>521</v>
      </c>
      <c r="G141" s="126" t="s">
        <v>435</v>
      </c>
      <c r="H141" s="126" t="s">
        <v>1808</v>
      </c>
      <c r="I141" s="126" t="s">
        <v>1423</v>
      </c>
      <c r="J141" s="126" t="s">
        <v>434</v>
      </c>
      <c r="K141" s="126" t="s">
        <v>1822</v>
      </c>
      <c r="L141" s="126" t="s">
        <v>420</v>
      </c>
      <c r="M141" s="126" t="s">
        <v>1823</v>
      </c>
      <c r="O141" s="145" t="s">
        <v>1918</v>
      </c>
      <c r="V141" s="126" t="s">
        <v>1998</v>
      </c>
    </row>
    <row r="145" spans="1:22" ht="24">
      <c r="A145" s="136" t="s">
        <v>1220</v>
      </c>
      <c r="B145" s="135">
        <v>5</v>
      </c>
      <c r="C145" s="136" t="s">
        <v>1207</v>
      </c>
      <c r="D145" s="129" t="s">
        <v>1824</v>
      </c>
      <c r="E145" s="129" t="s">
        <v>1816</v>
      </c>
      <c r="F145" s="129" t="s">
        <v>521</v>
      </c>
      <c r="G145" s="129" t="s">
        <v>425</v>
      </c>
      <c r="H145" s="129" t="s">
        <v>1825</v>
      </c>
      <c r="I145" s="129" t="s">
        <v>1423</v>
      </c>
      <c r="J145" s="129" t="s">
        <v>428</v>
      </c>
      <c r="K145" s="136" t="s">
        <v>1826</v>
      </c>
      <c r="L145" s="136" t="s">
        <v>1484</v>
      </c>
      <c r="M145" s="136" t="s">
        <v>1617</v>
      </c>
      <c r="N145" s="138"/>
      <c r="O145" s="148" t="s">
        <v>1983</v>
      </c>
      <c r="P145" s="148"/>
      <c r="Q145" s="138"/>
      <c r="R145" s="138"/>
      <c r="S145" s="138"/>
      <c r="T145" s="138"/>
      <c r="U145" s="138"/>
      <c r="V145" s="138" t="s">
        <v>1999</v>
      </c>
    </row>
    <row r="146" spans="1:22" ht="24">
      <c r="A146" s="139" t="s">
        <v>1221</v>
      </c>
      <c r="B146" s="140">
        <v>51</v>
      </c>
      <c r="C146" s="139" t="s">
        <v>1272</v>
      </c>
      <c r="D146" s="126" t="s">
        <v>1827</v>
      </c>
      <c r="E146" s="126" t="s">
        <v>1828</v>
      </c>
      <c r="F146" s="126" t="s">
        <v>521</v>
      </c>
      <c r="G146" s="126" t="s">
        <v>425</v>
      </c>
      <c r="H146" s="126" t="s">
        <v>1829</v>
      </c>
      <c r="I146" s="126" t="s">
        <v>1423</v>
      </c>
      <c r="J146" s="126" t="s">
        <v>428</v>
      </c>
      <c r="K146" s="139" t="s">
        <v>1830</v>
      </c>
      <c r="L146" s="139" t="s">
        <v>1484</v>
      </c>
      <c r="M146" s="139" t="s">
        <v>1617</v>
      </c>
      <c r="N146" s="139"/>
      <c r="O146" s="147" t="s">
        <v>1983</v>
      </c>
      <c r="P146" s="147"/>
      <c r="Q146" s="139"/>
      <c r="R146" s="139"/>
      <c r="S146" s="139"/>
      <c r="T146" s="139"/>
      <c r="U146" s="139"/>
      <c r="V146" s="139" t="s">
        <v>2000</v>
      </c>
    </row>
    <row r="147" spans="1:22">
      <c r="O147" s="145" t="s">
        <v>1911</v>
      </c>
      <c r="V147" s="126" t="s">
        <v>2001</v>
      </c>
    </row>
    <row r="148" spans="1:22" ht="24">
      <c r="A148" s="11" t="s">
        <v>1224</v>
      </c>
      <c r="B148" s="130">
        <v>5101001</v>
      </c>
      <c r="C148" s="126" t="s">
        <v>1208</v>
      </c>
      <c r="D148" s="126" t="s">
        <v>1831</v>
      </c>
      <c r="E148" s="126" t="s">
        <v>1832</v>
      </c>
      <c r="F148" s="126" t="s">
        <v>521</v>
      </c>
      <c r="G148" s="126" t="s">
        <v>425</v>
      </c>
      <c r="H148" s="126" t="s">
        <v>1833</v>
      </c>
      <c r="I148" s="126" t="s">
        <v>1423</v>
      </c>
      <c r="J148" s="126" t="s">
        <v>428</v>
      </c>
      <c r="K148" s="126" t="s">
        <v>1834</v>
      </c>
      <c r="L148" s="126" t="s">
        <v>1347</v>
      </c>
      <c r="M148" s="126" t="s">
        <v>1374</v>
      </c>
      <c r="N148" s="126" t="s">
        <v>1617</v>
      </c>
      <c r="O148" s="145" t="s">
        <v>1911</v>
      </c>
      <c r="V148" s="126" t="s">
        <v>2001</v>
      </c>
    </row>
    <row r="149" spans="1:22" ht="24">
      <c r="A149" s="11" t="s">
        <v>1224</v>
      </c>
      <c r="B149" s="130">
        <v>5101002</v>
      </c>
      <c r="C149" s="126" t="s">
        <v>1209</v>
      </c>
      <c r="D149" s="126" t="s">
        <v>1835</v>
      </c>
      <c r="E149" s="126" t="s">
        <v>1832</v>
      </c>
      <c r="F149" s="126" t="s">
        <v>521</v>
      </c>
      <c r="G149" s="126" t="s">
        <v>425</v>
      </c>
      <c r="H149" s="126" t="s">
        <v>1833</v>
      </c>
      <c r="I149" s="126" t="s">
        <v>1423</v>
      </c>
      <c r="J149" s="126" t="s">
        <v>428</v>
      </c>
      <c r="K149" s="126" t="s">
        <v>1836</v>
      </c>
      <c r="L149" s="126" t="s">
        <v>1347</v>
      </c>
      <c r="M149" s="126" t="s">
        <v>1374</v>
      </c>
      <c r="N149" s="126" t="s">
        <v>1617</v>
      </c>
      <c r="O149" s="145" t="s">
        <v>1911</v>
      </c>
      <c r="V149" s="126" t="s">
        <v>2001</v>
      </c>
    </row>
    <row r="150" spans="1:22">
      <c r="O150" s="145" t="s">
        <v>1911</v>
      </c>
      <c r="V150" s="126" t="s">
        <v>2002</v>
      </c>
    </row>
    <row r="151" spans="1:22" ht="24">
      <c r="A151" s="11" t="s">
        <v>1224</v>
      </c>
      <c r="B151" s="130">
        <v>5102001</v>
      </c>
      <c r="C151" s="126" t="s">
        <v>1157</v>
      </c>
      <c r="D151" s="126" t="s">
        <v>1837</v>
      </c>
      <c r="E151" s="126" t="s">
        <v>1838</v>
      </c>
      <c r="F151" s="126" t="s">
        <v>521</v>
      </c>
      <c r="G151" s="126" t="s">
        <v>425</v>
      </c>
      <c r="H151" s="126" t="s">
        <v>1839</v>
      </c>
      <c r="I151" s="126" t="s">
        <v>1423</v>
      </c>
      <c r="J151" s="126" t="s">
        <v>428</v>
      </c>
      <c r="K151" s="126" t="s">
        <v>1840</v>
      </c>
      <c r="L151" s="126" t="s">
        <v>1841</v>
      </c>
      <c r="M151" s="126" t="s">
        <v>1374</v>
      </c>
      <c r="N151" s="126" t="s">
        <v>1617</v>
      </c>
      <c r="O151" s="145" t="s">
        <v>1911</v>
      </c>
      <c r="V151" s="126" t="s">
        <v>2002</v>
      </c>
    </row>
    <row r="152" spans="1:22" ht="24">
      <c r="A152" s="11" t="s">
        <v>1224</v>
      </c>
      <c r="B152" s="130">
        <v>5102002</v>
      </c>
      <c r="C152" s="126" t="s">
        <v>1210</v>
      </c>
      <c r="D152" s="126" t="s">
        <v>1842</v>
      </c>
      <c r="E152" s="126" t="s">
        <v>1816</v>
      </c>
      <c r="F152" s="126" t="s">
        <v>521</v>
      </c>
      <c r="G152" s="126" t="s">
        <v>425</v>
      </c>
      <c r="H152" s="126" t="s">
        <v>1839</v>
      </c>
      <c r="I152" s="126" t="s">
        <v>1423</v>
      </c>
      <c r="J152" s="126" t="s">
        <v>428</v>
      </c>
      <c r="K152" s="126" t="s">
        <v>1843</v>
      </c>
      <c r="L152" s="126" t="s">
        <v>1844</v>
      </c>
      <c r="M152" s="126" t="s">
        <v>1374</v>
      </c>
      <c r="N152" s="126" t="s">
        <v>1617</v>
      </c>
      <c r="O152" s="145" t="s">
        <v>1911</v>
      </c>
      <c r="V152" s="126" t="s">
        <v>2002</v>
      </c>
    </row>
    <row r="153" spans="1:22">
      <c r="O153" s="145" t="s">
        <v>1922</v>
      </c>
      <c r="V153" s="126" t="s">
        <v>2003</v>
      </c>
    </row>
    <row r="154" spans="1:22" ht="24">
      <c r="A154" s="11" t="s">
        <v>1224</v>
      </c>
      <c r="B154" s="130">
        <v>5103001</v>
      </c>
      <c r="C154" s="126" t="s">
        <v>1211</v>
      </c>
      <c r="D154" s="126" t="s">
        <v>1845</v>
      </c>
      <c r="E154" s="126" t="s">
        <v>1846</v>
      </c>
      <c r="F154" s="126" t="s">
        <v>521</v>
      </c>
      <c r="G154" s="126" t="s">
        <v>1285</v>
      </c>
      <c r="H154" s="126" t="s">
        <v>1847</v>
      </c>
      <c r="I154" s="126" t="s">
        <v>1423</v>
      </c>
      <c r="J154" s="126" t="s">
        <v>430</v>
      </c>
      <c r="K154" s="126" t="s">
        <v>1848</v>
      </c>
      <c r="L154" s="126" t="s">
        <v>1517</v>
      </c>
      <c r="M154" s="126" t="s">
        <v>1849</v>
      </c>
      <c r="O154" s="145" t="s">
        <v>1922</v>
      </c>
      <c r="V154" s="126" t="s">
        <v>2003</v>
      </c>
    </row>
    <row r="155" spans="1:22">
      <c r="O155" s="145" t="s">
        <v>1922</v>
      </c>
      <c r="V155" s="126" t="s">
        <v>2004</v>
      </c>
    </row>
    <row r="156" spans="1:22" ht="24">
      <c r="A156" s="11" t="s">
        <v>1224</v>
      </c>
      <c r="B156" s="130">
        <v>5104001</v>
      </c>
      <c r="C156" s="126" t="s">
        <v>1212</v>
      </c>
      <c r="D156" s="126" t="s">
        <v>1850</v>
      </c>
      <c r="E156" s="126" t="s">
        <v>1851</v>
      </c>
      <c r="F156" s="126" t="s">
        <v>416</v>
      </c>
      <c r="G156" s="126" t="s">
        <v>1299</v>
      </c>
      <c r="H156" s="126" t="s">
        <v>1852</v>
      </c>
      <c r="I156" s="126" t="s">
        <v>1423</v>
      </c>
      <c r="J156" s="126" t="s">
        <v>430</v>
      </c>
      <c r="K156" s="126" t="s">
        <v>1853</v>
      </c>
      <c r="L156" s="126" t="s">
        <v>1331</v>
      </c>
      <c r="M156" s="126" t="s">
        <v>1854</v>
      </c>
      <c r="O156" s="145" t="s">
        <v>1922</v>
      </c>
      <c r="V156" s="126" t="s">
        <v>2004</v>
      </c>
    </row>
    <row r="157" spans="1:22">
      <c r="O157" s="145" t="s">
        <v>1911</v>
      </c>
      <c r="V157" s="126" t="s">
        <v>2005</v>
      </c>
    </row>
    <row r="158" spans="1:22" ht="24">
      <c r="A158" s="11" t="s">
        <v>1224</v>
      </c>
      <c r="B158" s="130">
        <v>5105001</v>
      </c>
      <c r="C158" s="126" t="s">
        <v>1273</v>
      </c>
      <c r="D158" s="126" t="s">
        <v>1855</v>
      </c>
      <c r="E158" s="126" t="s">
        <v>1856</v>
      </c>
      <c r="F158" s="126" t="s">
        <v>521</v>
      </c>
      <c r="G158" s="126" t="s">
        <v>414</v>
      </c>
      <c r="H158" s="126" t="s">
        <v>1405</v>
      </c>
      <c r="I158" s="126" t="s">
        <v>1423</v>
      </c>
      <c r="J158" s="126" t="s">
        <v>430</v>
      </c>
      <c r="K158" s="126" t="s">
        <v>1857</v>
      </c>
      <c r="L158" s="126" t="s">
        <v>1841</v>
      </c>
      <c r="M158" s="126" t="s">
        <v>1374</v>
      </c>
      <c r="N158" s="126" t="s">
        <v>1858</v>
      </c>
      <c r="O158" s="145" t="s">
        <v>1911</v>
      </c>
      <c r="V158" s="126" t="s">
        <v>2006</v>
      </c>
    </row>
    <row r="159" spans="1:22" ht="24">
      <c r="A159" s="11" t="s">
        <v>1224</v>
      </c>
      <c r="B159" s="130">
        <v>5105002</v>
      </c>
      <c r="C159" s="126" t="s">
        <v>1274</v>
      </c>
      <c r="D159" s="126" t="s">
        <v>1859</v>
      </c>
      <c r="E159" s="126" t="s">
        <v>1856</v>
      </c>
      <c r="F159" s="126" t="s">
        <v>521</v>
      </c>
      <c r="G159" s="126" t="s">
        <v>414</v>
      </c>
      <c r="H159" s="126" t="s">
        <v>1405</v>
      </c>
      <c r="I159" s="126" t="s">
        <v>1423</v>
      </c>
      <c r="J159" s="126" t="s">
        <v>430</v>
      </c>
      <c r="K159" s="126" t="s">
        <v>1860</v>
      </c>
      <c r="L159" s="126" t="s">
        <v>1861</v>
      </c>
      <c r="M159" s="126" t="s">
        <v>1374</v>
      </c>
      <c r="N159" s="126" t="s">
        <v>1858</v>
      </c>
      <c r="O159" s="145" t="s">
        <v>1911</v>
      </c>
      <c r="V159" s="126" t="s">
        <v>2007</v>
      </c>
    </row>
    <row r="160" spans="1:22" ht="24">
      <c r="A160" s="11" t="s">
        <v>1224</v>
      </c>
      <c r="B160" s="130">
        <v>5105003</v>
      </c>
      <c r="C160" s="126" t="s">
        <v>1275</v>
      </c>
      <c r="D160" s="126" t="s">
        <v>1862</v>
      </c>
      <c r="E160" s="126" t="s">
        <v>1856</v>
      </c>
      <c r="F160" s="126" t="s">
        <v>521</v>
      </c>
      <c r="G160" s="126" t="s">
        <v>414</v>
      </c>
      <c r="H160" s="126" t="s">
        <v>1405</v>
      </c>
      <c r="I160" s="126" t="s">
        <v>1423</v>
      </c>
      <c r="J160" s="126" t="s">
        <v>430</v>
      </c>
      <c r="K160" s="126" t="s">
        <v>1863</v>
      </c>
      <c r="L160" s="126" t="s">
        <v>1864</v>
      </c>
      <c r="M160" s="126" t="s">
        <v>1374</v>
      </c>
      <c r="N160" s="126" t="s">
        <v>1617</v>
      </c>
      <c r="O160" s="145" t="s">
        <v>1911</v>
      </c>
      <c r="V160" s="126" t="s">
        <v>2008</v>
      </c>
    </row>
    <row r="161" spans="1:22" ht="24">
      <c r="A161" s="11" t="s">
        <v>1224</v>
      </c>
      <c r="B161" s="130">
        <v>5105004</v>
      </c>
      <c r="C161" s="126" t="s">
        <v>1276</v>
      </c>
      <c r="D161" s="126" t="s">
        <v>1865</v>
      </c>
      <c r="E161" s="126" t="s">
        <v>1856</v>
      </c>
      <c r="F161" s="126" t="s">
        <v>521</v>
      </c>
      <c r="G161" s="126" t="s">
        <v>414</v>
      </c>
      <c r="H161" s="126" t="s">
        <v>1405</v>
      </c>
      <c r="I161" s="126" t="s">
        <v>1423</v>
      </c>
      <c r="J161" s="126" t="s">
        <v>430</v>
      </c>
      <c r="K161" s="126" t="s">
        <v>1866</v>
      </c>
      <c r="L161" s="126" t="s">
        <v>1867</v>
      </c>
      <c r="M161" s="126" t="s">
        <v>1374</v>
      </c>
      <c r="N161" s="126" t="s">
        <v>1858</v>
      </c>
      <c r="O161" s="145" t="s">
        <v>1911</v>
      </c>
      <c r="V161" s="126" t="s">
        <v>2009</v>
      </c>
    </row>
    <row r="162" spans="1:22" ht="24">
      <c r="A162" s="139" t="s">
        <v>1221</v>
      </c>
      <c r="B162" s="140">
        <v>52</v>
      </c>
      <c r="C162" s="139" t="s">
        <v>1277</v>
      </c>
      <c r="D162" s="126" t="s">
        <v>1868</v>
      </c>
      <c r="E162" s="126" t="s">
        <v>1869</v>
      </c>
      <c r="F162" s="126" t="s">
        <v>521</v>
      </c>
      <c r="G162" s="126" t="s">
        <v>425</v>
      </c>
      <c r="H162" s="126" t="s">
        <v>1870</v>
      </c>
      <c r="I162" s="126" t="s">
        <v>1423</v>
      </c>
      <c r="J162" s="126" t="s">
        <v>1871</v>
      </c>
      <c r="K162" s="139" t="s">
        <v>1872</v>
      </c>
      <c r="L162" s="139" t="s">
        <v>1484</v>
      </c>
      <c r="M162" s="139" t="s">
        <v>1694</v>
      </c>
      <c r="N162" s="139"/>
      <c r="O162" s="147" t="s">
        <v>1983</v>
      </c>
      <c r="P162" s="147"/>
      <c r="Q162" s="139"/>
      <c r="R162" s="139"/>
      <c r="S162" s="139"/>
      <c r="T162" s="139"/>
      <c r="U162" s="139"/>
      <c r="V162" s="139" t="s">
        <v>2010</v>
      </c>
    </row>
    <row r="163" spans="1:22">
      <c r="O163" s="145" t="s">
        <v>1911</v>
      </c>
      <c r="V163" s="126" t="s">
        <v>2011</v>
      </c>
    </row>
    <row r="164" spans="1:22" ht="24">
      <c r="A164" s="11" t="s">
        <v>1224</v>
      </c>
      <c r="B164" s="130">
        <v>5201001</v>
      </c>
      <c r="C164" s="126" t="s">
        <v>1213</v>
      </c>
      <c r="D164" s="126" t="s">
        <v>1873</v>
      </c>
      <c r="E164" s="126" t="s">
        <v>1832</v>
      </c>
      <c r="F164" s="126" t="s">
        <v>521</v>
      </c>
      <c r="G164" s="126" t="s">
        <v>425</v>
      </c>
      <c r="H164" s="126" t="s">
        <v>1874</v>
      </c>
      <c r="I164" s="126" t="s">
        <v>1423</v>
      </c>
      <c r="J164" s="126" t="s">
        <v>430</v>
      </c>
      <c r="K164" s="126" t="s">
        <v>1875</v>
      </c>
      <c r="L164" s="126" t="s">
        <v>1347</v>
      </c>
      <c r="M164" s="126" t="s">
        <v>1374</v>
      </c>
      <c r="N164" s="126" t="s">
        <v>1617</v>
      </c>
      <c r="O164" s="145" t="s">
        <v>1911</v>
      </c>
      <c r="V164" s="126" t="s">
        <v>2011</v>
      </c>
    </row>
    <row r="165" spans="1:22">
      <c r="O165" s="145" t="s">
        <v>2012</v>
      </c>
      <c r="V165" s="126" t="s">
        <v>2013</v>
      </c>
    </row>
    <row r="166" spans="1:22" ht="24">
      <c r="A166" s="11" t="s">
        <v>1224</v>
      </c>
      <c r="B166" s="130">
        <v>5202001</v>
      </c>
      <c r="C166" s="126" t="s">
        <v>1214</v>
      </c>
      <c r="D166" s="126" t="s">
        <v>1876</v>
      </c>
      <c r="E166" s="126" t="s">
        <v>1648</v>
      </c>
      <c r="F166" s="126" t="s">
        <v>521</v>
      </c>
      <c r="G166" s="126" t="s">
        <v>521</v>
      </c>
      <c r="H166" s="126" t="s">
        <v>1649</v>
      </c>
      <c r="I166" s="126" t="s">
        <v>1374</v>
      </c>
      <c r="J166" s="126" t="s">
        <v>430</v>
      </c>
      <c r="K166" s="126" t="s">
        <v>1650</v>
      </c>
      <c r="L166" s="126" t="s">
        <v>429</v>
      </c>
      <c r="M166" s="126" t="s">
        <v>1651</v>
      </c>
      <c r="O166" s="145" t="s">
        <v>2012</v>
      </c>
      <c r="V166" s="126" t="s">
        <v>2013</v>
      </c>
    </row>
    <row r="167" spans="1:22">
      <c r="O167" s="145" t="s">
        <v>2012</v>
      </c>
      <c r="V167" s="126" t="s">
        <v>2013</v>
      </c>
    </row>
    <row r="168" spans="1:22" ht="24">
      <c r="A168" s="11" t="s">
        <v>1224</v>
      </c>
      <c r="B168" s="130">
        <v>5203001</v>
      </c>
      <c r="C168" s="126" t="s">
        <v>1215</v>
      </c>
      <c r="D168" s="126" t="s">
        <v>1877</v>
      </c>
      <c r="E168" s="126" t="s">
        <v>1878</v>
      </c>
      <c r="F168" s="126" t="s">
        <v>521</v>
      </c>
      <c r="G168" s="126" t="s">
        <v>1294</v>
      </c>
      <c r="H168" s="126" t="s">
        <v>1879</v>
      </c>
      <c r="I168" s="126" t="s">
        <v>1423</v>
      </c>
      <c r="J168" s="126" t="s">
        <v>430</v>
      </c>
      <c r="K168" s="126" t="s">
        <v>1880</v>
      </c>
      <c r="L168" s="126" t="s">
        <v>1703</v>
      </c>
      <c r="M168" s="126" t="s">
        <v>1374</v>
      </c>
      <c r="N168" s="126" t="s">
        <v>1646</v>
      </c>
      <c r="O168" s="145" t="s">
        <v>2012</v>
      </c>
      <c r="V168" s="126" t="s">
        <v>2013</v>
      </c>
    </row>
    <row r="169" spans="1:22" ht="24">
      <c r="A169" s="139" t="s">
        <v>1221</v>
      </c>
      <c r="B169" s="140">
        <v>53</v>
      </c>
      <c r="C169" s="139" t="s">
        <v>1278</v>
      </c>
      <c r="D169" s="126" t="s">
        <v>1881</v>
      </c>
      <c r="E169" s="126" t="s">
        <v>1882</v>
      </c>
      <c r="F169" s="126" t="s">
        <v>416</v>
      </c>
      <c r="G169" s="126" t="s">
        <v>1883</v>
      </c>
      <c r="H169" s="126" t="s">
        <v>1884</v>
      </c>
      <c r="I169" s="126" t="s">
        <v>1423</v>
      </c>
      <c r="J169" s="126" t="s">
        <v>430</v>
      </c>
      <c r="K169" s="139" t="s">
        <v>1885</v>
      </c>
      <c r="L169" s="139" t="s">
        <v>1484</v>
      </c>
      <c r="M169" s="139" t="s">
        <v>1694</v>
      </c>
      <c r="N169" s="139"/>
      <c r="O169" s="147" t="s">
        <v>1902</v>
      </c>
      <c r="P169" s="147"/>
      <c r="Q169" s="139"/>
      <c r="R169" s="139"/>
      <c r="S169" s="139"/>
      <c r="T169" s="139"/>
      <c r="U169" s="139"/>
      <c r="V169" s="139" t="s">
        <v>2014</v>
      </c>
    </row>
    <row r="170" spans="1:22">
      <c r="O170" s="145" t="s">
        <v>1902</v>
      </c>
      <c r="V170" s="126" t="s">
        <v>2015</v>
      </c>
    </row>
    <row r="171" spans="1:22" ht="24">
      <c r="A171" s="11" t="s">
        <v>1224</v>
      </c>
      <c r="B171" s="130">
        <v>5301001</v>
      </c>
      <c r="C171" s="126" t="s">
        <v>1216</v>
      </c>
      <c r="D171" s="126" t="s">
        <v>1886</v>
      </c>
      <c r="E171" s="126" t="s">
        <v>1887</v>
      </c>
      <c r="F171" s="126" t="s">
        <v>1284</v>
      </c>
      <c r="G171" s="126" t="s">
        <v>1285</v>
      </c>
      <c r="H171" s="126" t="s">
        <v>1888</v>
      </c>
      <c r="I171" s="126" t="s">
        <v>1423</v>
      </c>
      <c r="J171" s="126" t="s">
        <v>430</v>
      </c>
      <c r="K171" s="126" t="s">
        <v>1889</v>
      </c>
      <c r="L171" s="126" t="s">
        <v>1517</v>
      </c>
      <c r="M171" s="126" t="s">
        <v>1890</v>
      </c>
      <c r="O171" s="145" t="s">
        <v>1902</v>
      </c>
      <c r="V171" s="126" t="s">
        <v>2015</v>
      </c>
    </row>
    <row r="172" spans="1:22">
      <c r="O172" s="145" t="s">
        <v>1922</v>
      </c>
      <c r="V172" s="126" t="s">
        <v>2016</v>
      </c>
    </row>
    <row r="173" spans="1:22" ht="24">
      <c r="A173" s="11" t="s">
        <v>1224</v>
      </c>
      <c r="B173" s="130">
        <v>5302001</v>
      </c>
      <c r="C173" s="126" t="s">
        <v>1217</v>
      </c>
      <c r="D173" s="126" t="s">
        <v>1891</v>
      </c>
      <c r="E173" s="126" t="s">
        <v>1887</v>
      </c>
      <c r="F173" s="126" t="s">
        <v>521</v>
      </c>
      <c r="G173" s="126" t="s">
        <v>1293</v>
      </c>
      <c r="H173" s="126" t="s">
        <v>1657</v>
      </c>
      <c r="I173" s="126" t="s">
        <v>1423</v>
      </c>
      <c r="J173" s="126" t="s">
        <v>430</v>
      </c>
      <c r="K173" s="126" t="s">
        <v>1892</v>
      </c>
      <c r="L173" s="126" t="s">
        <v>1292</v>
      </c>
      <c r="M173" s="126" t="s">
        <v>1893</v>
      </c>
      <c r="O173" s="145" t="s">
        <v>1922</v>
      </c>
      <c r="V173" s="126" t="s">
        <v>2016</v>
      </c>
    </row>
    <row r="174" spans="1:22">
      <c r="O174" s="145" t="s">
        <v>1922</v>
      </c>
      <c r="V174" s="126" t="s">
        <v>2017</v>
      </c>
    </row>
    <row r="175" spans="1:22" ht="24">
      <c r="A175" s="11" t="s">
        <v>1224</v>
      </c>
      <c r="B175" s="130">
        <v>5303001</v>
      </c>
      <c r="C175" s="126" t="s">
        <v>1218</v>
      </c>
      <c r="D175" s="126" t="s">
        <v>1894</v>
      </c>
      <c r="E175" s="126" t="s">
        <v>1887</v>
      </c>
      <c r="F175" s="126" t="s">
        <v>416</v>
      </c>
      <c r="G175" s="126" t="s">
        <v>482</v>
      </c>
      <c r="H175" s="126" t="s">
        <v>1895</v>
      </c>
      <c r="I175" s="126" t="s">
        <v>1423</v>
      </c>
      <c r="J175" s="126" t="s">
        <v>430</v>
      </c>
      <c r="K175" s="126" t="s">
        <v>1896</v>
      </c>
      <c r="L175" s="126" t="s">
        <v>1484</v>
      </c>
      <c r="M175" s="126" t="s">
        <v>1897</v>
      </c>
      <c r="O175" s="145" t="s">
        <v>1922</v>
      </c>
      <c r="V175" s="126" t="s">
        <v>2017</v>
      </c>
    </row>
  </sheetData>
  <autoFilter ref="A1:V175" xr:uid="{0F83EB5D-4199-45A9-8658-BCEC295C4BA1}"/>
  <pageMargins left="0.25" right="0.25"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B73F-26B8-4EB4-AC47-142B40420333}">
  <dimension ref="A1:M50"/>
  <sheetViews>
    <sheetView rightToLeft="1" view="pageBreakPreview" zoomScale="60" workbookViewId="0">
      <selection activeCell="E11" sqref="E11"/>
    </sheetView>
  </sheetViews>
  <sheetFormatPr defaultRowHeight="18"/>
  <cols>
    <col min="1" max="3" width="9" style="151"/>
    <col min="4" max="5" width="30.625" style="151" customWidth="1"/>
    <col min="6" max="10" width="9" style="151"/>
    <col min="11" max="11" width="61.5" style="337" customWidth="1"/>
    <col min="12" max="12" width="9" style="151"/>
    <col min="13" max="13" width="31.125" style="151" customWidth="1"/>
    <col min="14" max="16384" width="9" style="151"/>
  </cols>
  <sheetData>
    <row r="1" spans="1:13">
      <c r="A1" s="151" t="s">
        <v>1219</v>
      </c>
      <c r="B1" s="151" t="s">
        <v>2972</v>
      </c>
      <c r="C1" s="151" t="s">
        <v>3627</v>
      </c>
      <c r="D1" s="151" t="s">
        <v>3628</v>
      </c>
      <c r="E1" s="151" t="s">
        <v>3629</v>
      </c>
      <c r="F1" s="151" t="s">
        <v>3630</v>
      </c>
      <c r="G1" s="151" t="s">
        <v>3631</v>
      </c>
      <c r="H1" s="151" t="s">
        <v>3632</v>
      </c>
      <c r="I1" s="151" t="s">
        <v>3633</v>
      </c>
      <c r="J1" s="151" t="s">
        <v>3634</v>
      </c>
    </row>
    <row r="2" spans="1:13">
      <c r="A2" s="151" t="s">
        <v>186</v>
      </c>
      <c r="B2" s="151" t="s">
        <v>2968</v>
      </c>
      <c r="C2" s="151" t="s">
        <v>2968</v>
      </c>
      <c r="D2" s="151" t="s">
        <v>2967</v>
      </c>
      <c r="E2" s="151" t="s">
        <v>3635</v>
      </c>
      <c r="K2" s="337" t="s">
        <v>3777</v>
      </c>
      <c r="L2" s="151" t="s">
        <v>3778</v>
      </c>
      <c r="M2" s="151" t="s">
        <v>6</v>
      </c>
    </row>
    <row r="3" spans="1:13">
      <c r="A3" s="151" t="s">
        <v>186</v>
      </c>
      <c r="B3" s="151" t="s">
        <v>2043</v>
      </c>
      <c r="C3" s="151" t="s">
        <v>2043</v>
      </c>
      <c r="D3" s="151" t="s">
        <v>2700</v>
      </c>
      <c r="E3" s="151" t="s">
        <v>3636</v>
      </c>
      <c r="K3" s="337" t="s">
        <v>3779</v>
      </c>
      <c r="M3" s="151" t="s">
        <v>3780</v>
      </c>
    </row>
    <row r="4" spans="1:13">
      <c r="A4" s="151" t="s">
        <v>187</v>
      </c>
      <c r="B4" s="151" t="s">
        <v>2699</v>
      </c>
      <c r="C4" s="151" t="s">
        <v>2697</v>
      </c>
      <c r="D4" s="151" t="s">
        <v>2696</v>
      </c>
      <c r="E4" s="151" t="s">
        <v>3637</v>
      </c>
      <c r="K4" s="337" t="s">
        <v>3781</v>
      </c>
      <c r="L4" s="151" t="s">
        <v>3782</v>
      </c>
      <c r="M4" s="151" t="s">
        <v>3783</v>
      </c>
    </row>
    <row r="5" spans="1:13">
      <c r="A5" s="151" t="s">
        <v>187</v>
      </c>
      <c r="B5" s="151" t="s">
        <v>2699</v>
      </c>
      <c r="C5" s="151" t="s">
        <v>2641</v>
      </c>
      <c r="D5" s="151" t="s">
        <v>3638</v>
      </c>
      <c r="E5" s="151" t="s">
        <v>3639</v>
      </c>
      <c r="K5" s="337" t="s">
        <v>3784</v>
      </c>
      <c r="L5" s="151" t="s">
        <v>461</v>
      </c>
    </row>
    <row r="6" spans="1:13">
      <c r="A6" s="151" t="s">
        <v>187</v>
      </c>
      <c r="B6" s="151" t="s">
        <v>2699</v>
      </c>
      <c r="C6" s="151" t="s">
        <v>2573</v>
      </c>
      <c r="D6" s="151" t="s">
        <v>3640</v>
      </c>
      <c r="E6" s="151" t="s">
        <v>3641</v>
      </c>
      <c r="K6" s="337" t="s">
        <v>3785</v>
      </c>
      <c r="L6" s="151" t="s">
        <v>3786</v>
      </c>
    </row>
    <row r="7" spans="1:13">
      <c r="A7" s="151" t="s">
        <v>187</v>
      </c>
      <c r="B7" s="151" t="s">
        <v>2699</v>
      </c>
      <c r="C7" s="151" t="s">
        <v>2556</v>
      </c>
      <c r="D7" s="151" t="s">
        <v>3642</v>
      </c>
      <c r="E7" s="151" t="s">
        <v>3643</v>
      </c>
      <c r="K7" s="337" t="s">
        <v>3787</v>
      </c>
      <c r="M7" s="151" t="s">
        <v>3788</v>
      </c>
    </row>
    <row r="8" spans="1:13">
      <c r="A8" s="151" t="s">
        <v>188</v>
      </c>
      <c r="B8" s="151" t="s">
        <v>2923</v>
      </c>
      <c r="C8" s="151" t="s">
        <v>2921</v>
      </c>
      <c r="D8" s="151" t="s">
        <v>3644</v>
      </c>
      <c r="E8" s="151" t="s">
        <v>3645</v>
      </c>
      <c r="K8" s="337" t="s">
        <v>3789</v>
      </c>
      <c r="M8" s="151" t="s">
        <v>3790</v>
      </c>
    </row>
    <row r="9" spans="1:13">
      <c r="A9" s="151" t="s">
        <v>188</v>
      </c>
      <c r="B9" s="151" t="s">
        <v>2923</v>
      </c>
      <c r="C9" s="151" t="s">
        <v>2826</v>
      </c>
      <c r="D9" s="151" t="s">
        <v>3646</v>
      </c>
      <c r="E9" s="151" t="s">
        <v>3647</v>
      </c>
      <c r="K9" s="337" t="s">
        <v>3791</v>
      </c>
      <c r="L9" s="151" t="s">
        <v>3792</v>
      </c>
      <c r="M9" s="151" t="s">
        <v>3793</v>
      </c>
    </row>
    <row r="10" spans="1:13">
      <c r="A10" s="151" t="s">
        <v>188</v>
      </c>
      <c r="B10" s="151" t="s">
        <v>2923</v>
      </c>
      <c r="C10" s="151" t="s">
        <v>2788</v>
      </c>
      <c r="D10" s="151" t="s">
        <v>3648</v>
      </c>
      <c r="E10" s="151" t="s">
        <v>3649</v>
      </c>
      <c r="K10" s="337" t="s">
        <v>3794</v>
      </c>
      <c r="L10" s="151">
        <v>0</v>
      </c>
      <c r="M10" s="151" t="s">
        <v>3795</v>
      </c>
    </row>
    <row r="11" spans="1:13">
      <c r="A11" s="151" t="s">
        <v>188</v>
      </c>
      <c r="B11" s="151" t="s">
        <v>2923</v>
      </c>
      <c r="C11" s="151" t="s">
        <v>2757</v>
      </c>
      <c r="D11" s="151" t="s">
        <v>3650</v>
      </c>
      <c r="E11" s="151" t="s">
        <v>3651</v>
      </c>
      <c r="K11" s="337" t="s">
        <v>3796</v>
      </c>
      <c r="L11" s="335">
        <v>0.05</v>
      </c>
      <c r="M11" s="151" t="s">
        <v>3797</v>
      </c>
    </row>
    <row r="12" spans="1:13">
      <c r="A12" s="151" t="s">
        <v>188</v>
      </c>
      <c r="B12" s="151" t="s">
        <v>2923</v>
      </c>
      <c r="C12" s="151" t="s">
        <v>2741</v>
      </c>
      <c r="D12" s="151" t="s">
        <v>3652</v>
      </c>
      <c r="E12" s="151" t="s">
        <v>3653</v>
      </c>
      <c r="F12" s="151" t="s">
        <v>3654</v>
      </c>
      <c r="K12" s="337" t="s">
        <v>3798</v>
      </c>
      <c r="L12" s="151" t="e">
        <f>VALUE(SUBSTITUTE(C9,"%",""))/100 * C8</f>
        <v>#VALUE!</v>
      </c>
      <c r="M12" s="151" t="s">
        <v>3799</v>
      </c>
    </row>
    <row r="13" spans="1:13">
      <c r="A13" s="151" t="s">
        <v>187</v>
      </c>
      <c r="B13" s="151" t="s">
        <v>2526</v>
      </c>
      <c r="C13" s="151" t="s">
        <v>2524</v>
      </c>
      <c r="D13" s="151" t="s">
        <v>2523</v>
      </c>
      <c r="E13" s="151" t="s">
        <v>3655</v>
      </c>
      <c r="K13" s="337" t="s">
        <v>3800</v>
      </c>
      <c r="L13" s="336">
        <v>0.6</v>
      </c>
      <c r="M13" s="151" t="s">
        <v>3801</v>
      </c>
    </row>
    <row r="14" spans="1:13">
      <c r="A14" s="151" t="s">
        <v>187</v>
      </c>
      <c r="B14" s="151" t="s">
        <v>2526</v>
      </c>
      <c r="C14" s="151" t="s">
        <v>2499</v>
      </c>
      <c r="D14" s="151" t="s">
        <v>3656</v>
      </c>
      <c r="E14" s="151" t="s">
        <v>3657</v>
      </c>
      <c r="K14" s="337" t="s">
        <v>3802</v>
      </c>
      <c r="L14" s="151" t="e">
        <f>VALUE(SUBSTITUTE(C12,"%",""))/100 * C11</f>
        <v>#VALUE!</v>
      </c>
      <c r="M14" s="151" t="s">
        <v>3803</v>
      </c>
    </row>
    <row r="15" spans="1:13">
      <c r="A15" s="151" t="s">
        <v>187</v>
      </c>
      <c r="B15" s="151" t="s">
        <v>2526</v>
      </c>
      <c r="C15" s="151" t="s">
        <v>3658</v>
      </c>
      <c r="D15" s="151" t="s">
        <v>3659</v>
      </c>
      <c r="E15" s="151" t="s">
        <v>3660</v>
      </c>
      <c r="K15" s="337" t="s">
        <v>3804</v>
      </c>
      <c r="L15" s="336">
        <v>0.05</v>
      </c>
      <c r="M15" s="151" t="s">
        <v>3805</v>
      </c>
    </row>
    <row r="16" spans="1:13">
      <c r="A16" s="151" t="s">
        <v>187</v>
      </c>
      <c r="B16" s="151" t="s">
        <v>2526</v>
      </c>
      <c r="C16" s="151" t="s">
        <v>3661</v>
      </c>
      <c r="D16" s="151" t="s">
        <v>3662</v>
      </c>
      <c r="E16" s="151" t="s">
        <v>3663</v>
      </c>
      <c r="K16" s="337" t="s">
        <v>3806</v>
      </c>
      <c r="L16" s="151" t="e">
        <f>VALUE(SUBSTITUTE(C14,"%",""))/100 * C11</f>
        <v>#VALUE!</v>
      </c>
      <c r="M16" s="151" t="s">
        <v>3807</v>
      </c>
    </row>
    <row r="17" spans="1:13">
      <c r="A17" s="151" t="s">
        <v>187</v>
      </c>
      <c r="B17" s="151" t="s">
        <v>2526</v>
      </c>
      <c r="C17" s="151" t="s">
        <v>3664</v>
      </c>
      <c r="D17" s="151" t="s">
        <v>3665</v>
      </c>
      <c r="E17" s="151" t="s">
        <v>3666</v>
      </c>
      <c r="K17" s="337" t="s">
        <v>3808</v>
      </c>
      <c r="M17" s="151" t="s">
        <v>3809</v>
      </c>
    </row>
    <row r="18" spans="1:13">
      <c r="A18" s="151" t="s">
        <v>187</v>
      </c>
      <c r="B18" s="151" t="s">
        <v>2526</v>
      </c>
      <c r="C18" s="151" t="s">
        <v>3667</v>
      </c>
      <c r="D18" s="151" t="s">
        <v>3668</v>
      </c>
      <c r="E18" s="151" t="s">
        <v>3669</v>
      </c>
    </row>
    <row r="19" spans="1:13">
      <c r="A19" s="151" t="s">
        <v>187</v>
      </c>
      <c r="B19" s="151" t="s">
        <v>2526</v>
      </c>
      <c r="C19" s="151" t="s">
        <v>3670</v>
      </c>
      <c r="D19" s="151" t="s">
        <v>3671</v>
      </c>
      <c r="E19" s="151" t="s">
        <v>3672</v>
      </c>
    </row>
    <row r="20" spans="1:13">
      <c r="A20" s="151" t="s">
        <v>187</v>
      </c>
      <c r="B20" s="151" t="s">
        <v>2526</v>
      </c>
      <c r="C20" s="151" t="s">
        <v>3673</v>
      </c>
      <c r="D20" s="151" t="s">
        <v>3674</v>
      </c>
      <c r="E20" s="151" t="s">
        <v>3675</v>
      </c>
    </row>
    <row r="21" spans="1:13">
      <c r="A21" s="151" t="s">
        <v>187</v>
      </c>
      <c r="B21" s="151" t="s">
        <v>2526</v>
      </c>
      <c r="C21" s="151" t="s">
        <v>3676</v>
      </c>
      <c r="D21" s="151" t="s">
        <v>3677</v>
      </c>
      <c r="E21" s="151" t="s">
        <v>3678</v>
      </c>
    </row>
    <row r="22" spans="1:13">
      <c r="A22" s="151" t="s">
        <v>187</v>
      </c>
      <c r="B22" s="151" t="s">
        <v>2526</v>
      </c>
      <c r="C22" s="151" t="s">
        <v>3679</v>
      </c>
      <c r="D22" s="151" t="s">
        <v>3680</v>
      </c>
      <c r="E22" s="151" t="s">
        <v>3681</v>
      </c>
      <c r="F22" s="151" t="s">
        <v>2048</v>
      </c>
    </row>
    <row r="23" spans="1:13">
      <c r="A23" s="151" t="s">
        <v>187</v>
      </c>
      <c r="B23" s="151" t="s">
        <v>2526</v>
      </c>
      <c r="C23" s="151" t="s">
        <v>3682</v>
      </c>
      <c r="D23" s="151" t="s">
        <v>3683</v>
      </c>
      <c r="E23" s="151" t="s">
        <v>3684</v>
      </c>
    </row>
    <row r="24" spans="1:13">
      <c r="A24" s="151" t="s">
        <v>188</v>
      </c>
      <c r="B24" s="151" t="s">
        <v>2169</v>
      </c>
      <c r="C24" s="151" t="s">
        <v>3685</v>
      </c>
      <c r="D24" s="151" t="s">
        <v>3686</v>
      </c>
      <c r="E24" s="151" t="s">
        <v>3687</v>
      </c>
    </row>
    <row r="25" spans="1:13">
      <c r="A25" s="151" t="s">
        <v>188</v>
      </c>
      <c r="B25" s="151" t="s">
        <v>2169</v>
      </c>
      <c r="C25" s="151" t="s">
        <v>3688</v>
      </c>
      <c r="D25" s="151" t="s">
        <v>3689</v>
      </c>
      <c r="E25" s="151" t="s">
        <v>3690</v>
      </c>
    </row>
    <row r="26" spans="1:13">
      <c r="A26" s="151" t="s">
        <v>188</v>
      </c>
      <c r="B26" s="151" t="s">
        <v>2169</v>
      </c>
      <c r="C26" s="151" t="s">
        <v>3691</v>
      </c>
      <c r="D26" s="151" t="s">
        <v>3692</v>
      </c>
      <c r="E26" s="151" t="s">
        <v>3693</v>
      </c>
    </row>
    <row r="27" spans="1:13">
      <c r="A27" s="151" t="s">
        <v>188</v>
      </c>
      <c r="B27" s="151" t="s">
        <v>2169</v>
      </c>
      <c r="C27" s="151" t="s">
        <v>3694</v>
      </c>
      <c r="D27" s="151" t="s">
        <v>3695</v>
      </c>
      <c r="E27" s="151" t="s">
        <v>3696</v>
      </c>
    </row>
    <row r="28" spans="1:13">
      <c r="A28" s="151" t="s">
        <v>188</v>
      </c>
      <c r="B28" s="151" t="s">
        <v>2169</v>
      </c>
      <c r="C28" s="151" t="s">
        <v>3697</v>
      </c>
      <c r="D28" s="151" t="s">
        <v>3698</v>
      </c>
      <c r="E28" s="151" t="s">
        <v>3699</v>
      </c>
    </row>
    <row r="29" spans="1:13">
      <c r="A29" s="151" t="s">
        <v>188</v>
      </c>
      <c r="B29" s="151" t="s">
        <v>2169</v>
      </c>
      <c r="C29" s="151" t="s">
        <v>3700</v>
      </c>
      <c r="D29" s="151" t="s">
        <v>3701</v>
      </c>
      <c r="E29" s="151" t="s">
        <v>3702</v>
      </c>
    </row>
    <row r="30" spans="1:13">
      <c r="A30" s="151" t="s">
        <v>188</v>
      </c>
      <c r="B30" s="151" t="s">
        <v>2169</v>
      </c>
      <c r="C30" s="151" t="s">
        <v>3703</v>
      </c>
      <c r="D30" s="151" t="s">
        <v>3704</v>
      </c>
      <c r="E30" s="151" t="s">
        <v>3705</v>
      </c>
    </row>
    <row r="31" spans="1:13">
      <c r="A31" s="151" t="s">
        <v>188</v>
      </c>
      <c r="B31" s="151" t="s">
        <v>2169</v>
      </c>
      <c r="C31" s="151" t="s">
        <v>3706</v>
      </c>
      <c r="D31" s="151" t="s">
        <v>3707</v>
      </c>
      <c r="E31" s="151" t="s">
        <v>3708</v>
      </c>
    </row>
    <row r="32" spans="1:13">
      <c r="A32" s="151" t="s">
        <v>188</v>
      </c>
      <c r="B32" s="151" t="s">
        <v>2169</v>
      </c>
      <c r="C32" s="151" t="s">
        <v>3709</v>
      </c>
      <c r="D32" s="151" t="s">
        <v>3710</v>
      </c>
      <c r="E32" s="151" t="s">
        <v>3711</v>
      </c>
    </row>
    <row r="33" spans="1:6">
      <c r="A33" s="151" t="s">
        <v>188</v>
      </c>
      <c r="B33" s="151" t="s">
        <v>2169</v>
      </c>
      <c r="C33" s="151" t="s">
        <v>3712</v>
      </c>
      <c r="D33" s="151" t="s">
        <v>3713</v>
      </c>
      <c r="E33" s="151" t="s">
        <v>3714</v>
      </c>
    </row>
    <row r="34" spans="1:6">
      <c r="A34" s="151" t="s">
        <v>189</v>
      </c>
      <c r="B34" s="151" t="s">
        <v>3715</v>
      </c>
      <c r="C34" s="151" t="s">
        <v>3716</v>
      </c>
      <c r="D34" s="151" t="s">
        <v>3717</v>
      </c>
      <c r="E34" s="151" t="s">
        <v>3718</v>
      </c>
    </row>
    <row r="35" spans="1:6">
      <c r="A35" s="151" t="s">
        <v>189</v>
      </c>
      <c r="B35" s="151" t="s">
        <v>3715</v>
      </c>
      <c r="C35" s="151" t="s">
        <v>3719</v>
      </c>
      <c r="D35" s="151" t="s">
        <v>3720</v>
      </c>
      <c r="E35" s="151" t="s">
        <v>3721</v>
      </c>
    </row>
    <row r="36" spans="1:6">
      <c r="A36" s="151" t="s">
        <v>189</v>
      </c>
      <c r="B36" s="151" t="s">
        <v>3715</v>
      </c>
      <c r="C36" s="151" t="s">
        <v>3722</v>
      </c>
      <c r="D36" s="151" t="s">
        <v>3723</v>
      </c>
      <c r="E36" s="151" t="s">
        <v>3724</v>
      </c>
    </row>
    <row r="37" spans="1:6">
      <c r="A37" s="151" t="s">
        <v>189</v>
      </c>
      <c r="B37" s="151" t="s">
        <v>3715</v>
      </c>
      <c r="C37" s="151" t="s">
        <v>3725</v>
      </c>
      <c r="D37" s="151" t="s">
        <v>3726</v>
      </c>
      <c r="E37" s="151" t="s">
        <v>3727</v>
      </c>
    </row>
    <row r="38" spans="1:6">
      <c r="A38" s="151" t="s">
        <v>189</v>
      </c>
      <c r="B38" s="151" t="s">
        <v>3728</v>
      </c>
      <c r="C38" s="151" t="s">
        <v>3729</v>
      </c>
      <c r="D38" s="151" t="s">
        <v>3730</v>
      </c>
      <c r="E38" s="151" t="s">
        <v>3731</v>
      </c>
    </row>
    <row r="39" spans="1:6">
      <c r="A39" s="151" t="s">
        <v>189</v>
      </c>
      <c r="B39" s="151" t="s">
        <v>3732</v>
      </c>
      <c r="C39" s="151" t="s">
        <v>3733</v>
      </c>
      <c r="D39" s="151" t="s">
        <v>3734</v>
      </c>
      <c r="E39" s="151" t="s">
        <v>3735</v>
      </c>
    </row>
    <row r="40" spans="1:6">
      <c r="A40" s="151" t="s">
        <v>189</v>
      </c>
      <c r="B40" s="151" t="s">
        <v>3736</v>
      </c>
      <c r="C40" s="151" t="s">
        <v>3737</v>
      </c>
      <c r="D40" s="151" t="s">
        <v>3738</v>
      </c>
      <c r="E40" s="151" t="s">
        <v>3739</v>
      </c>
    </row>
    <row r="41" spans="1:6">
      <c r="A41" s="151" t="s">
        <v>189</v>
      </c>
      <c r="B41" s="151" t="s">
        <v>3740</v>
      </c>
      <c r="C41" s="151" t="s">
        <v>3741</v>
      </c>
      <c r="D41" s="151" t="s">
        <v>3742</v>
      </c>
      <c r="E41" s="151" t="s">
        <v>3743</v>
      </c>
    </row>
    <row r="42" spans="1:6">
      <c r="A42" s="151" t="s">
        <v>188</v>
      </c>
      <c r="B42" s="151" t="s">
        <v>3744</v>
      </c>
      <c r="C42" s="151" t="s">
        <v>3745</v>
      </c>
      <c r="D42" s="151" t="s">
        <v>3746</v>
      </c>
      <c r="E42" s="151" t="s">
        <v>3747</v>
      </c>
    </row>
    <row r="43" spans="1:6">
      <c r="A43" s="151" t="s">
        <v>188</v>
      </c>
      <c r="B43" s="151" t="s">
        <v>3744</v>
      </c>
      <c r="C43" s="151" t="s">
        <v>3748</v>
      </c>
      <c r="D43" s="151" t="s">
        <v>3749</v>
      </c>
      <c r="E43" s="151" t="s">
        <v>3750</v>
      </c>
    </row>
    <row r="44" spans="1:6">
      <c r="A44" s="151" t="s">
        <v>188</v>
      </c>
      <c r="B44" s="151" t="s">
        <v>3751</v>
      </c>
      <c r="C44" s="151" t="s">
        <v>3752</v>
      </c>
      <c r="D44" s="151" t="s">
        <v>3753</v>
      </c>
      <c r="E44" s="151" t="s">
        <v>3754</v>
      </c>
      <c r="F44" s="151" t="s">
        <v>3654</v>
      </c>
    </row>
    <row r="45" spans="1:6">
      <c r="A45" s="151" t="s">
        <v>188</v>
      </c>
      <c r="B45" s="151" t="s">
        <v>3751</v>
      </c>
      <c r="C45" s="151" t="s">
        <v>3755</v>
      </c>
      <c r="D45" s="151" t="s">
        <v>3756</v>
      </c>
      <c r="E45" s="151" t="s">
        <v>3757</v>
      </c>
    </row>
    <row r="46" spans="1:6">
      <c r="A46" s="151" t="s">
        <v>188</v>
      </c>
      <c r="B46" s="151" t="s">
        <v>3758</v>
      </c>
      <c r="C46" s="151" t="s">
        <v>3759</v>
      </c>
      <c r="D46" s="151" t="s">
        <v>3760</v>
      </c>
      <c r="E46" s="151" t="s">
        <v>3761</v>
      </c>
    </row>
    <row r="47" spans="1:6">
      <c r="A47" s="151" t="s">
        <v>188</v>
      </c>
      <c r="B47" s="151" t="s">
        <v>3758</v>
      </c>
      <c r="C47" s="151" t="s">
        <v>3762</v>
      </c>
      <c r="D47" s="151" t="s">
        <v>3763</v>
      </c>
      <c r="E47" s="151" t="s">
        <v>3764</v>
      </c>
    </row>
    <row r="48" spans="1:6">
      <c r="A48" s="151" t="s">
        <v>188</v>
      </c>
      <c r="B48" s="151" t="s">
        <v>3765</v>
      </c>
      <c r="C48" s="151" t="s">
        <v>3766</v>
      </c>
      <c r="D48" s="151" t="s">
        <v>3767</v>
      </c>
      <c r="E48" s="151" t="s">
        <v>3768</v>
      </c>
    </row>
    <row r="49" spans="1:6">
      <c r="A49" s="151" t="s">
        <v>188</v>
      </c>
      <c r="B49" s="151" t="s">
        <v>3769</v>
      </c>
      <c r="C49" s="151" t="s">
        <v>3770</v>
      </c>
      <c r="D49" s="151" t="s">
        <v>3771</v>
      </c>
      <c r="E49" s="151" t="s">
        <v>3772</v>
      </c>
      <c r="F49" s="151" t="s">
        <v>549</v>
      </c>
    </row>
    <row r="50" spans="1:6">
      <c r="A50" s="151" t="s">
        <v>188</v>
      </c>
      <c r="B50" s="151" t="s">
        <v>3773</v>
      </c>
      <c r="C50" s="151" t="s">
        <v>3774</v>
      </c>
      <c r="D50" s="151" t="s">
        <v>3775</v>
      </c>
      <c r="E50" s="151" t="s">
        <v>3776</v>
      </c>
      <c r="F50" s="151" t="s">
        <v>757</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28C65-EA01-4FF8-9229-087AE3FCF8A3}">
  <sheetPr>
    <pageSetUpPr fitToPage="1"/>
  </sheetPr>
  <dimension ref="A1:W53"/>
  <sheetViews>
    <sheetView rightToLeft="1" view="pageBreakPreview" topLeftCell="C1" workbookViewId="0">
      <selection activeCell="F2" sqref="F2:F14"/>
    </sheetView>
  </sheetViews>
  <sheetFormatPr defaultColWidth="12.625" defaultRowHeight="14.25"/>
  <cols>
    <col min="1" max="13" width="9" style="111" bestFit="1" customWidth="1"/>
    <col min="14" max="16384" width="12.625" style="111"/>
  </cols>
  <sheetData>
    <row r="1" spans="1:23" s="113" customFormat="1" ht="54">
      <c r="A1" s="112" t="s">
        <v>454</v>
      </c>
      <c r="B1" s="112" t="s">
        <v>455</v>
      </c>
      <c r="C1" s="112" t="s">
        <v>649</v>
      </c>
      <c r="D1" s="112" t="s">
        <v>650</v>
      </c>
      <c r="E1" s="112" t="s">
        <v>456</v>
      </c>
      <c r="F1" s="112" t="s">
        <v>457</v>
      </c>
      <c r="G1" s="112" t="s">
        <v>458</v>
      </c>
      <c r="H1" s="112" t="s">
        <v>459</v>
      </c>
      <c r="I1" s="112" t="s">
        <v>460</v>
      </c>
      <c r="J1" s="112" t="s">
        <v>461</v>
      </c>
      <c r="K1" s="112" t="s">
        <v>462</v>
      </c>
      <c r="L1" s="112" t="s">
        <v>463</v>
      </c>
      <c r="M1" s="112" t="s">
        <v>519</v>
      </c>
      <c r="N1" s="112" t="s">
        <v>525</v>
      </c>
      <c r="O1" s="112" t="s">
        <v>464</v>
      </c>
      <c r="P1" s="112" t="s">
        <v>526</v>
      </c>
      <c r="Q1" s="112" t="s">
        <v>527</v>
      </c>
      <c r="R1" s="112" t="s">
        <v>528</v>
      </c>
      <c r="S1" s="112" t="s">
        <v>529</v>
      </c>
      <c r="T1" s="112" t="s">
        <v>530</v>
      </c>
      <c r="U1" s="112" t="s">
        <v>531</v>
      </c>
      <c r="V1" s="112" t="s">
        <v>532</v>
      </c>
      <c r="W1" s="112" t="s">
        <v>533</v>
      </c>
    </row>
    <row r="2" spans="1:23" ht="15.75">
      <c r="A2" s="114">
        <v>1</v>
      </c>
      <c r="B2" s="114" t="s">
        <v>465</v>
      </c>
      <c r="C2" s="114"/>
      <c r="D2" s="114"/>
      <c r="E2" s="114" t="s">
        <v>466</v>
      </c>
      <c r="F2" s="114" t="s">
        <v>467</v>
      </c>
      <c r="G2" s="114" t="s">
        <v>468</v>
      </c>
      <c r="H2" s="114" t="s">
        <v>469</v>
      </c>
      <c r="I2" s="114" t="s">
        <v>425</v>
      </c>
      <c r="J2" s="114" t="s">
        <v>433</v>
      </c>
      <c r="K2" s="114" t="s">
        <v>470</v>
      </c>
      <c r="L2" s="114" t="s">
        <v>471</v>
      </c>
      <c r="M2" s="114" t="s">
        <v>651</v>
      </c>
      <c r="N2" s="114" t="s">
        <v>534</v>
      </c>
      <c r="O2" s="114" t="s">
        <v>535</v>
      </c>
      <c r="P2" s="114" t="s">
        <v>536</v>
      </c>
      <c r="Q2" s="114" t="s">
        <v>537</v>
      </c>
      <c r="R2" s="114" t="s">
        <v>538</v>
      </c>
      <c r="S2" s="114" t="s">
        <v>539</v>
      </c>
      <c r="T2" s="114" t="s">
        <v>540</v>
      </c>
      <c r="U2" s="114" t="s">
        <v>541</v>
      </c>
      <c r="V2" s="114" t="s">
        <v>542</v>
      </c>
      <c r="W2" s="114" t="s">
        <v>558</v>
      </c>
    </row>
    <row r="3" spans="1:23" ht="15">
      <c r="A3" s="115">
        <v>1.1000000000000001</v>
      </c>
      <c r="B3" s="115" t="s">
        <v>574</v>
      </c>
      <c r="C3" s="115"/>
      <c r="D3" s="115"/>
      <c r="E3" s="115" t="s">
        <v>652</v>
      </c>
      <c r="F3" s="115" t="s">
        <v>653</v>
      </c>
      <c r="G3" s="115" t="s">
        <v>654</v>
      </c>
      <c r="H3" s="115" t="s">
        <v>655</v>
      </c>
      <c r="I3" s="115" t="s">
        <v>425</v>
      </c>
      <c r="J3" s="115" t="s">
        <v>433</v>
      </c>
      <c r="K3" s="115" t="s">
        <v>470</v>
      </c>
      <c r="L3" s="115" t="s">
        <v>471</v>
      </c>
      <c r="M3" s="115" t="s">
        <v>656</v>
      </c>
      <c r="N3" s="115" t="s">
        <v>657</v>
      </c>
      <c r="O3" s="115" t="s">
        <v>658</v>
      </c>
      <c r="P3" s="115" t="s">
        <v>659</v>
      </c>
      <c r="Q3" s="115" t="s">
        <v>545</v>
      </c>
      <c r="R3" s="115" t="s">
        <v>660</v>
      </c>
      <c r="S3" s="115" t="s">
        <v>661</v>
      </c>
      <c r="T3" s="115" t="s">
        <v>662</v>
      </c>
      <c r="U3" s="115" t="s">
        <v>663</v>
      </c>
      <c r="V3" s="115" t="s">
        <v>664</v>
      </c>
      <c r="W3" s="115" t="s">
        <v>665</v>
      </c>
    </row>
    <row r="4" spans="1:23">
      <c r="A4" s="111" t="s">
        <v>575</v>
      </c>
      <c r="B4" s="111" t="s">
        <v>576</v>
      </c>
      <c r="E4" s="111" t="s">
        <v>666</v>
      </c>
      <c r="F4" s="111" t="s">
        <v>667</v>
      </c>
      <c r="G4" s="111" t="s">
        <v>668</v>
      </c>
      <c r="H4" s="111" t="s">
        <v>669</v>
      </c>
      <c r="I4" s="111" t="s">
        <v>425</v>
      </c>
      <c r="J4" s="111" t="s">
        <v>433</v>
      </c>
      <c r="K4" s="111" t="s">
        <v>470</v>
      </c>
      <c r="L4" s="111" t="s">
        <v>471</v>
      </c>
      <c r="M4" s="111" t="s">
        <v>670</v>
      </c>
      <c r="N4" s="111" t="s">
        <v>671</v>
      </c>
      <c r="O4" s="111" t="s">
        <v>672</v>
      </c>
      <c r="P4" s="111" t="s">
        <v>673</v>
      </c>
      <c r="Q4" s="111" t="s">
        <v>674</v>
      </c>
      <c r="R4" s="111" t="s">
        <v>660</v>
      </c>
      <c r="S4" s="111" t="s">
        <v>675</v>
      </c>
      <c r="T4" s="111" t="s">
        <v>662</v>
      </c>
      <c r="U4" s="111" t="s">
        <v>676</v>
      </c>
      <c r="V4" s="111" t="s">
        <v>677</v>
      </c>
      <c r="W4" s="111" t="s">
        <v>678</v>
      </c>
    </row>
    <row r="5" spans="1:23">
      <c r="A5" s="111" t="s">
        <v>577</v>
      </c>
      <c r="B5" s="111" t="s">
        <v>557</v>
      </c>
      <c r="E5" s="111" t="s">
        <v>679</v>
      </c>
      <c r="F5" s="111" t="s">
        <v>680</v>
      </c>
      <c r="G5" s="111" t="s">
        <v>681</v>
      </c>
      <c r="H5" s="111" t="s">
        <v>682</v>
      </c>
      <c r="I5" s="111" t="s">
        <v>425</v>
      </c>
      <c r="J5" s="111" t="s">
        <v>433</v>
      </c>
      <c r="K5" s="111" t="s">
        <v>470</v>
      </c>
      <c r="L5" s="111" t="s">
        <v>471</v>
      </c>
      <c r="M5" s="111" t="s">
        <v>683</v>
      </c>
      <c r="N5" s="111" t="s">
        <v>684</v>
      </c>
      <c r="O5" s="111" t="s">
        <v>685</v>
      </c>
      <c r="P5" s="111" t="s">
        <v>686</v>
      </c>
      <c r="Q5" s="111" t="s">
        <v>674</v>
      </c>
      <c r="R5" s="111" t="s">
        <v>549</v>
      </c>
      <c r="S5" s="111" t="s">
        <v>687</v>
      </c>
      <c r="T5" s="111" t="s">
        <v>662</v>
      </c>
      <c r="U5" s="111" t="s">
        <v>688</v>
      </c>
      <c r="V5" s="111" t="s">
        <v>689</v>
      </c>
      <c r="W5" s="111" t="s">
        <v>690</v>
      </c>
    </row>
    <row r="6" spans="1:23" ht="15">
      <c r="A6" s="115">
        <v>1.2</v>
      </c>
      <c r="B6" s="115" t="s">
        <v>578</v>
      </c>
      <c r="C6" s="115"/>
      <c r="D6" s="115"/>
      <c r="E6" s="115" t="s">
        <v>691</v>
      </c>
      <c r="F6" s="115" t="s">
        <v>692</v>
      </c>
      <c r="G6" s="115" t="s">
        <v>693</v>
      </c>
      <c r="H6" s="115" t="s">
        <v>694</v>
      </c>
      <c r="I6" s="115" t="s">
        <v>425</v>
      </c>
      <c r="J6" s="115" t="s">
        <v>433</v>
      </c>
      <c r="K6" s="115" t="s">
        <v>470</v>
      </c>
      <c r="L6" s="115" t="s">
        <v>471</v>
      </c>
      <c r="M6" s="115" t="s">
        <v>695</v>
      </c>
      <c r="N6" s="115" t="s">
        <v>696</v>
      </c>
      <c r="O6" s="115" t="s">
        <v>697</v>
      </c>
      <c r="P6" s="115" t="s">
        <v>698</v>
      </c>
      <c r="Q6" s="115" t="s">
        <v>545</v>
      </c>
      <c r="R6" s="115" t="s">
        <v>549</v>
      </c>
      <c r="S6" s="115" t="s">
        <v>699</v>
      </c>
      <c r="T6" s="115" t="s">
        <v>700</v>
      </c>
      <c r="U6" s="115" t="s">
        <v>701</v>
      </c>
      <c r="V6" s="115" t="s">
        <v>702</v>
      </c>
      <c r="W6" s="115" t="s">
        <v>703</v>
      </c>
    </row>
    <row r="7" spans="1:23">
      <c r="A7" s="111" t="s">
        <v>580</v>
      </c>
      <c r="B7" s="111" t="s">
        <v>581</v>
      </c>
      <c r="E7" s="111" t="s">
        <v>704</v>
      </c>
      <c r="F7" s="111" t="s">
        <v>705</v>
      </c>
      <c r="G7" s="111" t="s">
        <v>706</v>
      </c>
      <c r="H7" s="111" t="s">
        <v>707</v>
      </c>
      <c r="I7" s="111" t="s">
        <v>425</v>
      </c>
      <c r="J7" s="111" t="s">
        <v>433</v>
      </c>
      <c r="K7" s="111" t="s">
        <v>470</v>
      </c>
      <c r="L7" s="111" t="s">
        <v>471</v>
      </c>
      <c r="M7" s="111" t="s">
        <v>708</v>
      </c>
      <c r="N7" s="111" t="s">
        <v>709</v>
      </c>
      <c r="O7" s="111" t="s">
        <v>710</v>
      </c>
      <c r="P7" s="111" t="s">
        <v>711</v>
      </c>
      <c r="Q7" s="111" t="s">
        <v>712</v>
      </c>
      <c r="R7" s="111" t="s">
        <v>713</v>
      </c>
      <c r="S7" s="111" t="s">
        <v>714</v>
      </c>
      <c r="T7" s="111" t="s">
        <v>662</v>
      </c>
      <c r="U7" s="111" t="s">
        <v>715</v>
      </c>
      <c r="V7" s="111" t="s">
        <v>716</v>
      </c>
      <c r="W7" s="111" t="s">
        <v>717</v>
      </c>
    </row>
    <row r="8" spans="1:23">
      <c r="A8" s="111" t="s">
        <v>582</v>
      </c>
      <c r="B8" s="111" t="s">
        <v>583</v>
      </c>
      <c r="E8" s="111" t="s">
        <v>718</v>
      </c>
      <c r="F8" s="111" t="s">
        <v>719</v>
      </c>
      <c r="G8" s="111" t="s">
        <v>720</v>
      </c>
      <c r="H8" s="111" t="s">
        <v>721</v>
      </c>
      <c r="I8" s="111" t="s">
        <v>425</v>
      </c>
      <c r="J8" s="111" t="s">
        <v>433</v>
      </c>
      <c r="K8" s="111" t="s">
        <v>470</v>
      </c>
      <c r="L8" s="111" t="s">
        <v>471</v>
      </c>
      <c r="M8" s="111" t="s">
        <v>722</v>
      </c>
      <c r="N8" s="111" t="s">
        <v>723</v>
      </c>
      <c r="O8" s="111" t="s">
        <v>724</v>
      </c>
      <c r="P8" s="111" t="s">
        <v>725</v>
      </c>
      <c r="Q8" s="111" t="s">
        <v>712</v>
      </c>
      <c r="R8" s="111" t="s">
        <v>713</v>
      </c>
      <c r="S8" s="111" t="s">
        <v>726</v>
      </c>
      <c r="T8" s="111" t="s">
        <v>700</v>
      </c>
      <c r="U8" s="111" t="s">
        <v>727</v>
      </c>
      <c r="V8" s="111" t="s">
        <v>728</v>
      </c>
      <c r="W8" s="111" t="s">
        <v>729</v>
      </c>
    </row>
    <row r="9" spans="1:23" ht="15.75">
      <c r="A9" s="114">
        <v>2</v>
      </c>
      <c r="B9" s="114" t="s">
        <v>472</v>
      </c>
      <c r="C9" s="114"/>
      <c r="D9" s="114"/>
      <c r="E9" s="114" t="s">
        <v>473</v>
      </c>
      <c r="F9" s="114" t="s">
        <v>474</v>
      </c>
      <c r="G9" s="114" t="s">
        <v>475</v>
      </c>
      <c r="H9" s="114" t="s">
        <v>476</v>
      </c>
      <c r="I9" s="114" t="s">
        <v>521</v>
      </c>
      <c r="J9" s="114" t="s">
        <v>521</v>
      </c>
      <c r="K9" s="114" t="s">
        <v>477</v>
      </c>
      <c r="L9" s="114" t="s">
        <v>522</v>
      </c>
      <c r="M9" s="114" t="s">
        <v>730</v>
      </c>
      <c r="N9" s="114" t="s">
        <v>543</v>
      </c>
      <c r="O9" s="114" t="s">
        <v>731</v>
      </c>
      <c r="P9" s="114" t="s">
        <v>732</v>
      </c>
      <c r="Q9" s="114" t="s">
        <v>537</v>
      </c>
      <c r="R9" s="114" t="s">
        <v>549</v>
      </c>
      <c r="S9" s="114" t="s">
        <v>733</v>
      </c>
      <c r="T9" s="114" t="s">
        <v>734</v>
      </c>
      <c r="U9" s="114" t="s">
        <v>727</v>
      </c>
      <c r="V9" s="114" t="s">
        <v>735</v>
      </c>
      <c r="W9" s="114" t="s">
        <v>559</v>
      </c>
    </row>
    <row r="10" spans="1:23" ht="15">
      <c r="A10" s="115">
        <v>2.1</v>
      </c>
      <c r="B10" s="115" t="s">
        <v>584</v>
      </c>
      <c r="C10" s="115"/>
      <c r="D10" s="115"/>
      <c r="E10" s="115" t="s">
        <v>736</v>
      </c>
      <c r="F10" s="115" t="s">
        <v>737</v>
      </c>
      <c r="G10" s="115" t="s">
        <v>738</v>
      </c>
      <c r="H10" s="115" t="s">
        <v>739</v>
      </c>
      <c r="I10" s="115" t="s">
        <v>521</v>
      </c>
      <c r="J10" s="115" t="s">
        <v>521</v>
      </c>
      <c r="K10" s="115" t="s">
        <v>477</v>
      </c>
      <c r="L10" s="115" t="s">
        <v>522</v>
      </c>
      <c r="M10" s="115" t="s">
        <v>740</v>
      </c>
      <c r="N10" s="115" t="s">
        <v>741</v>
      </c>
      <c r="O10" s="115" t="s">
        <v>742</v>
      </c>
      <c r="P10" s="115" t="s">
        <v>743</v>
      </c>
      <c r="Q10" s="115" t="s">
        <v>537</v>
      </c>
      <c r="R10" s="115" t="s">
        <v>744</v>
      </c>
      <c r="S10" s="115" t="s">
        <v>745</v>
      </c>
      <c r="T10" s="115" t="s">
        <v>700</v>
      </c>
      <c r="U10" s="115" t="s">
        <v>746</v>
      </c>
      <c r="V10" s="115" t="s">
        <v>747</v>
      </c>
      <c r="W10" s="115" t="s">
        <v>748</v>
      </c>
    </row>
    <row r="11" spans="1:23">
      <c r="A11" s="111" t="s">
        <v>585</v>
      </c>
      <c r="B11" s="111" t="s">
        <v>586</v>
      </c>
      <c r="E11" s="111" t="s">
        <v>749</v>
      </c>
      <c r="F11" s="111" t="s">
        <v>750</v>
      </c>
      <c r="G11" s="111" t="s">
        <v>751</v>
      </c>
      <c r="H11" s="111" t="s">
        <v>752</v>
      </c>
      <c r="I11" s="111" t="s">
        <v>521</v>
      </c>
      <c r="J11" s="111" t="s">
        <v>521</v>
      </c>
      <c r="K11" s="111" t="s">
        <v>477</v>
      </c>
      <c r="L11" s="111" t="s">
        <v>522</v>
      </c>
      <c r="M11" s="111" t="s">
        <v>753</v>
      </c>
      <c r="N11" s="111" t="s">
        <v>754</v>
      </c>
      <c r="O11" s="111" t="s">
        <v>755</v>
      </c>
      <c r="P11" s="111" t="s">
        <v>756</v>
      </c>
      <c r="Q11" s="111" t="s">
        <v>545</v>
      </c>
      <c r="R11" s="111" t="s">
        <v>757</v>
      </c>
      <c r="S11" s="111" t="s">
        <v>758</v>
      </c>
      <c r="T11" s="111" t="s">
        <v>662</v>
      </c>
      <c r="U11" s="111" t="s">
        <v>759</v>
      </c>
      <c r="V11" s="111" t="s">
        <v>760</v>
      </c>
      <c r="W11" s="111" t="s">
        <v>761</v>
      </c>
    </row>
    <row r="12" spans="1:23">
      <c r="A12" s="111" t="s">
        <v>587</v>
      </c>
      <c r="B12" s="111" t="s">
        <v>588</v>
      </c>
      <c r="E12" s="111" t="s">
        <v>762</v>
      </c>
      <c r="F12" s="111" t="s">
        <v>763</v>
      </c>
      <c r="G12" s="111" t="s">
        <v>681</v>
      </c>
      <c r="H12" s="111" t="s">
        <v>764</v>
      </c>
      <c r="I12" s="111" t="s">
        <v>521</v>
      </c>
      <c r="J12" s="111" t="s">
        <v>521</v>
      </c>
      <c r="K12" s="111" t="s">
        <v>477</v>
      </c>
      <c r="L12" s="111" t="s">
        <v>522</v>
      </c>
      <c r="M12" s="111" t="s">
        <v>765</v>
      </c>
      <c r="N12" s="111" t="s">
        <v>766</v>
      </c>
      <c r="O12" s="111" t="s">
        <v>767</v>
      </c>
      <c r="P12" s="111" t="s">
        <v>768</v>
      </c>
      <c r="Q12" s="111" t="s">
        <v>545</v>
      </c>
      <c r="R12" s="111" t="s">
        <v>549</v>
      </c>
      <c r="S12" s="111" t="s">
        <v>769</v>
      </c>
      <c r="T12" s="111" t="s">
        <v>662</v>
      </c>
      <c r="U12" s="111" t="s">
        <v>770</v>
      </c>
      <c r="V12" s="111" t="s">
        <v>771</v>
      </c>
      <c r="W12" s="111" t="s">
        <v>772</v>
      </c>
    </row>
    <row r="13" spans="1:23" ht="15">
      <c r="A13" s="115">
        <v>2.2000000000000002</v>
      </c>
      <c r="B13" s="115" t="s">
        <v>589</v>
      </c>
      <c r="C13" s="115"/>
      <c r="D13" s="115"/>
      <c r="E13" s="115" t="s">
        <v>773</v>
      </c>
      <c r="F13" s="115" t="s">
        <v>692</v>
      </c>
      <c r="G13" s="115" t="s">
        <v>774</v>
      </c>
      <c r="H13" s="115" t="s">
        <v>693</v>
      </c>
      <c r="I13" s="115" t="s">
        <v>521</v>
      </c>
      <c r="J13" s="115" t="s">
        <v>521</v>
      </c>
      <c r="K13" s="115" t="s">
        <v>477</v>
      </c>
      <c r="L13" s="115" t="s">
        <v>522</v>
      </c>
      <c r="M13" s="115" t="s">
        <v>775</v>
      </c>
      <c r="N13" s="115" t="s">
        <v>776</v>
      </c>
      <c r="O13" s="115" t="s">
        <v>777</v>
      </c>
      <c r="P13" s="115" t="s">
        <v>778</v>
      </c>
      <c r="Q13" s="115" t="s">
        <v>712</v>
      </c>
      <c r="R13" s="115" t="s">
        <v>549</v>
      </c>
      <c r="S13" s="115" t="s">
        <v>779</v>
      </c>
      <c r="T13" s="115" t="s">
        <v>700</v>
      </c>
      <c r="U13" s="115" t="s">
        <v>780</v>
      </c>
      <c r="V13" s="115" t="s">
        <v>702</v>
      </c>
      <c r="W13" s="115" t="s">
        <v>781</v>
      </c>
    </row>
    <row r="14" spans="1:23">
      <c r="A14" s="111" t="s">
        <v>590</v>
      </c>
      <c r="B14" s="111" t="s">
        <v>591</v>
      </c>
      <c r="E14" s="111" t="s">
        <v>782</v>
      </c>
      <c r="F14" s="111" t="s">
        <v>783</v>
      </c>
      <c r="G14" s="111" t="s">
        <v>706</v>
      </c>
      <c r="H14" s="111" t="s">
        <v>784</v>
      </c>
      <c r="I14" s="111" t="s">
        <v>521</v>
      </c>
      <c r="J14" s="111" t="s">
        <v>521</v>
      </c>
      <c r="K14" s="111" t="s">
        <v>477</v>
      </c>
      <c r="L14" s="111" t="s">
        <v>522</v>
      </c>
      <c r="M14" s="111" t="s">
        <v>785</v>
      </c>
      <c r="N14" s="111" t="s">
        <v>786</v>
      </c>
      <c r="O14" s="111" t="s">
        <v>710</v>
      </c>
      <c r="P14" s="111" t="s">
        <v>787</v>
      </c>
      <c r="Q14" s="111" t="s">
        <v>712</v>
      </c>
      <c r="R14" s="111" t="s">
        <v>713</v>
      </c>
      <c r="S14" s="111" t="s">
        <v>714</v>
      </c>
      <c r="T14" s="111" t="s">
        <v>662</v>
      </c>
      <c r="U14" s="111" t="s">
        <v>715</v>
      </c>
      <c r="V14" s="111" t="s">
        <v>788</v>
      </c>
      <c r="W14" s="111" t="s">
        <v>717</v>
      </c>
    </row>
    <row r="15" spans="1:23">
      <c r="A15" s="111" t="s">
        <v>593</v>
      </c>
      <c r="B15" s="111" t="s">
        <v>594</v>
      </c>
      <c r="E15" s="111" t="s">
        <v>789</v>
      </c>
      <c r="F15" s="111" t="s">
        <v>790</v>
      </c>
      <c r="G15" s="111" t="s">
        <v>594</v>
      </c>
      <c r="H15" s="111" t="s">
        <v>791</v>
      </c>
      <c r="I15" s="111" t="s">
        <v>521</v>
      </c>
      <c r="J15" s="111" t="s">
        <v>521</v>
      </c>
      <c r="K15" s="111" t="s">
        <v>477</v>
      </c>
      <c r="L15" s="111" t="s">
        <v>522</v>
      </c>
      <c r="M15" s="111" t="s">
        <v>792</v>
      </c>
      <c r="N15" s="111" t="s">
        <v>793</v>
      </c>
      <c r="O15" s="111" t="s">
        <v>794</v>
      </c>
      <c r="P15" s="111" t="s">
        <v>743</v>
      </c>
      <c r="Q15" s="111" t="s">
        <v>545</v>
      </c>
      <c r="R15" s="111" t="s">
        <v>757</v>
      </c>
      <c r="S15" s="111" t="s">
        <v>795</v>
      </c>
      <c r="T15" s="111" t="s">
        <v>662</v>
      </c>
      <c r="U15" s="111" t="s">
        <v>796</v>
      </c>
      <c r="V15" s="111" t="s">
        <v>797</v>
      </c>
      <c r="W15" s="111" t="s">
        <v>798</v>
      </c>
    </row>
    <row r="16" spans="1:23" ht="15.75">
      <c r="A16" s="114">
        <v>3</v>
      </c>
      <c r="B16" s="114" t="s">
        <v>478</v>
      </c>
      <c r="C16" s="114"/>
      <c r="D16" s="114"/>
      <c r="E16" s="114" t="s">
        <v>479</v>
      </c>
      <c r="F16" s="114" t="s">
        <v>520</v>
      </c>
      <c r="G16" s="114" t="s">
        <v>480</v>
      </c>
      <c r="H16" s="114" t="s">
        <v>481</v>
      </c>
      <c r="I16" s="114" t="s">
        <v>482</v>
      </c>
      <c r="J16" s="114" t="s">
        <v>483</v>
      </c>
      <c r="K16" s="114" t="s">
        <v>484</v>
      </c>
      <c r="L16" s="114" t="s">
        <v>485</v>
      </c>
      <c r="M16" s="114" t="s">
        <v>799</v>
      </c>
      <c r="N16" s="114" t="s">
        <v>544</v>
      </c>
      <c r="O16" s="114" t="s">
        <v>800</v>
      </c>
      <c r="P16" s="114" t="s">
        <v>801</v>
      </c>
      <c r="Q16" s="114" t="s">
        <v>545</v>
      </c>
      <c r="R16" s="114" t="s">
        <v>802</v>
      </c>
      <c r="S16" s="114" t="s">
        <v>803</v>
      </c>
      <c r="T16" s="114" t="s">
        <v>662</v>
      </c>
      <c r="U16" s="114" t="s">
        <v>804</v>
      </c>
      <c r="V16" s="114" t="s">
        <v>805</v>
      </c>
      <c r="W16" s="114" t="s">
        <v>806</v>
      </c>
    </row>
    <row r="17" spans="1:23" ht="15">
      <c r="A17" s="115">
        <v>3.1</v>
      </c>
      <c r="B17" s="115" t="s">
        <v>596</v>
      </c>
      <c r="C17" s="115"/>
      <c r="D17" s="115"/>
      <c r="E17" s="115" t="s">
        <v>807</v>
      </c>
      <c r="F17" s="115" t="s">
        <v>445</v>
      </c>
      <c r="G17" s="115" t="s">
        <v>808</v>
      </c>
      <c r="H17" s="115" t="s">
        <v>809</v>
      </c>
      <c r="I17" s="115" t="s">
        <v>482</v>
      </c>
      <c r="J17" s="115" t="s">
        <v>483</v>
      </c>
      <c r="K17" s="115" t="s">
        <v>484</v>
      </c>
      <c r="L17" s="115" t="s">
        <v>485</v>
      </c>
      <c r="M17" s="115" t="s">
        <v>810</v>
      </c>
      <c r="N17" s="115" t="s">
        <v>811</v>
      </c>
      <c r="O17" s="115" t="s">
        <v>812</v>
      </c>
      <c r="P17" s="115" t="s">
        <v>813</v>
      </c>
      <c r="Q17" s="115" t="s">
        <v>545</v>
      </c>
      <c r="R17" s="115" t="s">
        <v>561</v>
      </c>
      <c r="S17" s="115" t="s">
        <v>803</v>
      </c>
      <c r="T17" s="115" t="s">
        <v>662</v>
      </c>
      <c r="U17" s="115" t="s">
        <v>814</v>
      </c>
      <c r="V17" s="115" t="s">
        <v>815</v>
      </c>
      <c r="W17" s="115" t="s">
        <v>816</v>
      </c>
    </row>
    <row r="18" spans="1:23">
      <c r="A18" s="111" t="s">
        <v>597</v>
      </c>
      <c r="B18" s="111" t="s">
        <v>598</v>
      </c>
      <c r="E18" s="111" t="s">
        <v>817</v>
      </c>
      <c r="F18" s="111" t="s">
        <v>818</v>
      </c>
      <c r="G18" s="111" t="s">
        <v>819</v>
      </c>
      <c r="H18" s="111" t="s">
        <v>820</v>
      </c>
      <c r="I18" s="111" t="s">
        <v>482</v>
      </c>
      <c r="J18" s="111" t="s">
        <v>483</v>
      </c>
      <c r="K18" s="111" t="s">
        <v>484</v>
      </c>
      <c r="L18" s="111" t="s">
        <v>485</v>
      </c>
      <c r="M18" s="111" t="s">
        <v>821</v>
      </c>
      <c r="N18" s="111" t="s">
        <v>822</v>
      </c>
      <c r="O18" s="111" t="s">
        <v>823</v>
      </c>
      <c r="P18" s="111" t="s">
        <v>824</v>
      </c>
      <c r="Q18" s="111" t="s">
        <v>674</v>
      </c>
      <c r="R18" s="111" t="s">
        <v>561</v>
      </c>
      <c r="S18" s="111" t="s">
        <v>825</v>
      </c>
      <c r="T18" s="111" t="s">
        <v>662</v>
      </c>
      <c r="U18" s="111" t="s">
        <v>804</v>
      </c>
      <c r="V18" s="111" t="s">
        <v>826</v>
      </c>
      <c r="W18" s="111" t="s">
        <v>2043</v>
      </c>
    </row>
    <row r="19" spans="1:23">
      <c r="A19" s="111" t="s">
        <v>599</v>
      </c>
      <c r="B19" s="111" t="s">
        <v>600</v>
      </c>
      <c r="E19" s="111" t="s">
        <v>827</v>
      </c>
      <c r="F19" s="111" t="s">
        <v>828</v>
      </c>
      <c r="G19" s="111" t="s">
        <v>829</v>
      </c>
      <c r="H19" s="111" t="s">
        <v>830</v>
      </c>
      <c r="I19" s="111" t="s">
        <v>482</v>
      </c>
      <c r="J19" s="111" t="s">
        <v>483</v>
      </c>
      <c r="K19" s="111" t="s">
        <v>484</v>
      </c>
      <c r="L19" s="111" t="s">
        <v>485</v>
      </c>
      <c r="M19" s="111" t="s">
        <v>831</v>
      </c>
      <c r="N19" s="111" t="s">
        <v>832</v>
      </c>
      <c r="O19" s="111" t="s">
        <v>833</v>
      </c>
      <c r="P19" s="111" t="s">
        <v>834</v>
      </c>
      <c r="Q19" s="111" t="s">
        <v>545</v>
      </c>
      <c r="R19" s="111" t="s">
        <v>561</v>
      </c>
      <c r="S19" s="111" t="s">
        <v>835</v>
      </c>
      <c r="T19" s="111" t="s">
        <v>662</v>
      </c>
      <c r="U19" s="111" t="s">
        <v>836</v>
      </c>
      <c r="V19" s="111" t="s">
        <v>837</v>
      </c>
      <c r="W19" s="111" t="s">
        <v>838</v>
      </c>
    </row>
    <row r="20" spans="1:23" ht="15">
      <c r="A20" s="115">
        <v>3.2</v>
      </c>
      <c r="B20" s="115" t="s">
        <v>602</v>
      </c>
      <c r="C20" s="115"/>
      <c r="D20" s="115"/>
      <c r="E20" s="115" t="s">
        <v>693</v>
      </c>
      <c r="F20" s="115" t="s">
        <v>692</v>
      </c>
      <c r="G20" s="115" t="s">
        <v>774</v>
      </c>
      <c r="H20" s="115" t="s">
        <v>839</v>
      </c>
      <c r="I20" s="115" t="s">
        <v>482</v>
      </c>
      <c r="J20" s="115" t="s">
        <v>483</v>
      </c>
      <c r="K20" s="115" t="s">
        <v>484</v>
      </c>
      <c r="L20" s="115" t="s">
        <v>485</v>
      </c>
      <c r="M20" s="115" t="s">
        <v>840</v>
      </c>
      <c r="N20" s="115" t="s">
        <v>841</v>
      </c>
      <c r="O20" s="115" t="s">
        <v>842</v>
      </c>
      <c r="P20" s="115" t="s">
        <v>843</v>
      </c>
      <c r="Q20" s="115" t="s">
        <v>712</v>
      </c>
      <c r="R20" s="115" t="s">
        <v>549</v>
      </c>
      <c r="S20" s="115" t="s">
        <v>844</v>
      </c>
      <c r="T20" s="115" t="s">
        <v>700</v>
      </c>
      <c r="U20" s="115" t="s">
        <v>701</v>
      </c>
      <c r="V20" s="115" t="s">
        <v>845</v>
      </c>
      <c r="W20" s="115" t="s">
        <v>846</v>
      </c>
    </row>
    <row r="21" spans="1:23">
      <c r="A21" s="111" t="s">
        <v>603</v>
      </c>
      <c r="B21" s="111" t="s">
        <v>594</v>
      </c>
      <c r="E21" s="111" t="s">
        <v>847</v>
      </c>
      <c r="F21" s="111" t="s">
        <v>848</v>
      </c>
      <c r="G21" s="111" t="s">
        <v>507</v>
      </c>
      <c r="H21" s="111" t="s">
        <v>849</v>
      </c>
      <c r="I21" s="111" t="s">
        <v>482</v>
      </c>
      <c r="J21" s="111" t="s">
        <v>483</v>
      </c>
      <c r="K21" s="111" t="s">
        <v>484</v>
      </c>
      <c r="L21" s="111" t="s">
        <v>485</v>
      </c>
      <c r="M21" s="111" t="s">
        <v>850</v>
      </c>
      <c r="N21" s="111" t="s">
        <v>851</v>
      </c>
      <c r="O21" s="111" t="s">
        <v>852</v>
      </c>
      <c r="P21" s="111" t="s">
        <v>853</v>
      </c>
      <c r="Q21" s="111" t="s">
        <v>712</v>
      </c>
      <c r="R21" s="111" t="s">
        <v>802</v>
      </c>
      <c r="S21" s="111" t="s">
        <v>854</v>
      </c>
      <c r="T21" s="111" t="s">
        <v>662</v>
      </c>
      <c r="U21" s="111" t="s">
        <v>855</v>
      </c>
      <c r="V21" s="111" t="s">
        <v>856</v>
      </c>
      <c r="W21" s="111" t="s">
        <v>857</v>
      </c>
    </row>
    <row r="22" spans="1:23">
      <c r="A22" s="111" t="s">
        <v>604</v>
      </c>
      <c r="B22" s="111" t="s">
        <v>605</v>
      </c>
      <c r="E22" s="111" t="s">
        <v>858</v>
      </c>
      <c r="F22" s="111" t="s">
        <v>859</v>
      </c>
      <c r="G22" s="111" t="s">
        <v>860</v>
      </c>
      <c r="H22" s="111" t="s">
        <v>861</v>
      </c>
      <c r="I22" s="111" t="s">
        <v>482</v>
      </c>
      <c r="J22" s="111" t="s">
        <v>483</v>
      </c>
      <c r="K22" s="111" t="s">
        <v>484</v>
      </c>
      <c r="L22" s="111" t="s">
        <v>485</v>
      </c>
      <c r="M22" s="111" t="s">
        <v>862</v>
      </c>
      <c r="N22" s="111" t="s">
        <v>863</v>
      </c>
      <c r="O22" s="111" t="s">
        <v>864</v>
      </c>
      <c r="P22" s="111" t="s">
        <v>865</v>
      </c>
      <c r="Q22" s="111" t="s">
        <v>712</v>
      </c>
      <c r="R22" s="111" t="s">
        <v>866</v>
      </c>
      <c r="S22" s="111" t="s">
        <v>867</v>
      </c>
      <c r="T22" s="111" t="s">
        <v>700</v>
      </c>
      <c r="U22" s="111" t="s">
        <v>868</v>
      </c>
      <c r="V22" s="111" t="s">
        <v>869</v>
      </c>
      <c r="W22" s="111" t="s">
        <v>870</v>
      </c>
    </row>
    <row r="23" spans="1:23" ht="15.75">
      <c r="A23" s="114">
        <v>4</v>
      </c>
      <c r="B23" s="114" t="s">
        <v>486</v>
      </c>
      <c r="C23" s="114"/>
      <c r="D23" s="114"/>
      <c r="E23" s="114" t="s">
        <v>487</v>
      </c>
      <c r="F23" s="114" t="s">
        <v>488</v>
      </c>
      <c r="G23" s="114" t="s">
        <v>489</v>
      </c>
      <c r="H23" s="114" t="s">
        <v>490</v>
      </c>
      <c r="I23" s="114" t="s">
        <v>412</v>
      </c>
      <c r="J23" s="114" t="s">
        <v>416</v>
      </c>
      <c r="K23" s="114" t="s">
        <v>432</v>
      </c>
      <c r="L23" s="114" t="s">
        <v>491</v>
      </c>
      <c r="M23" s="114" t="s">
        <v>871</v>
      </c>
      <c r="N23" s="114" t="s">
        <v>872</v>
      </c>
      <c r="O23" s="114" t="s">
        <v>873</v>
      </c>
      <c r="P23" s="114" t="s">
        <v>874</v>
      </c>
      <c r="Q23" s="114" t="s">
        <v>537</v>
      </c>
      <c r="R23" s="114" t="s">
        <v>572</v>
      </c>
      <c r="S23" s="114" t="s">
        <v>803</v>
      </c>
      <c r="T23" s="114" t="s">
        <v>662</v>
      </c>
      <c r="U23" s="114" t="s">
        <v>875</v>
      </c>
      <c r="V23" s="114" t="s">
        <v>735</v>
      </c>
      <c r="W23" s="114" t="s">
        <v>876</v>
      </c>
    </row>
    <row r="24" spans="1:23" ht="15">
      <c r="A24" s="115">
        <v>4.0999999999999996</v>
      </c>
      <c r="B24" s="115" t="s">
        <v>606</v>
      </c>
      <c r="C24" s="115"/>
      <c r="D24" s="115"/>
      <c r="E24" s="115" t="s">
        <v>877</v>
      </c>
      <c r="F24" s="115" t="s">
        <v>878</v>
      </c>
      <c r="G24" s="115" t="s">
        <v>879</v>
      </c>
      <c r="H24" s="115" t="s">
        <v>880</v>
      </c>
      <c r="I24" s="115" t="s">
        <v>412</v>
      </c>
      <c r="J24" s="115" t="s">
        <v>416</v>
      </c>
      <c r="K24" s="115" t="s">
        <v>432</v>
      </c>
      <c r="L24" s="115" t="s">
        <v>491</v>
      </c>
      <c r="M24" s="115" t="s">
        <v>881</v>
      </c>
      <c r="N24" s="115" t="s">
        <v>882</v>
      </c>
      <c r="O24" s="115" t="s">
        <v>883</v>
      </c>
      <c r="P24" s="115" t="s">
        <v>884</v>
      </c>
      <c r="Q24" s="115" t="s">
        <v>537</v>
      </c>
      <c r="R24" s="115" t="s">
        <v>563</v>
      </c>
      <c r="S24" s="115" t="s">
        <v>885</v>
      </c>
      <c r="T24" s="115" t="s">
        <v>662</v>
      </c>
      <c r="U24" s="115" t="s">
        <v>886</v>
      </c>
      <c r="V24" s="115" t="s">
        <v>887</v>
      </c>
      <c r="W24" s="115" t="s">
        <v>888</v>
      </c>
    </row>
    <row r="25" spans="1:23">
      <c r="A25" s="111" t="s">
        <v>607</v>
      </c>
      <c r="B25" s="111" t="s">
        <v>608</v>
      </c>
      <c r="E25" s="111" t="s">
        <v>889</v>
      </c>
      <c r="F25" s="111" t="s">
        <v>890</v>
      </c>
      <c r="G25" s="111" t="s">
        <v>891</v>
      </c>
      <c r="H25" s="111" t="s">
        <v>892</v>
      </c>
      <c r="I25" s="111" t="s">
        <v>412</v>
      </c>
      <c r="J25" s="111" t="s">
        <v>416</v>
      </c>
      <c r="K25" s="111" t="s">
        <v>432</v>
      </c>
      <c r="L25" s="111" t="s">
        <v>491</v>
      </c>
      <c r="M25" s="111" t="s">
        <v>893</v>
      </c>
      <c r="N25" s="111" t="s">
        <v>894</v>
      </c>
      <c r="O25" s="111" t="s">
        <v>895</v>
      </c>
      <c r="P25" s="111" t="s">
        <v>896</v>
      </c>
      <c r="Q25" s="111" t="s">
        <v>537</v>
      </c>
      <c r="R25" s="111" t="s">
        <v>897</v>
      </c>
      <c r="S25" s="111" t="s">
        <v>898</v>
      </c>
      <c r="T25" s="111" t="s">
        <v>662</v>
      </c>
      <c r="U25" s="111" t="s">
        <v>780</v>
      </c>
      <c r="V25" s="111" t="s">
        <v>899</v>
      </c>
      <c r="W25" s="111" t="s">
        <v>900</v>
      </c>
    </row>
    <row r="26" spans="1:23">
      <c r="A26" s="111" t="s">
        <v>609</v>
      </c>
      <c r="B26" s="111" t="s">
        <v>610</v>
      </c>
      <c r="E26" s="111" t="s">
        <v>901</v>
      </c>
      <c r="F26" s="111" t="s">
        <v>902</v>
      </c>
      <c r="G26" s="111" t="s">
        <v>903</v>
      </c>
      <c r="H26" s="111" t="s">
        <v>825</v>
      </c>
      <c r="I26" s="111" t="s">
        <v>412</v>
      </c>
      <c r="J26" s="111" t="s">
        <v>416</v>
      </c>
      <c r="K26" s="111" t="s">
        <v>432</v>
      </c>
      <c r="L26" s="111" t="s">
        <v>491</v>
      </c>
      <c r="M26" s="111" t="s">
        <v>904</v>
      </c>
      <c r="N26" s="111" t="s">
        <v>905</v>
      </c>
      <c r="O26" s="111" t="s">
        <v>906</v>
      </c>
      <c r="P26" s="111" t="s">
        <v>907</v>
      </c>
      <c r="Q26" s="111" t="s">
        <v>545</v>
      </c>
      <c r="R26" s="111" t="s">
        <v>561</v>
      </c>
      <c r="S26" s="111" t="s">
        <v>885</v>
      </c>
      <c r="T26" s="111" t="s">
        <v>662</v>
      </c>
      <c r="U26" s="111" t="s">
        <v>908</v>
      </c>
      <c r="V26" s="111" t="s">
        <v>909</v>
      </c>
      <c r="W26" s="111" t="s">
        <v>910</v>
      </c>
    </row>
    <row r="27" spans="1:23" ht="15">
      <c r="A27" s="115">
        <v>4.2</v>
      </c>
      <c r="B27" s="115" t="s">
        <v>611</v>
      </c>
      <c r="C27" s="115"/>
      <c r="D27" s="115"/>
      <c r="E27" s="115" t="s">
        <v>911</v>
      </c>
      <c r="F27" s="115" t="s">
        <v>912</v>
      </c>
      <c r="G27" s="115" t="s">
        <v>913</v>
      </c>
      <c r="H27" s="115" t="s">
        <v>914</v>
      </c>
      <c r="I27" s="115" t="s">
        <v>412</v>
      </c>
      <c r="J27" s="115" t="s">
        <v>416</v>
      </c>
      <c r="K27" s="115" t="s">
        <v>432</v>
      </c>
      <c r="L27" s="115" t="s">
        <v>491</v>
      </c>
      <c r="M27" s="115" t="s">
        <v>915</v>
      </c>
      <c r="N27" s="115" t="s">
        <v>916</v>
      </c>
      <c r="O27" s="115" t="s">
        <v>917</v>
      </c>
      <c r="P27" s="115" t="s">
        <v>918</v>
      </c>
      <c r="Q27" s="115" t="s">
        <v>712</v>
      </c>
      <c r="R27" s="115" t="s">
        <v>713</v>
      </c>
      <c r="S27" s="115" t="s">
        <v>714</v>
      </c>
      <c r="T27" s="115" t="s">
        <v>700</v>
      </c>
      <c r="U27" s="115" t="s">
        <v>919</v>
      </c>
      <c r="V27" s="115" t="s">
        <v>920</v>
      </c>
      <c r="W27" s="115" t="s">
        <v>717</v>
      </c>
    </row>
    <row r="28" spans="1:23">
      <c r="A28" s="111" t="s">
        <v>613</v>
      </c>
      <c r="B28" s="111" t="s">
        <v>614</v>
      </c>
      <c r="E28" s="111" t="s">
        <v>921</v>
      </c>
      <c r="F28" s="111" t="s">
        <v>692</v>
      </c>
      <c r="G28" s="111" t="s">
        <v>922</v>
      </c>
      <c r="H28" s="111" t="s">
        <v>923</v>
      </c>
      <c r="I28" s="111" t="s">
        <v>412</v>
      </c>
      <c r="J28" s="111" t="s">
        <v>416</v>
      </c>
      <c r="K28" s="111" t="s">
        <v>432</v>
      </c>
      <c r="L28" s="111" t="s">
        <v>491</v>
      </c>
      <c r="M28" s="111" t="s">
        <v>924</v>
      </c>
      <c r="N28" s="111" t="s">
        <v>925</v>
      </c>
      <c r="O28" s="111" t="s">
        <v>926</v>
      </c>
      <c r="P28" s="111" t="s">
        <v>927</v>
      </c>
      <c r="Q28" s="111" t="s">
        <v>712</v>
      </c>
      <c r="R28" s="111" t="s">
        <v>549</v>
      </c>
      <c r="S28" s="111" t="s">
        <v>779</v>
      </c>
      <c r="T28" s="111" t="s">
        <v>700</v>
      </c>
      <c r="U28" s="111" t="s">
        <v>780</v>
      </c>
      <c r="V28" s="111" t="s">
        <v>702</v>
      </c>
      <c r="W28" s="111" t="s">
        <v>846</v>
      </c>
    </row>
    <row r="29" spans="1:23">
      <c r="A29" s="111" t="s">
        <v>615</v>
      </c>
      <c r="B29" s="111" t="s">
        <v>616</v>
      </c>
      <c r="E29" s="111" t="s">
        <v>928</v>
      </c>
      <c r="F29" s="111" t="s">
        <v>929</v>
      </c>
      <c r="G29" s="111" t="s">
        <v>930</v>
      </c>
      <c r="H29" s="111" t="s">
        <v>931</v>
      </c>
      <c r="I29" s="111" t="s">
        <v>412</v>
      </c>
      <c r="J29" s="111" t="s">
        <v>416</v>
      </c>
      <c r="K29" s="111" t="s">
        <v>432</v>
      </c>
      <c r="L29" s="111" t="s">
        <v>491</v>
      </c>
      <c r="M29" s="111" t="s">
        <v>932</v>
      </c>
      <c r="N29" s="111" t="s">
        <v>933</v>
      </c>
      <c r="O29" s="111" t="s">
        <v>934</v>
      </c>
      <c r="P29" s="111" t="s">
        <v>935</v>
      </c>
      <c r="Q29" s="111" t="s">
        <v>712</v>
      </c>
      <c r="R29" s="111" t="s">
        <v>561</v>
      </c>
      <c r="S29" s="111" t="s">
        <v>936</v>
      </c>
      <c r="T29" s="111" t="s">
        <v>662</v>
      </c>
      <c r="U29" s="111" t="s">
        <v>937</v>
      </c>
      <c r="V29" s="111" t="s">
        <v>938</v>
      </c>
      <c r="W29" s="111" t="s">
        <v>939</v>
      </c>
    </row>
    <row r="30" spans="1:23" ht="15.75">
      <c r="A30" s="114">
        <v>5</v>
      </c>
      <c r="B30" s="114" t="s">
        <v>492</v>
      </c>
      <c r="C30" s="114"/>
      <c r="D30" s="114"/>
      <c r="E30" s="114" t="s">
        <v>493</v>
      </c>
      <c r="F30" s="114" t="s">
        <v>494</v>
      </c>
      <c r="G30" s="114" t="s">
        <v>495</v>
      </c>
      <c r="H30" s="114" t="s">
        <v>496</v>
      </c>
      <c r="I30" s="114" t="s">
        <v>425</v>
      </c>
      <c r="J30" s="114" t="s">
        <v>431</v>
      </c>
      <c r="K30" s="114" t="s">
        <v>424</v>
      </c>
      <c r="L30" s="114" t="s">
        <v>497</v>
      </c>
      <c r="M30" s="114" t="s">
        <v>940</v>
      </c>
      <c r="N30" s="114" t="s">
        <v>941</v>
      </c>
      <c r="O30" s="114" t="s">
        <v>942</v>
      </c>
      <c r="P30" s="114" t="s">
        <v>943</v>
      </c>
      <c r="Q30" s="114" t="s">
        <v>537</v>
      </c>
      <c r="R30" s="114" t="s">
        <v>546</v>
      </c>
      <c r="S30" s="114" t="s">
        <v>944</v>
      </c>
      <c r="T30" s="114" t="s">
        <v>662</v>
      </c>
      <c r="U30" s="114" t="s">
        <v>945</v>
      </c>
      <c r="V30" s="114" t="s">
        <v>946</v>
      </c>
      <c r="W30" s="114" t="s">
        <v>947</v>
      </c>
    </row>
    <row r="31" spans="1:23" ht="15">
      <c r="A31" s="115">
        <v>5.0999999999999996</v>
      </c>
      <c r="B31" s="115" t="s">
        <v>618</v>
      </c>
      <c r="C31" s="115"/>
      <c r="D31" s="115"/>
      <c r="E31" s="115" t="s">
        <v>948</v>
      </c>
      <c r="F31" s="115" t="s">
        <v>949</v>
      </c>
      <c r="G31" s="115" t="s">
        <v>950</v>
      </c>
      <c r="H31" s="115" t="s">
        <v>565</v>
      </c>
      <c r="I31" s="115" t="s">
        <v>425</v>
      </c>
      <c r="J31" s="115" t="s">
        <v>431</v>
      </c>
      <c r="K31" s="115" t="s">
        <v>424</v>
      </c>
      <c r="L31" s="115" t="s">
        <v>497</v>
      </c>
      <c r="M31" s="115" t="s">
        <v>951</v>
      </c>
      <c r="N31" s="115" t="s">
        <v>952</v>
      </c>
      <c r="O31" s="115" t="s">
        <v>953</v>
      </c>
      <c r="P31" s="115" t="s">
        <v>954</v>
      </c>
      <c r="Q31" s="115" t="s">
        <v>537</v>
      </c>
      <c r="R31" s="115" t="s">
        <v>955</v>
      </c>
      <c r="S31" s="115" t="s">
        <v>898</v>
      </c>
      <c r="T31" s="115" t="s">
        <v>700</v>
      </c>
      <c r="U31" s="115" t="s">
        <v>956</v>
      </c>
      <c r="V31" s="115" t="s">
        <v>957</v>
      </c>
      <c r="W31" s="115" t="s">
        <v>958</v>
      </c>
    </row>
    <row r="32" spans="1:23">
      <c r="A32" s="111" t="s">
        <v>619</v>
      </c>
      <c r="B32" s="111" t="s">
        <v>620</v>
      </c>
      <c r="E32" s="111" t="s">
        <v>959</v>
      </c>
      <c r="F32" s="111" t="s">
        <v>960</v>
      </c>
      <c r="G32" s="111" t="s">
        <v>903</v>
      </c>
      <c r="H32" s="111" t="s">
        <v>961</v>
      </c>
      <c r="I32" s="111" t="s">
        <v>425</v>
      </c>
      <c r="J32" s="111" t="s">
        <v>431</v>
      </c>
      <c r="K32" s="111" t="s">
        <v>424</v>
      </c>
      <c r="L32" s="111" t="s">
        <v>497</v>
      </c>
      <c r="M32" s="111" t="s">
        <v>962</v>
      </c>
      <c r="N32" s="111" t="s">
        <v>963</v>
      </c>
      <c r="O32" s="111" t="s">
        <v>964</v>
      </c>
      <c r="P32" s="111" t="s">
        <v>965</v>
      </c>
      <c r="Q32" s="111" t="s">
        <v>537</v>
      </c>
      <c r="R32" s="111" t="s">
        <v>955</v>
      </c>
      <c r="S32" s="111" t="s">
        <v>966</v>
      </c>
      <c r="T32" s="111" t="s">
        <v>662</v>
      </c>
      <c r="U32" s="111" t="s">
        <v>780</v>
      </c>
      <c r="V32" s="111" t="s">
        <v>967</v>
      </c>
      <c r="W32" s="111" t="s">
        <v>968</v>
      </c>
    </row>
    <row r="33" spans="1:23">
      <c r="A33" s="111" t="s">
        <v>621</v>
      </c>
      <c r="B33" s="111" t="s">
        <v>622</v>
      </c>
      <c r="E33" s="111" t="s">
        <v>969</v>
      </c>
      <c r="F33" s="111" t="s">
        <v>970</v>
      </c>
      <c r="G33" s="111" t="s">
        <v>971</v>
      </c>
      <c r="H33" s="111" t="s">
        <v>972</v>
      </c>
      <c r="I33" s="111" t="s">
        <v>425</v>
      </c>
      <c r="J33" s="111" t="s">
        <v>431</v>
      </c>
      <c r="K33" s="111" t="s">
        <v>424</v>
      </c>
      <c r="L33" s="111" t="s">
        <v>497</v>
      </c>
      <c r="M33" s="111" t="s">
        <v>973</v>
      </c>
      <c r="N33" s="111" t="s">
        <v>974</v>
      </c>
      <c r="O33" s="111" t="s">
        <v>975</v>
      </c>
      <c r="P33" s="111" t="s">
        <v>976</v>
      </c>
      <c r="Q33" s="111" t="s">
        <v>545</v>
      </c>
      <c r="R33" s="111" t="s">
        <v>955</v>
      </c>
      <c r="S33" s="111" t="s">
        <v>977</v>
      </c>
      <c r="T33" s="111" t="s">
        <v>662</v>
      </c>
      <c r="U33" s="111" t="s">
        <v>978</v>
      </c>
      <c r="V33" s="111" t="s">
        <v>979</v>
      </c>
      <c r="W33" s="111" t="s">
        <v>980</v>
      </c>
    </row>
    <row r="34" spans="1:23" ht="15">
      <c r="A34" s="115">
        <v>5.2</v>
      </c>
      <c r="B34" s="115" t="s">
        <v>623</v>
      </c>
      <c r="C34" s="115"/>
      <c r="D34" s="115"/>
      <c r="E34" s="115" t="s">
        <v>981</v>
      </c>
      <c r="F34" s="115" t="s">
        <v>783</v>
      </c>
      <c r="G34" s="115" t="s">
        <v>982</v>
      </c>
      <c r="H34" s="115" t="s">
        <v>983</v>
      </c>
      <c r="I34" s="115" t="s">
        <v>425</v>
      </c>
      <c r="J34" s="115" t="s">
        <v>431</v>
      </c>
      <c r="K34" s="115" t="s">
        <v>424</v>
      </c>
      <c r="L34" s="115" t="s">
        <v>497</v>
      </c>
      <c r="M34" s="115" t="s">
        <v>984</v>
      </c>
      <c r="N34" s="115" t="s">
        <v>916</v>
      </c>
      <c r="O34" s="115" t="s">
        <v>985</v>
      </c>
      <c r="P34" s="115" t="s">
        <v>986</v>
      </c>
      <c r="Q34" s="115" t="s">
        <v>712</v>
      </c>
      <c r="R34" s="115" t="s">
        <v>713</v>
      </c>
      <c r="S34" s="115" t="s">
        <v>987</v>
      </c>
      <c r="T34" s="115" t="s">
        <v>700</v>
      </c>
      <c r="U34" s="115" t="s">
        <v>919</v>
      </c>
      <c r="V34" s="115" t="s">
        <v>920</v>
      </c>
      <c r="W34" s="115" t="s">
        <v>717</v>
      </c>
    </row>
    <row r="35" spans="1:23">
      <c r="A35" s="111" t="s">
        <v>624</v>
      </c>
      <c r="B35" s="111" t="s">
        <v>625</v>
      </c>
      <c r="E35" s="111" t="s">
        <v>988</v>
      </c>
      <c r="F35" s="111" t="s">
        <v>561</v>
      </c>
      <c r="G35" s="111" t="s">
        <v>922</v>
      </c>
      <c r="H35" s="111" t="s">
        <v>923</v>
      </c>
      <c r="I35" s="111" t="s">
        <v>425</v>
      </c>
      <c r="J35" s="111" t="s">
        <v>431</v>
      </c>
      <c r="K35" s="111" t="s">
        <v>424</v>
      </c>
      <c r="L35" s="111" t="s">
        <v>497</v>
      </c>
      <c r="M35" s="111" t="s">
        <v>924</v>
      </c>
      <c r="N35" s="111" t="s">
        <v>925</v>
      </c>
      <c r="O35" s="111" t="s">
        <v>926</v>
      </c>
      <c r="P35" s="111" t="s">
        <v>927</v>
      </c>
      <c r="Q35" s="111" t="s">
        <v>712</v>
      </c>
      <c r="R35" s="111" t="s">
        <v>561</v>
      </c>
      <c r="S35" s="111" t="s">
        <v>779</v>
      </c>
      <c r="T35" s="111" t="s">
        <v>700</v>
      </c>
      <c r="U35" s="111" t="s">
        <v>780</v>
      </c>
      <c r="V35" s="111" t="s">
        <v>702</v>
      </c>
      <c r="W35" s="111" t="s">
        <v>846</v>
      </c>
    </row>
    <row r="36" spans="1:23">
      <c r="A36" s="111" t="s">
        <v>626</v>
      </c>
      <c r="B36" s="111" t="s">
        <v>627</v>
      </c>
      <c r="E36" s="111" t="s">
        <v>928</v>
      </c>
      <c r="F36" s="111" t="s">
        <v>929</v>
      </c>
      <c r="G36" s="111" t="s">
        <v>930</v>
      </c>
      <c r="H36" s="111" t="s">
        <v>931</v>
      </c>
      <c r="I36" s="111" t="s">
        <v>425</v>
      </c>
      <c r="J36" s="111" t="s">
        <v>431</v>
      </c>
      <c r="K36" s="111" t="s">
        <v>424</v>
      </c>
      <c r="L36" s="111" t="s">
        <v>497</v>
      </c>
      <c r="M36" s="111" t="s">
        <v>989</v>
      </c>
      <c r="N36" s="111" t="s">
        <v>990</v>
      </c>
      <c r="O36" s="111" t="s">
        <v>934</v>
      </c>
      <c r="P36" s="111" t="s">
        <v>935</v>
      </c>
      <c r="Q36" s="111" t="s">
        <v>712</v>
      </c>
      <c r="R36" s="111" t="s">
        <v>572</v>
      </c>
      <c r="S36" s="111" t="s">
        <v>944</v>
      </c>
      <c r="T36" s="111" t="s">
        <v>662</v>
      </c>
      <c r="U36" s="111" t="s">
        <v>937</v>
      </c>
      <c r="V36" s="111" t="s">
        <v>938</v>
      </c>
      <c r="W36" s="111" t="s">
        <v>939</v>
      </c>
    </row>
    <row r="37" spans="1:23" ht="15.75">
      <c r="A37" s="114">
        <v>6</v>
      </c>
      <c r="B37" s="114" t="s">
        <v>523</v>
      </c>
      <c r="C37" s="114"/>
      <c r="D37" s="114"/>
      <c r="E37" s="114" t="s">
        <v>498</v>
      </c>
      <c r="F37" s="114" t="s">
        <v>499</v>
      </c>
      <c r="G37" s="114" t="s">
        <v>500</v>
      </c>
      <c r="H37" s="114" t="s">
        <v>501</v>
      </c>
      <c r="I37" s="114" t="s">
        <v>502</v>
      </c>
      <c r="J37" s="114" t="s">
        <v>416</v>
      </c>
      <c r="K37" s="114" t="s">
        <v>503</v>
      </c>
      <c r="L37" s="114" t="s">
        <v>504</v>
      </c>
      <c r="M37" s="114" t="s">
        <v>991</v>
      </c>
      <c r="N37" s="114" t="s">
        <v>992</v>
      </c>
      <c r="O37" s="114" t="s">
        <v>993</v>
      </c>
      <c r="P37" s="114" t="s">
        <v>566</v>
      </c>
      <c r="Q37" s="114" t="s">
        <v>537</v>
      </c>
      <c r="R37" s="114" t="s">
        <v>547</v>
      </c>
      <c r="S37" s="114" t="s">
        <v>994</v>
      </c>
      <c r="T37" s="114" t="s">
        <v>662</v>
      </c>
      <c r="U37" s="114" t="s">
        <v>995</v>
      </c>
      <c r="V37" s="114" t="s">
        <v>996</v>
      </c>
      <c r="W37" s="114" t="s">
        <v>997</v>
      </c>
    </row>
    <row r="38" spans="1:23" ht="15">
      <c r="A38" s="115">
        <v>6.1</v>
      </c>
      <c r="B38" s="115" t="s">
        <v>628</v>
      </c>
      <c r="C38" s="115"/>
      <c r="D38" s="115"/>
      <c r="E38" s="115" t="s">
        <v>998</v>
      </c>
      <c r="F38" s="115" t="s">
        <v>999</v>
      </c>
      <c r="G38" s="115" t="s">
        <v>1000</v>
      </c>
      <c r="H38" s="115" t="s">
        <v>994</v>
      </c>
      <c r="I38" s="115" t="s">
        <v>502</v>
      </c>
      <c r="J38" s="115" t="s">
        <v>416</v>
      </c>
      <c r="K38" s="115" t="s">
        <v>503</v>
      </c>
      <c r="L38" s="115" t="s">
        <v>504</v>
      </c>
      <c r="M38" s="115" t="s">
        <v>1001</v>
      </c>
      <c r="N38" s="115" t="s">
        <v>1002</v>
      </c>
      <c r="O38" s="115" t="s">
        <v>1003</v>
      </c>
      <c r="P38" s="115" t="s">
        <v>1004</v>
      </c>
      <c r="Q38" s="115" t="s">
        <v>537</v>
      </c>
      <c r="R38" s="115" t="s">
        <v>1005</v>
      </c>
      <c r="S38" s="115" t="s">
        <v>1006</v>
      </c>
      <c r="T38" s="115" t="s">
        <v>662</v>
      </c>
      <c r="U38" s="115" t="s">
        <v>1007</v>
      </c>
      <c r="V38" s="115" t="s">
        <v>1008</v>
      </c>
      <c r="W38" s="115" t="s">
        <v>690</v>
      </c>
    </row>
    <row r="39" spans="1:23">
      <c r="A39" s="111" t="s">
        <v>629</v>
      </c>
      <c r="B39" s="111" t="s">
        <v>630</v>
      </c>
      <c r="E39" s="111" t="s">
        <v>1009</v>
      </c>
      <c r="F39" s="111" t="s">
        <v>1010</v>
      </c>
      <c r="G39" s="111" t="s">
        <v>903</v>
      </c>
      <c r="H39" s="111" t="s">
        <v>1011</v>
      </c>
      <c r="I39" s="111" t="s">
        <v>502</v>
      </c>
      <c r="J39" s="111" t="s">
        <v>416</v>
      </c>
      <c r="K39" s="111" t="s">
        <v>503</v>
      </c>
      <c r="L39" s="111" t="s">
        <v>504</v>
      </c>
      <c r="M39" s="111" t="s">
        <v>1012</v>
      </c>
      <c r="N39" s="111" t="s">
        <v>1013</v>
      </c>
      <c r="O39" s="111" t="s">
        <v>1014</v>
      </c>
      <c r="P39" s="111" t="s">
        <v>1015</v>
      </c>
      <c r="Q39" s="111" t="s">
        <v>537</v>
      </c>
      <c r="R39" s="111" t="s">
        <v>561</v>
      </c>
      <c r="S39" s="111" t="s">
        <v>825</v>
      </c>
      <c r="T39" s="111" t="s">
        <v>662</v>
      </c>
      <c r="U39" s="111" t="s">
        <v>1016</v>
      </c>
      <c r="V39" s="111" t="s">
        <v>805</v>
      </c>
      <c r="W39" s="111" t="s">
        <v>1017</v>
      </c>
    </row>
    <row r="40" spans="1:23">
      <c r="A40" s="111" t="s">
        <v>631</v>
      </c>
      <c r="B40" s="111" t="s">
        <v>632</v>
      </c>
      <c r="E40" s="111" t="s">
        <v>1018</v>
      </c>
      <c r="F40" s="111" t="s">
        <v>1019</v>
      </c>
      <c r="G40" s="111" t="s">
        <v>903</v>
      </c>
      <c r="H40" s="111" t="s">
        <v>1020</v>
      </c>
      <c r="I40" s="111" t="s">
        <v>502</v>
      </c>
      <c r="J40" s="111" t="s">
        <v>416</v>
      </c>
      <c r="K40" s="111" t="s">
        <v>503</v>
      </c>
      <c r="L40" s="111" t="s">
        <v>504</v>
      </c>
      <c r="M40" s="111" t="s">
        <v>1021</v>
      </c>
      <c r="N40" s="111" t="s">
        <v>1022</v>
      </c>
      <c r="O40" s="111" t="s">
        <v>1023</v>
      </c>
      <c r="P40" s="111" t="s">
        <v>1024</v>
      </c>
      <c r="Q40" s="111" t="s">
        <v>545</v>
      </c>
      <c r="R40" s="111" t="s">
        <v>561</v>
      </c>
      <c r="S40" s="111" t="s">
        <v>1025</v>
      </c>
      <c r="T40" s="111" t="s">
        <v>662</v>
      </c>
      <c r="U40" s="111" t="s">
        <v>1026</v>
      </c>
      <c r="V40" s="111" t="s">
        <v>1027</v>
      </c>
      <c r="W40" s="111" t="s">
        <v>1028</v>
      </c>
    </row>
    <row r="41" spans="1:23" ht="15">
      <c r="A41" s="115">
        <v>6.2</v>
      </c>
      <c r="B41" s="115" t="s">
        <v>633</v>
      </c>
      <c r="C41" s="115"/>
      <c r="D41" s="115"/>
      <c r="E41" s="115" t="s">
        <v>981</v>
      </c>
      <c r="F41" s="115" t="s">
        <v>783</v>
      </c>
      <c r="G41" s="115" t="s">
        <v>982</v>
      </c>
      <c r="H41" s="115" t="s">
        <v>898</v>
      </c>
      <c r="I41" s="115" t="s">
        <v>502</v>
      </c>
      <c r="J41" s="115" t="s">
        <v>416</v>
      </c>
      <c r="K41" s="115" t="s">
        <v>503</v>
      </c>
      <c r="L41" s="115" t="s">
        <v>504</v>
      </c>
      <c r="M41" s="115" t="s">
        <v>1029</v>
      </c>
      <c r="N41" s="115" t="s">
        <v>1030</v>
      </c>
      <c r="O41" s="115" t="s">
        <v>985</v>
      </c>
      <c r="P41" s="115" t="s">
        <v>986</v>
      </c>
      <c r="Q41" s="115" t="s">
        <v>712</v>
      </c>
      <c r="R41" s="115" t="s">
        <v>713</v>
      </c>
      <c r="S41" s="115" t="s">
        <v>987</v>
      </c>
      <c r="T41" s="115" t="s">
        <v>700</v>
      </c>
      <c r="U41" s="115" t="s">
        <v>919</v>
      </c>
      <c r="V41" s="115" t="s">
        <v>920</v>
      </c>
      <c r="W41" s="115" t="s">
        <v>717</v>
      </c>
    </row>
    <row r="42" spans="1:23">
      <c r="A42" s="111" t="s">
        <v>634</v>
      </c>
      <c r="B42" s="111" t="s">
        <v>614</v>
      </c>
      <c r="E42" s="111" t="s">
        <v>988</v>
      </c>
      <c r="F42" s="111" t="s">
        <v>561</v>
      </c>
      <c r="G42" s="111" t="s">
        <v>922</v>
      </c>
      <c r="H42" s="111" t="s">
        <v>923</v>
      </c>
      <c r="I42" s="111" t="s">
        <v>502</v>
      </c>
      <c r="J42" s="111" t="s">
        <v>416</v>
      </c>
      <c r="K42" s="111" t="s">
        <v>503</v>
      </c>
      <c r="L42" s="111" t="s">
        <v>504</v>
      </c>
      <c r="M42" s="111" t="s">
        <v>924</v>
      </c>
      <c r="N42" s="111" t="s">
        <v>925</v>
      </c>
      <c r="O42" s="111" t="s">
        <v>926</v>
      </c>
      <c r="P42" s="111" t="s">
        <v>927</v>
      </c>
      <c r="Q42" s="111" t="s">
        <v>712</v>
      </c>
      <c r="R42" s="111" t="s">
        <v>561</v>
      </c>
      <c r="S42" s="111" t="s">
        <v>779</v>
      </c>
      <c r="T42" s="111" t="s">
        <v>700</v>
      </c>
      <c r="U42" s="111" t="s">
        <v>780</v>
      </c>
      <c r="V42" s="111" t="s">
        <v>702</v>
      </c>
      <c r="W42" s="111" t="s">
        <v>846</v>
      </c>
    </row>
    <row r="43" spans="1:23">
      <c r="A43" s="111" t="s">
        <v>635</v>
      </c>
      <c r="B43" s="111" t="s">
        <v>636</v>
      </c>
      <c r="E43" s="111" t="s">
        <v>642</v>
      </c>
      <c r="F43" s="111" t="s">
        <v>929</v>
      </c>
      <c r="G43" s="111" t="s">
        <v>930</v>
      </c>
      <c r="H43" s="111" t="s">
        <v>931</v>
      </c>
      <c r="I43" s="111" t="s">
        <v>502</v>
      </c>
      <c r="J43" s="111" t="s">
        <v>416</v>
      </c>
      <c r="K43" s="111" t="s">
        <v>503</v>
      </c>
      <c r="L43" s="111" t="s">
        <v>504</v>
      </c>
      <c r="M43" s="111" t="s">
        <v>989</v>
      </c>
      <c r="N43" s="111" t="s">
        <v>1031</v>
      </c>
      <c r="O43" s="111" t="s">
        <v>934</v>
      </c>
      <c r="P43" s="111" t="s">
        <v>935</v>
      </c>
      <c r="Q43" s="111" t="s">
        <v>712</v>
      </c>
      <c r="R43" s="111" t="s">
        <v>572</v>
      </c>
      <c r="S43" s="111" t="s">
        <v>1032</v>
      </c>
      <c r="T43" s="111" t="s">
        <v>662</v>
      </c>
      <c r="U43" s="111" t="s">
        <v>1033</v>
      </c>
      <c r="V43" s="111" t="s">
        <v>938</v>
      </c>
      <c r="W43" s="111" t="s">
        <v>939</v>
      </c>
    </row>
    <row r="44" spans="1:23" ht="15.75">
      <c r="A44" s="114">
        <v>7</v>
      </c>
      <c r="B44" s="114" t="s">
        <v>505</v>
      </c>
      <c r="C44" s="114"/>
      <c r="D44" s="114"/>
      <c r="E44" s="114" t="s">
        <v>506</v>
      </c>
      <c r="F44" s="114" t="s">
        <v>445</v>
      </c>
      <c r="G44" s="114" t="s">
        <v>507</v>
      </c>
      <c r="H44" s="114" t="s">
        <v>508</v>
      </c>
      <c r="I44" s="114" t="s">
        <v>425</v>
      </c>
      <c r="J44" s="114" t="s">
        <v>509</v>
      </c>
      <c r="K44" s="114" t="s">
        <v>418</v>
      </c>
      <c r="L44" s="114" t="s">
        <v>510</v>
      </c>
      <c r="M44" s="114" t="s">
        <v>1034</v>
      </c>
      <c r="N44" s="114" t="s">
        <v>548</v>
      </c>
      <c r="O44" s="114" t="s">
        <v>511</v>
      </c>
      <c r="P44" s="114" t="s">
        <v>1035</v>
      </c>
      <c r="Q44" s="114" t="s">
        <v>545</v>
      </c>
      <c r="R44" s="114" t="s">
        <v>549</v>
      </c>
      <c r="S44" s="114" t="s">
        <v>570</v>
      </c>
      <c r="T44" s="114" t="s">
        <v>662</v>
      </c>
      <c r="U44" s="114" t="s">
        <v>1036</v>
      </c>
      <c r="V44" s="114" t="s">
        <v>1037</v>
      </c>
      <c r="W44" s="114" t="s">
        <v>1038</v>
      </c>
    </row>
    <row r="45" spans="1:23" ht="15">
      <c r="A45" s="115">
        <v>7.1</v>
      </c>
      <c r="B45" s="115" t="s">
        <v>567</v>
      </c>
      <c r="C45" s="115"/>
      <c r="D45" s="115"/>
      <c r="E45" s="115" t="s">
        <v>1039</v>
      </c>
      <c r="F45" s="115" t="s">
        <v>803</v>
      </c>
      <c r="G45" s="115" t="s">
        <v>507</v>
      </c>
      <c r="H45" s="115" t="s">
        <v>931</v>
      </c>
      <c r="I45" s="115" t="s">
        <v>425</v>
      </c>
      <c r="J45" s="115" t="s">
        <v>509</v>
      </c>
      <c r="K45" s="115" t="s">
        <v>418</v>
      </c>
      <c r="L45" s="115" t="s">
        <v>510</v>
      </c>
      <c r="M45" s="115" t="s">
        <v>1040</v>
      </c>
      <c r="N45" s="115" t="s">
        <v>1041</v>
      </c>
      <c r="O45" s="115" t="s">
        <v>1042</v>
      </c>
      <c r="P45" s="115" t="s">
        <v>938</v>
      </c>
      <c r="Q45" s="115" t="s">
        <v>545</v>
      </c>
      <c r="R45" s="115" t="s">
        <v>561</v>
      </c>
      <c r="S45" s="115" t="s">
        <v>568</v>
      </c>
      <c r="T45" s="115" t="s">
        <v>662</v>
      </c>
      <c r="U45" s="115" t="s">
        <v>1043</v>
      </c>
      <c r="V45" s="115" t="s">
        <v>1044</v>
      </c>
      <c r="W45" s="115" t="s">
        <v>1045</v>
      </c>
    </row>
    <row r="46" spans="1:23">
      <c r="A46" s="111" t="s">
        <v>639</v>
      </c>
      <c r="B46" s="111" t="s">
        <v>640</v>
      </c>
      <c r="E46" s="111" t="s">
        <v>1046</v>
      </c>
      <c r="F46" s="111" t="s">
        <v>1047</v>
      </c>
      <c r="G46" s="111" t="s">
        <v>860</v>
      </c>
      <c r="H46" s="111" t="s">
        <v>1048</v>
      </c>
      <c r="I46" s="111" t="s">
        <v>425</v>
      </c>
      <c r="J46" s="111" t="s">
        <v>509</v>
      </c>
      <c r="K46" s="111" t="s">
        <v>418</v>
      </c>
      <c r="L46" s="111" t="s">
        <v>510</v>
      </c>
      <c r="M46" s="111" t="s">
        <v>1049</v>
      </c>
      <c r="N46" s="111" t="s">
        <v>863</v>
      </c>
      <c r="O46" s="111" t="s">
        <v>1050</v>
      </c>
      <c r="P46" s="111" t="s">
        <v>1051</v>
      </c>
      <c r="Q46" s="111" t="s">
        <v>545</v>
      </c>
      <c r="R46" s="111" t="s">
        <v>549</v>
      </c>
      <c r="S46" s="111" t="s">
        <v>1052</v>
      </c>
      <c r="T46" s="111" t="s">
        <v>662</v>
      </c>
      <c r="U46" s="111" t="s">
        <v>868</v>
      </c>
      <c r="V46" s="111" t="s">
        <v>1053</v>
      </c>
      <c r="W46" s="111" t="s">
        <v>1054</v>
      </c>
    </row>
    <row r="47" spans="1:23">
      <c r="A47" s="111" t="s">
        <v>641</v>
      </c>
      <c r="B47" s="111" t="s">
        <v>571</v>
      </c>
      <c r="E47" s="111" t="s">
        <v>1055</v>
      </c>
      <c r="F47" s="111" t="s">
        <v>692</v>
      </c>
      <c r="G47" s="111" t="s">
        <v>922</v>
      </c>
      <c r="H47" s="111" t="s">
        <v>923</v>
      </c>
      <c r="I47" s="111" t="s">
        <v>425</v>
      </c>
      <c r="J47" s="111" t="s">
        <v>509</v>
      </c>
      <c r="K47" s="111" t="s">
        <v>418</v>
      </c>
      <c r="L47" s="111" t="s">
        <v>510</v>
      </c>
      <c r="M47" s="111" t="s">
        <v>924</v>
      </c>
      <c r="N47" s="111" t="s">
        <v>925</v>
      </c>
      <c r="O47" s="111" t="s">
        <v>926</v>
      </c>
      <c r="P47" s="111" t="s">
        <v>927</v>
      </c>
      <c r="Q47" s="111" t="s">
        <v>712</v>
      </c>
      <c r="R47" s="111" t="s">
        <v>692</v>
      </c>
      <c r="S47" s="111" t="s">
        <v>779</v>
      </c>
      <c r="T47" s="111" t="s">
        <v>700</v>
      </c>
      <c r="U47" s="111" t="s">
        <v>780</v>
      </c>
      <c r="V47" s="111" t="s">
        <v>702</v>
      </c>
      <c r="W47" s="111" t="s">
        <v>846</v>
      </c>
    </row>
    <row r="48" spans="1:23" ht="15">
      <c r="A48" s="115">
        <v>7.2</v>
      </c>
      <c r="B48" s="115" t="s">
        <v>642</v>
      </c>
      <c r="C48" s="115"/>
      <c r="D48" s="115"/>
      <c r="E48" s="115" t="s">
        <v>569</v>
      </c>
      <c r="F48" s="115" t="s">
        <v>1047</v>
      </c>
      <c r="G48" s="115" t="s">
        <v>930</v>
      </c>
      <c r="H48" s="115" t="s">
        <v>1056</v>
      </c>
      <c r="I48" s="115" t="s">
        <v>425</v>
      </c>
      <c r="J48" s="115" t="s">
        <v>509</v>
      </c>
      <c r="K48" s="115" t="s">
        <v>418</v>
      </c>
      <c r="L48" s="115" t="s">
        <v>510</v>
      </c>
      <c r="M48" s="115" t="s">
        <v>1057</v>
      </c>
      <c r="N48" s="115" t="s">
        <v>1058</v>
      </c>
      <c r="O48" s="115" t="s">
        <v>1059</v>
      </c>
      <c r="P48" s="115" t="s">
        <v>1060</v>
      </c>
      <c r="Q48" s="115" t="s">
        <v>712</v>
      </c>
      <c r="R48" s="115" t="s">
        <v>561</v>
      </c>
      <c r="S48" s="115" t="s">
        <v>1061</v>
      </c>
      <c r="T48" s="115" t="s">
        <v>700</v>
      </c>
      <c r="U48" s="115" t="s">
        <v>1062</v>
      </c>
      <c r="V48" s="115" t="s">
        <v>938</v>
      </c>
      <c r="W48" s="115" t="s">
        <v>1063</v>
      </c>
    </row>
    <row r="49" spans="1:23">
      <c r="A49" s="111" t="s">
        <v>643</v>
      </c>
      <c r="B49" s="111" t="s">
        <v>644</v>
      </c>
      <c r="E49" s="111" t="s">
        <v>1064</v>
      </c>
      <c r="F49" s="111" t="s">
        <v>1065</v>
      </c>
      <c r="G49" s="111" t="s">
        <v>1066</v>
      </c>
      <c r="H49" s="111" t="s">
        <v>1067</v>
      </c>
      <c r="I49" s="111" t="s">
        <v>425</v>
      </c>
      <c r="J49" s="111" t="s">
        <v>509</v>
      </c>
      <c r="K49" s="111" t="s">
        <v>418</v>
      </c>
      <c r="L49" s="111" t="s">
        <v>510</v>
      </c>
      <c r="M49" s="111" t="s">
        <v>1068</v>
      </c>
      <c r="N49" s="111" t="s">
        <v>1069</v>
      </c>
      <c r="O49" s="111" t="s">
        <v>1064</v>
      </c>
      <c r="P49" s="111" t="s">
        <v>1070</v>
      </c>
      <c r="Q49" s="111" t="s">
        <v>712</v>
      </c>
      <c r="R49" s="111" t="s">
        <v>713</v>
      </c>
      <c r="S49" s="111" t="s">
        <v>1071</v>
      </c>
      <c r="T49" s="111" t="s">
        <v>700</v>
      </c>
      <c r="U49" s="111" t="s">
        <v>727</v>
      </c>
      <c r="V49" s="111" t="s">
        <v>1072</v>
      </c>
      <c r="W49" s="111" t="s">
        <v>1073</v>
      </c>
    </row>
    <row r="50" spans="1:23">
      <c r="A50" s="111" t="s">
        <v>646</v>
      </c>
      <c r="B50" s="111" t="s">
        <v>647</v>
      </c>
      <c r="E50" s="111" t="s">
        <v>1074</v>
      </c>
      <c r="F50" s="111" t="s">
        <v>1075</v>
      </c>
      <c r="G50" s="111" t="s">
        <v>1076</v>
      </c>
      <c r="H50" s="111" t="s">
        <v>1077</v>
      </c>
      <c r="I50" s="111" t="s">
        <v>425</v>
      </c>
      <c r="J50" s="111" t="s">
        <v>509</v>
      </c>
      <c r="K50" s="111" t="s">
        <v>418</v>
      </c>
      <c r="L50" s="111" t="s">
        <v>1078</v>
      </c>
      <c r="M50" s="111" t="s">
        <v>1079</v>
      </c>
      <c r="N50" s="111" t="s">
        <v>1080</v>
      </c>
      <c r="O50" s="111" t="s">
        <v>1081</v>
      </c>
      <c r="P50" s="111" t="s">
        <v>1082</v>
      </c>
      <c r="Q50" s="111" t="s">
        <v>712</v>
      </c>
      <c r="R50" s="111" t="s">
        <v>713</v>
      </c>
      <c r="S50" s="111" t="s">
        <v>1083</v>
      </c>
      <c r="T50" s="111" t="s">
        <v>700</v>
      </c>
      <c r="U50" s="111" t="s">
        <v>1084</v>
      </c>
      <c r="V50" s="111" t="s">
        <v>1085</v>
      </c>
      <c r="W50" s="111" t="s">
        <v>1086</v>
      </c>
    </row>
    <row r="51" spans="1:23" ht="15.75">
      <c r="A51" s="114">
        <v>8</v>
      </c>
      <c r="B51" s="114" t="s">
        <v>512</v>
      </c>
      <c r="C51" s="114"/>
      <c r="D51" s="114"/>
      <c r="E51" s="114" t="s">
        <v>513</v>
      </c>
      <c r="F51" s="114" t="s">
        <v>514</v>
      </c>
      <c r="G51" s="114" t="s">
        <v>515</v>
      </c>
      <c r="H51" s="114" t="s">
        <v>516</v>
      </c>
      <c r="I51" s="114" t="s">
        <v>521</v>
      </c>
      <c r="J51" s="114" t="s">
        <v>521</v>
      </c>
      <c r="K51" s="114" t="s">
        <v>517</v>
      </c>
      <c r="L51" s="114" t="s">
        <v>518</v>
      </c>
      <c r="M51" s="114" t="s">
        <v>1087</v>
      </c>
      <c r="N51" s="114" t="s">
        <v>550</v>
      </c>
      <c r="O51" s="114" t="s">
        <v>524</v>
      </c>
      <c r="P51" s="114" t="s">
        <v>551</v>
      </c>
      <c r="Q51" s="114" t="s">
        <v>545</v>
      </c>
      <c r="R51" s="114" t="s">
        <v>552</v>
      </c>
      <c r="S51" s="114" t="s">
        <v>553</v>
      </c>
      <c r="T51" s="114" t="s">
        <v>554</v>
      </c>
      <c r="U51" s="114" t="s">
        <v>1079</v>
      </c>
      <c r="V51" s="114" t="s">
        <v>555</v>
      </c>
      <c r="W51" s="114" t="s">
        <v>1088</v>
      </c>
    </row>
    <row r="52" spans="1:23" ht="15">
      <c r="A52" s="115">
        <v>8.1</v>
      </c>
      <c r="B52" s="115" t="s">
        <v>1089</v>
      </c>
      <c r="C52" s="115"/>
      <c r="D52" s="115"/>
      <c r="E52" s="115" t="s">
        <v>1090</v>
      </c>
      <c r="F52" s="115" t="s">
        <v>514</v>
      </c>
      <c r="G52" s="115" t="s">
        <v>507</v>
      </c>
      <c r="H52" s="115" t="s">
        <v>1091</v>
      </c>
      <c r="I52" s="115" t="s">
        <v>425</v>
      </c>
      <c r="J52" s="115" t="s">
        <v>431</v>
      </c>
      <c r="K52" s="115" t="s">
        <v>517</v>
      </c>
      <c r="L52" s="115" t="s">
        <v>518</v>
      </c>
      <c r="M52" s="115" t="s">
        <v>1092</v>
      </c>
      <c r="N52" s="115" t="s">
        <v>1093</v>
      </c>
      <c r="O52" s="115" t="s">
        <v>1094</v>
      </c>
      <c r="P52" s="115" t="s">
        <v>1095</v>
      </c>
      <c r="Q52" s="115" t="s">
        <v>545</v>
      </c>
      <c r="R52" s="115" t="s">
        <v>572</v>
      </c>
      <c r="S52" s="115" t="s">
        <v>1096</v>
      </c>
      <c r="T52" s="115" t="s">
        <v>662</v>
      </c>
      <c r="U52" s="115" t="s">
        <v>1097</v>
      </c>
      <c r="V52" s="115" t="s">
        <v>1098</v>
      </c>
      <c r="W52" s="115" t="s">
        <v>1099</v>
      </c>
    </row>
    <row r="53" spans="1:23" ht="15">
      <c r="A53" s="115">
        <v>8.1999999999999993</v>
      </c>
      <c r="B53" s="115" t="s">
        <v>1100</v>
      </c>
      <c r="C53" s="115"/>
      <c r="D53" s="115"/>
      <c r="E53" s="115" t="s">
        <v>1101</v>
      </c>
      <c r="F53" s="115" t="s">
        <v>1102</v>
      </c>
      <c r="G53" s="115" t="s">
        <v>922</v>
      </c>
      <c r="H53" s="115" t="s">
        <v>1103</v>
      </c>
      <c r="I53" s="115" t="s">
        <v>425</v>
      </c>
      <c r="J53" s="115" t="s">
        <v>431</v>
      </c>
      <c r="K53" s="115" t="s">
        <v>517</v>
      </c>
      <c r="L53" s="115" t="s">
        <v>518</v>
      </c>
      <c r="M53" s="115" t="s">
        <v>1104</v>
      </c>
      <c r="N53" s="115" t="s">
        <v>1105</v>
      </c>
      <c r="O53" s="115" t="s">
        <v>1106</v>
      </c>
      <c r="P53" s="115" t="s">
        <v>1107</v>
      </c>
      <c r="Q53" s="115" t="s">
        <v>712</v>
      </c>
      <c r="R53" s="115" t="s">
        <v>549</v>
      </c>
      <c r="S53" s="115" t="s">
        <v>1108</v>
      </c>
      <c r="T53" s="115" t="s">
        <v>700</v>
      </c>
      <c r="U53" s="115" t="s">
        <v>1109</v>
      </c>
      <c r="V53" s="115" t="s">
        <v>1110</v>
      </c>
      <c r="W53" s="115" t="s">
        <v>1111</v>
      </c>
    </row>
  </sheetData>
  <autoFilter ref="A1:W53" xr:uid="{79E28C65-EA01-4FF8-9229-087AE3FCF8A3}"/>
  <pageMargins left="0.7" right="0.7" top="0.75" bottom="0.75" header="0.3" footer="0.3"/>
  <pageSetup paperSize="9" scale="4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5B264-DFAE-4918-90B8-1A7B90680838}">
  <sheetPr>
    <pageSetUpPr fitToPage="1"/>
  </sheetPr>
  <dimension ref="A1:S61"/>
  <sheetViews>
    <sheetView rightToLeft="1" view="pageBreakPreview" topLeftCell="D1" zoomScale="118" zoomScaleSheetLayoutView="118" workbookViewId="0">
      <selection activeCell="N8" sqref="N8"/>
    </sheetView>
  </sheetViews>
  <sheetFormatPr defaultColWidth="9" defaultRowHeight="14.25"/>
  <cols>
    <col min="1" max="1" width="9" style="108"/>
    <col min="2" max="2" width="23.625" style="108" customWidth="1"/>
    <col min="3" max="3" width="55.625" style="110" customWidth="1"/>
    <col min="4" max="4" width="11.625" style="108" customWidth="1"/>
    <col min="5" max="5" width="6.625" style="116" customWidth="1"/>
    <col min="6" max="12" width="6.625" style="108" customWidth="1"/>
    <col min="13" max="15" width="9" style="108"/>
    <col min="16" max="16" width="34.375" style="131" customWidth="1"/>
    <col min="17" max="17" width="9" style="131"/>
    <col min="18" max="18" width="9" style="131" customWidth="1"/>
    <col min="19" max="19" width="17.375" style="133" customWidth="1"/>
    <col min="20" max="16384" width="9" style="108"/>
  </cols>
  <sheetData>
    <row r="1" spans="1:19" ht="75">
      <c r="A1" s="112" t="str">
        <f>'دليل مراحل الملف'!A1</f>
        <v>كود المرحلة</v>
      </c>
      <c r="B1" s="112" t="str">
        <f>'دليل مراحل الملف'!B1</f>
        <v>المرحلة</v>
      </c>
      <c r="C1" s="534" t="s">
        <v>1118</v>
      </c>
      <c r="D1" s="539" t="s">
        <v>1114</v>
      </c>
      <c r="E1" s="537" t="s">
        <v>1136</v>
      </c>
      <c r="F1" s="535" t="s">
        <v>1137</v>
      </c>
      <c r="G1" s="120" t="s">
        <v>1130</v>
      </c>
      <c r="H1" s="120" t="s">
        <v>1131</v>
      </c>
      <c r="I1" s="120" t="s">
        <v>1112</v>
      </c>
      <c r="J1" s="120" t="s">
        <v>1132</v>
      </c>
      <c r="K1" s="120" t="s">
        <v>1133</v>
      </c>
      <c r="L1" s="120" t="s">
        <v>1113</v>
      </c>
      <c r="M1" s="531" t="s">
        <v>1135</v>
      </c>
      <c r="N1" s="531" t="s">
        <v>1138</v>
      </c>
      <c r="O1" s="531" t="s">
        <v>1139</v>
      </c>
      <c r="P1" s="529" t="s">
        <v>2042</v>
      </c>
      <c r="Q1" s="530"/>
      <c r="R1" s="530"/>
      <c r="S1" s="530"/>
    </row>
    <row r="2" spans="1:19" ht="99.75" customHeight="1">
      <c r="A2" s="112"/>
      <c r="B2" s="112"/>
      <c r="C2" s="491"/>
      <c r="D2" s="538"/>
      <c r="E2" s="538"/>
      <c r="F2" s="536"/>
      <c r="G2" s="533" t="s">
        <v>1134</v>
      </c>
      <c r="H2" s="533"/>
      <c r="I2" s="533"/>
      <c r="J2" s="533"/>
      <c r="K2" s="533"/>
      <c r="L2" s="533"/>
      <c r="M2" s="532"/>
      <c r="N2" s="532"/>
      <c r="O2" s="532"/>
      <c r="P2" s="530"/>
      <c r="Q2" s="530"/>
      <c r="R2" s="530"/>
      <c r="S2" s="530"/>
    </row>
    <row r="3" spans="1:19" ht="18" customHeight="1">
      <c r="A3" s="112"/>
      <c r="B3" s="112"/>
      <c r="C3" s="491"/>
      <c r="D3" s="538"/>
      <c r="E3" s="538"/>
      <c r="F3" s="536"/>
      <c r="G3" s="121" t="s">
        <v>564</v>
      </c>
      <c r="H3" s="121" t="s">
        <v>595</v>
      </c>
      <c r="I3" s="121" t="s">
        <v>560</v>
      </c>
      <c r="J3" s="121" t="s">
        <v>556</v>
      </c>
      <c r="K3" s="121" t="s">
        <v>645</v>
      </c>
      <c r="L3" s="121" t="s">
        <v>562</v>
      </c>
      <c r="M3" s="532"/>
      <c r="N3" s="532"/>
      <c r="O3" s="532"/>
      <c r="P3" s="530"/>
      <c r="Q3" s="530"/>
      <c r="R3" s="530"/>
      <c r="S3" s="530"/>
    </row>
    <row r="4" spans="1:19" ht="31.5">
      <c r="A4" s="112"/>
      <c r="B4" s="112"/>
      <c r="C4" s="491"/>
      <c r="D4" s="538"/>
      <c r="E4" s="538"/>
      <c r="F4" s="536"/>
      <c r="G4" s="121">
        <v>15</v>
      </c>
      <c r="H4" s="121">
        <v>15</v>
      </c>
      <c r="I4" s="121">
        <v>20</v>
      </c>
      <c r="J4" s="121">
        <v>20</v>
      </c>
      <c r="K4" s="121">
        <v>15</v>
      </c>
      <c r="L4" s="121">
        <v>15</v>
      </c>
      <c r="M4" s="532"/>
      <c r="N4" s="532"/>
      <c r="O4" s="532"/>
      <c r="P4" s="132" t="s">
        <v>2045</v>
      </c>
      <c r="Q4" s="132" t="s">
        <v>2021</v>
      </c>
      <c r="R4" s="132" t="s">
        <v>461</v>
      </c>
      <c r="S4" s="144" t="s">
        <v>460</v>
      </c>
    </row>
    <row r="5" spans="1:19" ht="15" customHeight="1">
      <c r="A5" s="114">
        <f>'دليل مراحل الملف'!A2</f>
        <v>1</v>
      </c>
      <c r="B5" s="114" t="str">
        <f>'دليل مراحل الملف'!B2</f>
        <v>قبول العميل</v>
      </c>
      <c r="C5" s="118" t="s">
        <v>1119</v>
      </c>
      <c r="D5" s="108" t="s">
        <v>579</v>
      </c>
      <c r="E5" s="116">
        <f t="shared" ref="E5:E36" si="0">IF(C5="","",LEN(C5)-LEN(SUBSTITUTE(C5,"؛",""))+1)</f>
        <v>3</v>
      </c>
      <c r="F5" s="117">
        <f t="shared" ref="F5:F36" si="1">G5+H5+I5+J5+K5+L5</f>
        <v>0.44999999999999996</v>
      </c>
      <c r="G5" s="117">
        <f t="shared" ref="G5:G36" si="2">_xlfn.LET(_xlpm.s,SUBSTITUTE(TRIM($D5),"،",","), IF(ISNUMBER(SEARCH(",E,", ","&amp;_xlpm.s&amp;",")), 15%, 0))</f>
        <v>0.15</v>
      </c>
      <c r="H5" s="117">
        <f t="shared" ref="H5:H36" si="3">_xlfn.LET(_xlpm.s,SUBSTITUTE(TRIM($D5),"،",","), IF(ISNUMBER(SEARCH(",P,", ","&amp;_xlpm.s&amp;",")), 15%, 0))</f>
        <v>0.15</v>
      </c>
      <c r="I5" s="117">
        <f t="shared" ref="I5:I36" si="4">_xlfn.LET(_xlpm.s,SUBSTITUTE(TRIM($D5),"،",","), IF(ISNUMBER(SEARCH(",C,", ","&amp;_xlpm.s&amp;",")), 20%, 0))</f>
        <v>0</v>
      </c>
      <c r="J5" s="117">
        <f t="shared" ref="J5:J36" si="5">_xlfn.LET(_xlpm.s,SUBSTITUTE(TRIM($D5),"،",","), IF(ISNUMBER(SEARCH(",A,", ","&amp;_xlpm.s&amp;",")), 20%, 0))</f>
        <v>0</v>
      </c>
      <c r="K5" s="117">
        <f t="shared" ref="K5:K36" si="6">_xlfn.LET(_xlpm.s,SUBSTITUTE(TRIM($D5),"،",","), IF(ISNUMBER(SEARCH(",R,", ","&amp;_xlpm.s&amp;",")), 15%, 0))</f>
        <v>0</v>
      </c>
      <c r="L5" s="117">
        <f t="shared" ref="L5:L36" si="7">_xlfn.LET(_xlpm.s,SUBSTITUTE(TRIM($D5),"،",","), IF(ISNUMBER(SEARCH(",D,", ","&amp;_xlpm.s&amp;",")), 15%, 0))</f>
        <v>0.15</v>
      </c>
      <c r="P5" s="149" t="s">
        <v>2022</v>
      </c>
      <c r="Q5" s="150" t="s">
        <v>433</v>
      </c>
      <c r="R5" s="150" t="s">
        <v>425</v>
      </c>
      <c r="S5" s="149" t="s">
        <v>470</v>
      </c>
    </row>
    <row r="6" spans="1:19" ht="15" customHeight="1">
      <c r="A6" s="115">
        <f>'دليل مراحل الملف'!A3</f>
        <v>1.1000000000000001</v>
      </c>
      <c r="B6" s="115" t="str">
        <f>'دليل مراحل الملف'!B3</f>
        <v>تحليل خلفية العميل</v>
      </c>
      <c r="C6" s="119" t="s">
        <v>1119</v>
      </c>
      <c r="D6" s="108" t="s">
        <v>579</v>
      </c>
      <c r="E6" s="116">
        <f t="shared" si="0"/>
        <v>3</v>
      </c>
      <c r="F6" s="117">
        <f t="shared" si="1"/>
        <v>0.44999999999999996</v>
      </c>
      <c r="G6" s="117">
        <f t="shared" si="2"/>
        <v>0.15</v>
      </c>
      <c r="H6" s="117">
        <f t="shared" si="3"/>
        <v>0.15</v>
      </c>
      <c r="I6" s="117">
        <f t="shared" si="4"/>
        <v>0</v>
      </c>
      <c r="J6" s="117">
        <f t="shared" si="5"/>
        <v>0</v>
      </c>
      <c r="K6" s="117">
        <f t="shared" si="6"/>
        <v>0</v>
      </c>
      <c r="L6" s="117">
        <f t="shared" si="7"/>
        <v>0.15</v>
      </c>
      <c r="P6" s="149" t="s">
        <v>2023</v>
      </c>
      <c r="Q6" s="150" t="s">
        <v>433</v>
      </c>
      <c r="R6" s="150" t="s">
        <v>425</v>
      </c>
      <c r="S6" s="149" t="s">
        <v>470</v>
      </c>
    </row>
    <row r="7" spans="1:19" ht="15" customHeight="1">
      <c r="A7" s="108" t="str">
        <f>'دليل مراحل الملف'!A4</f>
        <v>1.1.1</v>
      </c>
      <c r="B7" s="108" t="str">
        <f>'دليل مراحل الملف'!B4</f>
        <v>فحص الوضع المالي</v>
      </c>
      <c r="C7" s="110" t="s">
        <v>1119</v>
      </c>
      <c r="D7" s="108" t="s">
        <v>579</v>
      </c>
      <c r="E7" s="116">
        <f t="shared" si="0"/>
        <v>3</v>
      </c>
      <c r="F7" s="117">
        <f t="shared" si="1"/>
        <v>0.44999999999999996</v>
      </c>
      <c r="G7" s="117">
        <f t="shared" si="2"/>
        <v>0.15</v>
      </c>
      <c r="H7" s="117">
        <f t="shared" si="3"/>
        <v>0.15</v>
      </c>
      <c r="I7" s="117">
        <f t="shared" si="4"/>
        <v>0</v>
      </c>
      <c r="J7" s="117">
        <f t="shared" si="5"/>
        <v>0</v>
      </c>
      <c r="K7" s="117">
        <f t="shared" si="6"/>
        <v>0</v>
      </c>
      <c r="L7" s="117">
        <f t="shared" si="7"/>
        <v>0.15</v>
      </c>
      <c r="P7" s="149" t="s">
        <v>2024</v>
      </c>
      <c r="Q7" s="150" t="s">
        <v>433</v>
      </c>
      <c r="R7" s="150" t="s">
        <v>425</v>
      </c>
      <c r="S7" s="149" t="s">
        <v>470</v>
      </c>
    </row>
    <row r="8" spans="1:19" ht="15" customHeight="1">
      <c r="A8" s="108" t="str">
        <f>'دليل مراحل الملف'!A5</f>
        <v>1.1.2</v>
      </c>
      <c r="B8" s="108" t="str">
        <f>'دليل مراحل الملف'!B5</f>
        <v>فحص السمعة</v>
      </c>
      <c r="C8" s="110" t="s">
        <v>1119</v>
      </c>
      <c r="D8" s="108" t="s">
        <v>579</v>
      </c>
      <c r="E8" s="116">
        <f t="shared" si="0"/>
        <v>3</v>
      </c>
      <c r="F8" s="117">
        <f t="shared" si="1"/>
        <v>0.44999999999999996</v>
      </c>
      <c r="G8" s="117">
        <f t="shared" si="2"/>
        <v>0.15</v>
      </c>
      <c r="H8" s="117">
        <f t="shared" si="3"/>
        <v>0.15</v>
      </c>
      <c r="I8" s="117">
        <f t="shared" si="4"/>
        <v>0</v>
      </c>
      <c r="J8" s="117">
        <f t="shared" si="5"/>
        <v>0</v>
      </c>
      <c r="K8" s="117">
        <f t="shared" si="6"/>
        <v>0</v>
      </c>
      <c r="L8" s="117">
        <f t="shared" si="7"/>
        <v>0.15</v>
      </c>
      <c r="P8" s="149" t="s">
        <v>2025</v>
      </c>
      <c r="Q8" s="150" t="s">
        <v>433</v>
      </c>
      <c r="R8" s="150" t="s">
        <v>425</v>
      </c>
      <c r="S8" s="149" t="s">
        <v>470</v>
      </c>
    </row>
    <row r="9" spans="1:19" ht="15" customHeight="1">
      <c r="A9" s="108">
        <f>'دليل مراحل الملف'!A6</f>
        <v>1.2</v>
      </c>
      <c r="B9" s="108" t="str">
        <f>'دليل مراحل الملف'!B6</f>
        <v>توثيق قبول العميل</v>
      </c>
      <c r="C9" s="110" t="s">
        <v>1119</v>
      </c>
      <c r="D9" s="108" t="s">
        <v>579</v>
      </c>
      <c r="E9" s="116">
        <f t="shared" si="0"/>
        <v>3</v>
      </c>
      <c r="F9" s="117">
        <f t="shared" si="1"/>
        <v>0.44999999999999996</v>
      </c>
      <c r="G9" s="117">
        <f t="shared" si="2"/>
        <v>0.15</v>
      </c>
      <c r="H9" s="117">
        <f t="shared" si="3"/>
        <v>0.15</v>
      </c>
      <c r="I9" s="117">
        <f t="shared" si="4"/>
        <v>0</v>
      </c>
      <c r="J9" s="117">
        <f t="shared" si="5"/>
        <v>0</v>
      </c>
      <c r="K9" s="117">
        <f t="shared" si="6"/>
        <v>0</v>
      </c>
      <c r="L9" s="117">
        <f t="shared" si="7"/>
        <v>0.15</v>
      </c>
      <c r="P9" s="149" t="s">
        <v>2024</v>
      </c>
      <c r="Q9" s="150"/>
      <c r="R9" s="150"/>
      <c r="S9" s="149" t="s">
        <v>470</v>
      </c>
    </row>
    <row r="10" spans="1:19" ht="15" customHeight="1">
      <c r="A10" s="108" t="str">
        <f>'دليل مراحل الملف'!A7</f>
        <v>1.2.1</v>
      </c>
      <c r="B10" s="108" t="str">
        <f>'دليل مراحل الملف'!B7</f>
        <v>حفظ المستندات</v>
      </c>
      <c r="C10" s="110" t="s">
        <v>1119</v>
      </c>
      <c r="D10" s="108" t="s">
        <v>579</v>
      </c>
      <c r="E10" s="116">
        <f t="shared" si="0"/>
        <v>3</v>
      </c>
      <c r="F10" s="117">
        <f t="shared" si="1"/>
        <v>0.44999999999999996</v>
      </c>
      <c r="G10" s="117">
        <f t="shared" si="2"/>
        <v>0.15</v>
      </c>
      <c r="H10" s="117">
        <f t="shared" si="3"/>
        <v>0.15</v>
      </c>
      <c r="I10" s="117">
        <f t="shared" si="4"/>
        <v>0</v>
      </c>
      <c r="J10" s="117">
        <f t="shared" si="5"/>
        <v>0</v>
      </c>
      <c r="K10" s="117">
        <f t="shared" si="6"/>
        <v>0</v>
      </c>
      <c r="L10" s="117">
        <f t="shared" si="7"/>
        <v>0.15</v>
      </c>
      <c r="P10" s="149" t="s">
        <v>2026</v>
      </c>
      <c r="Q10" s="150"/>
      <c r="R10" s="150"/>
      <c r="S10" s="149" t="s">
        <v>470</v>
      </c>
    </row>
    <row r="11" spans="1:19" ht="15" customHeight="1">
      <c r="A11" s="108" t="str">
        <f>'دليل مراحل الملف'!A8</f>
        <v>1.2.2</v>
      </c>
      <c r="B11" s="108" t="str">
        <f>'دليل مراحل الملف'!B8</f>
        <v>التأكيد مع العميل</v>
      </c>
      <c r="C11" s="110" t="s">
        <v>1119</v>
      </c>
      <c r="D11" s="108" t="s">
        <v>579</v>
      </c>
      <c r="E11" s="116">
        <f t="shared" si="0"/>
        <v>3</v>
      </c>
      <c r="F11" s="117">
        <f t="shared" si="1"/>
        <v>0.44999999999999996</v>
      </c>
      <c r="G11" s="117">
        <f t="shared" si="2"/>
        <v>0.15</v>
      </c>
      <c r="H11" s="117">
        <f t="shared" si="3"/>
        <v>0.15</v>
      </c>
      <c r="I11" s="117">
        <f t="shared" si="4"/>
        <v>0</v>
      </c>
      <c r="J11" s="117">
        <f t="shared" si="5"/>
        <v>0</v>
      </c>
      <c r="K11" s="117">
        <f t="shared" si="6"/>
        <v>0</v>
      </c>
      <c r="L11" s="117">
        <f t="shared" si="7"/>
        <v>0.15</v>
      </c>
      <c r="P11" s="149" t="s">
        <v>2024</v>
      </c>
      <c r="Q11" s="150"/>
      <c r="R11" s="150"/>
      <c r="S11" s="149" t="s">
        <v>470</v>
      </c>
    </row>
    <row r="12" spans="1:19" ht="15" customHeight="1">
      <c r="A12" s="114">
        <f>'دليل مراحل الملف'!A9</f>
        <v>2</v>
      </c>
      <c r="B12" s="114" t="str">
        <f>'دليل مراحل الملف'!B9</f>
        <v>الاستقلالية</v>
      </c>
      <c r="C12" s="118" t="s">
        <v>1120</v>
      </c>
      <c r="D12" s="108" t="s">
        <v>592</v>
      </c>
      <c r="E12" s="116">
        <f t="shared" si="0"/>
        <v>2</v>
      </c>
      <c r="F12" s="117">
        <f t="shared" si="1"/>
        <v>0.3</v>
      </c>
      <c r="G12" s="117">
        <f t="shared" si="2"/>
        <v>0.15</v>
      </c>
      <c r="H12" s="117">
        <f t="shared" si="3"/>
        <v>0</v>
      </c>
      <c r="I12" s="117">
        <f t="shared" si="4"/>
        <v>0</v>
      </c>
      <c r="J12" s="117">
        <f t="shared" si="5"/>
        <v>0</v>
      </c>
      <c r="K12" s="117">
        <f t="shared" si="6"/>
        <v>0</v>
      </c>
      <c r="L12" s="117">
        <f t="shared" si="7"/>
        <v>0.15</v>
      </c>
      <c r="P12" s="149" t="s">
        <v>2027</v>
      </c>
      <c r="Q12" s="150"/>
      <c r="R12" s="150"/>
      <c r="S12" s="149" t="s">
        <v>477</v>
      </c>
    </row>
    <row r="13" spans="1:19" ht="15" customHeight="1">
      <c r="A13" s="115">
        <f>'دليل مراحل الملف'!A10</f>
        <v>2.1</v>
      </c>
      <c r="B13" s="115" t="str">
        <f>'دليل مراحل الملف'!B10</f>
        <v>فحص تضارب المصالح</v>
      </c>
      <c r="C13" s="119" t="s">
        <v>1120</v>
      </c>
      <c r="D13" s="108" t="s">
        <v>592</v>
      </c>
      <c r="E13" s="116">
        <f t="shared" si="0"/>
        <v>2</v>
      </c>
      <c r="F13" s="117">
        <f t="shared" si="1"/>
        <v>0.3</v>
      </c>
      <c r="G13" s="117">
        <f t="shared" si="2"/>
        <v>0.15</v>
      </c>
      <c r="H13" s="117">
        <f t="shared" si="3"/>
        <v>0</v>
      </c>
      <c r="I13" s="117">
        <f t="shared" si="4"/>
        <v>0</v>
      </c>
      <c r="J13" s="117">
        <f t="shared" si="5"/>
        <v>0</v>
      </c>
      <c r="K13" s="117">
        <f t="shared" si="6"/>
        <v>0</v>
      </c>
      <c r="L13" s="117">
        <f t="shared" si="7"/>
        <v>0.15</v>
      </c>
      <c r="P13" s="149" t="s">
        <v>2028</v>
      </c>
      <c r="Q13" s="150"/>
      <c r="R13" s="150"/>
      <c r="S13" s="149" t="s">
        <v>477</v>
      </c>
    </row>
    <row r="14" spans="1:19" ht="15" customHeight="1">
      <c r="A14" s="108" t="str">
        <f>'دليل مراحل الملف'!A11</f>
        <v>2.1.1</v>
      </c>
      <c r="B14" s="108" t="str">
        <f>'دليل مراحل الملف'!B11</f>
        <v>مراجعة التعيينات السابقة</v>
      </c>
      <c r="C14" s="110" t="s">
        <v>1120</v>
      </c>
      <c r="D14" s="108" t="s">
        <v>592</v>
      </c>
      <c r="E14" s="116">
        <f t="shared" si="0"/>
        <v>2</v>
      </c>
      <c r="F14" s="117">
        <f t="shared" si="1"/>
        <v>0.3</v>
      </c>
      <c r="G14" s="117">
        <f t="shared" si="2"/>
        <v>0.15</v>
      </c>
      <c r="H14" s="117">
        <f t="shared" si="3"/>
        <v>0</v>
      </c>
      <c r="I14" s="117">
        <f t="shared" si="4"/>
        <v>0</v>
      </c>
      <c r="J14" s="117">
        <f t="shared" si="5"/>
        <v>0</v>
      </c>
      <c r="K14" s="117">
        <f t="shared" si="6"/>
        <v>0</v>
      </c>
      <c r="L14" s="117">
        <f t="shared" si="7"/>
        <v>0.15</v>
      </c>
      <c r="P14" s="149" t="s">
        <v>2028</v>
      </c>
      <c r="Q14" s="150"/>
      <c r="R14" s="150"/>
      <c r="S14" s="149" t="s">
        <v>477</v>
      </c>
    </row>
    <row r="15" spans="1:19" ht="15" customHeight="1">
      <c r="A15" s="108" t="str">
        <f>'دليل مراحل الملف'!A12</f>
        <v>2.1.2</v>
      </c>
      <c r="B15" s="108" t="str">
        <f>'دليل مراحل الملف'!B12</f>
        <v>مراجعة العلاقات الشخصية</v>
      </c>
      <c r="C15" s="110" t="s">
        <v>1120</v>
      </c>
      <c r="D15" s="108" t="s">
        <v>592</v>
      </c>
      <c r="E15" s="116">
        <f t="shared" si="0"/>
        <v>2</v>
      </c>
      <c r="F15" s="117">
        <f t="shared" si="1"/>
        <v>0.3</v>
      </c>
      <c r="G15" s="117">
        <f t="shared" si="2"/>
        <v>0.15</v>
      </c>
      <c r="H15" s="117">
        <f t="shared" si="3"/>
        <v>0</v>
      </c>
      <c r="I15" s="117">
        <f t="shared" si="4"/>
        <v>0</v>
      </c>
      <c r="J15" s="117">
        <f t="shared" si="5"/>
        <v>0</v>
      </c>
      <c r="K15" s="117">
        <f t="shared" si="6"/>
        <v>0</v>
      </c>
      <c r="L15" s="117">
        <f t="shared" si="7"/>
        <v>0.15</v>
      </c>
      <c r="P15" s="149" t="s">
        <v>2028</v>
      </c>
      <c r="Q15" s="150"/>
      <c r="R15" s="150"/>
      <c r="S15" s="149" t="s">
        <v>477</v>
      </c>
    </row>
    <row r="16" spans="1:19" ht="15" customHeight="1">
      <c r="A16" s="108">
        <f>'دليل مراحل الملف'!A13</f>
        <v>2.2000000000000002</v>
      </c>
      <c r="B16" s="108" t="str">
        <f>'دليل مراحل الملف'!B13</f>
        <v>اعتماد الاستقلالية</v>
      </c>
      <c r="C16" s="110" t="s">
        <v>1120</v>
      </c>
      <c r="D16" s="108" t="s">
        <v>592</v>
      </c>
      <c r="E16" s="116">
        <f t="shared" si="0"/>
        <v>2</v>
      </c>
      <c r="F16" s="117">
        <f t="shared" si="1"/>
        <v>0.3</v>
      </c>
      <c r="G16" s="117">
        <f t="shared" si="2"/>
        <v>0.15</v>
      </c>
      <c r="H16" s="117">
        <f t="shared" si="3"/>
        <v>0</v>
      </c>
      <c r="I16" s="117">
        <f t="shared" si="4"/>
        <v>0</v>
      </c>
      <c r="J16" s="117">
        <f t="shared" si="5"/>
        <v>0</v>
      </c>
      <c r="K16" s="117">
        <f t="shared" si="6"/>
        <v>0</v>
      </c>
      <c r="L16" s="117">
        <f t="shared" si="7"/>
        <v>0.15</v>
      </c>
      <c r="P16" s="149" t="s">
        <v>2024</v>
      </c>
      <c r="Q16" s="150"/>
      <c r="R16" s="150"/>
      <c r="S16" s="149" t="s">
        <v>477</v>
      </c>
    </row>
    <row r="17" spans="1:19" ht="15" customHeight="1">
      <c r="A17" s="108" t="str">
        <f>'دليل مراحل الملف'!A14</f>
        <v>2.2.1</v>
      </c>
      <c r="B17" s="108" t="str">
        <f>'دليل مراحل الملف'!B14</f>
        <v>حفظ النماذج</v>
      </c>
      <c r="C17" s="110" t="s">
        <v>1120</v>
      </c>
      <c r="D17" s="108" t="s">
        <v>592</v>
      </c>
      <c r="E17" s="116">
        <f t="shared" si="0"/>
        <v>2</v>
      </c>
      <c r="F17" s="117">
        <f t="shared" si="1"/>
        <v>0.3</v>
      </c>
      <c r="G17" s="117">
        <f t="shared" si="2"/>
        <v>0.15</v>
      </c>
      <c r="H17" s="117">
        <f t="shared" si="3"/>
        <v>0</v>
      </c>
      <c r="I17" s="117">
        <f t="shared" si="4"/>
        <v>0</v>
      </c>
      <c r="J17" s="117">
        <f t="shared" si="5"/>
        <v>0</v>
      </c>
      <c r="K17" s="117">
        <f t="shared" si="6"/>
        <v>0</v>
      </c>
      <c r="L17" s="117">
        <f t="shared" si="7"/>
        <v>0.15</v>
      </c>
      <c r="P17" s="149" t="s">
        <v>2024</v>
      </c>
      <c r="Q17" s="150"/>
      <c r="R17" s="150"/>
      <c r="S17" s="149" t="s">
        <v>477</v>
      </c>
    </row>
    <row r="18" spans="1:19" ht="15" customHeight="1">
      <c r="A18" s="108" t="str">
        <f>'دليل مراحل الملف'!A15</f>
        <v>2.2.2</v>
      </c>
      <c r="B18" s="108" t="str">
        <f>'دليل مراحل الملف'!B15</f>
        <v>مراجعة دورية</v>
      </c>
      <c r="C18" s="110" t="s">
        <v>1120</v>
      </c>
      <c r="D18" s="108" t="s">
        <v>592</v>
      </c>
      <c r="E18" s="116">
        <f t="shared" si="0"/>
        <v>2</v>
      </c>
      <c r="F18" s="117">
        <f t="shared" si="1"/>
        <v>0.3</v>
      </c>
      <c r="G18" s="117">
        <f t="shared" si="2"/>
        <v>0.15</v>
      </c>
      <c r="H18" s="117">
        <f t="shared" si="3"/>
        <v>0</v>
      </c>
      <c r="I18" s="117">
        <f t="shared" si="4"/>
        <v>0</v>
      </c>
      <c r="J18" s="117">
        <f t="shared" si="5"/>
        <v>0</v>
      </c>
      <c r="K18" s="117">
        <f t="shared" si="6"/>
        <v>0</v>
      </c>
      <c r="L18" s="117">
        <f t="shared" si="7"/>
        <v>0.15</v>
      </c>
      <c r="P18" s="149" t="s">
        <v>2024</v>
      </c>
      <c r="Q18" s="150"/>
      <c r="R18" s="150"/>
      <c r="S18" s="149" t="s">
        <v>477</v>
      </c>
    </row>
    <row r="19" spans="1:19" ht="15" customHeight="1">
      <c r="A19" s="114">
        <f>'دليل مراحل الملف'!A16</f>
        <v>3</v>
      </c>
      <c r="B19" s="114" t="str">
        <f>'دليل مراحل الملف'!B16</f>
        <v>الأهمية النسبية</v>
      </c>
      <c r="C19" s="118" t="s">
        <v>1121</v>
      </c>
      <c r="D19" s="108" t="s">
        <v>601</v>
      </c>
      <c r="E19" s="116">
        <f t="shared" si="0"/>
        <v>2</v>
      </c>
      <c r="F19" s="117">
        <f t="shared" si="1"/>
        <v>0.3</v>
      </c>
      <c r="G19" s="117">
        <f t="shared" si="2"/>
        <v>0</v>
      </c>
      <c r="H19" s="117">
        <f t="shared" si="3"/>
        <v>0.15</v>
      </c>
      <c r="I19" s="117">
        <f t="shared" si="4"/>
        <v>0</v>
      </c>
      <c r="J19" s="117">
        <f t="shared" si="5"/>
        <v>0</v>
      </c>
      <c r="K19" s="117">
        <f t="shared" si="6"/>
        <v>0</v>
      </c>
      <c r="L19" s="117">
        <f t="shared" si="7"/>
        <v>0.15</v>
      </c>
      <c r="P19" s="149" t="s">
        <v>2024</v>
      </c>
      <c r="Q19" s="150" t="s">
        <v>483</v>
      </c>
      <c r="R19" s="150" t="s">
        <v>482</v>
      </c>
      <c r="S19" s="149" t="s">
        <v>484</v>
      </c>
    </row>
    <row r="20" spans="1:19" ht="15" customHeight="1">
      <c r="A20" s="115">
        <f>'دليل مراحل الملف'!A17</f>
        <v>3.1</v>
      </c>
      <c r="B20" s="115" t="str">
        <f>'دليل مراحل الملف'!B17</f>
        <v>تحديد العتبات</v>
      </c>
      <c r="C20" s="119" t="s">
        <v>1121</v>
      </c>
      <c r="D20" s="108" t="s">
        <v>601</v>
      </c>
      <c r="E20" s="116">
        <f t="shared" si="0"/>
        <v>2</v>
      </c>
      <c r="F20" s="117">
        <f t="shared" si="1"/>
        <v>0.3</v>
      </c>
      <c r="G20" s="117">
        <f t="shared" si="2"/>
        <v>0</v>
      </c>
      <c r="H20" s="117">
        <f t="shared" si="3"/>
        <v>0.15</v>
      </c>
      <c r="I20" s="117">
        <f t="shared" si="4"/>
        <v>0</v>
      </c>
      <c r="J20" s="117">
        <f t="shared" si="5"/>
        <v>0</v>
      </c>
      <c r="K20" s="117">
        <f t="shared" si="6"/>
        <v>0</v>
      </c>
      <c r="L20" s="117">
        <f t="shared" si="7"/>
        <v>0.15</v>
      </c>
      <c r="P20" s="149"/>
      <c r="Q20" s="150" t="s">
        <v>483</v>
      </c>
      <c r="R20" s="150" t="s">
        <v>482</v>
      </c>
      <c r="S20" s="149" t="s">
        <v>484</v>
      </c>
    </row>
    <row r="21" spans="1:19" ht="15" customHeight="1">
      <c r="A21" s="108" t="str">
        <f>'دليل مراحل الملف'!A18</f>
        <v>3.1.1</v>
      </c>
      <c r="B21" s="108" t="str">
        <f>'دليل مراحل الملف'!B18</f>
        <v>تحليل المخاطر</v>
      </c>
      <c r="C21" s="110" t="s">
        <v>1121</v>
      </c>
      <c r="D21" s="108" t="s">
        <v>601</v>
      </c>
      <c r="E21" s="116">
        <f t="shared" si="0"/>
        <v>2</v>
      </c>
      <c r="F21" s="117">
        <f t="shared" si="1"/>
        <v>0.3</v>
      </c>
      <c r="G21" s="117">
        <f t="shared" si="2"/>
        <v>0</v>
      </c>
      <c r="H21" s="117">
        <f t="shared" si="3"/>
        <v>0.15</v>
      </c>
      <c r="I21" s="117">
        <f t="shared" si="4"/>
        <v>0</v>
      </c>
      <c r="J21" s="117">
        <f t="shared" si="5"/>
        <v>0</v>
      </c>
      <c r="K21" s="117">
        <f t="shared" si="6"/>
        <v>0</v>
      </c>
      <c r="L21" s="117">
        <f t="shared" si="7"/>
        <v>0.15</v>
      </c>
      <c r="P21" s="149" t="s">
        <v>2029</v>
      </c>
      <c r="Q21" s="150"/>
      <c r="R21" s="150"/>
      <c r="S21" s="149" t="s">
        <v>2030</v>
      </c>
    </row>
    <row r="22" spans="1:19" ht="15" customHeight="1">
      <c r="A22" s="108" t="str">
        <f>'دليل مراحل الملف'!A19</f>
        <v>3.1.2</v>
      </c>
      <c r="B22" s="108" t="str">
        <f>'دليل مراحل الملف'!B19</f>
        <v>توثيق الأحكام المهنية</v>
      </c>
      <c r="C22" s="110" t="s">
        <v>1121</v>
      </c>
      <c r="D22" s="108" t="s">
        <v>601</v>
      </c>
      <c r="E22" s="116">
        <f t="shared" si="0"/>
        <v>2</v>
      </c>
      <c r="F22" s="117">
        <f t="shared" si="1"/>
        <v>0.3</v>
      </c>
      <c r="G22" s="117">
        <f t="shared" si="2"/>
        <v>0</v>
      </c>
      <c r="H22" s="117">
        <f t="shared" si="3"/>
        <v>0.15</v>
      </c>
      <c r="I22" s="117">
        <f t="shared" si="4"/>
        <v>0</v>
      </c>
      <c r="J22" s="117">
        <f t="shared" si="5"/>
        <v>0</v>
      </c>
      <c r="K22" s="117">
        <f t="shared" si="6"/>
        <v>0</v>
      </c>
      <c r="L22" s="117">
        <f t="shared" si="7"/>
        <v>0.15</v>
      </c>
      <c r="P22" s="149" t="s">
        <v>2024</v>
      </c>
      <c r="Q22" s="150"/>
      <c r="R22" s="150"/>
      <c r="S22" s="149" t="s">
        <v>484</v>
      </c>
    </row>
    <row r="23" spans="1:19" ht="15" customHeight="1">
      <c r="A23" s="108">
        <f>'دليل مراحل الملف'!A20</f>
        <v>3.2</v>
      </c>
      <c r="B23" s="108" t="str">
        <f>'دليل مراحل الملف'!B20</f>
        <v>اعتماد الأهمية</v>
      </c>
      <c r="C23" s="110" t="s">
        <v>1121</v>
      </c>
      <c r="D23" s="108" t="s">
        <v>601</v>
      </c>
      <c r="E23" s="116">
        <f t="shared" si="0"/>
        <v>2</v>
      </c>
      <c r="F23" s="117">
        <f t="shared" si="1"/>
        <v>0.3</v>
      </c>
      <c r="G23" s="117">
        <f t="shared" si="2"/>
        <v>0</v>
      </c>
      <c r="H23" s="117">
        <f t="shared" si="3"/>
        <v>0.15</v>
      </c>
      <c r="I23" s="117">
        <f t="shared" si="4"/>
        <v>0</v>
      </c>
      <c r="J23" s="117">
        <f t="shared" si="5"/>
        <v>0</v>
      </c>
      <c r="K23" s="117">
        <f t="shared" si="6"/>
        <v>0</v>
      </c>
      <c r="L23" s="117">
        <f t="shared" si="7"/>
        <v>0.15</v>
      </c>
      <c r="P23" s="149" t="s">
        <v>2031</v>
      </c>
      <c r="Q23" s="150"/>
      <c r="R23" s="150"/>
      <c r="S23" s="149" t="s">
        <v>484</v>
      </c>
    </row>
    <row r="24" spans="1:19" ht="15" customHeight="1">
      <c r="A24" s="108" t="str">
        <f>'دليل مراحل الملف'!A21</f>
        <v>3.2.1</v>
      </c>
      <c r="B24" s="108" t="str">
        <f>'دليل مراحل الملف'!B21</f>
        <v>مراجعة دورية</v>
      </c>
      <c r="C24" s="110" t="s">
        <v>1121</v>
      </c>
      <c r="D24" s="108" t="s">
        <v>601</v>
      </c>
      <c r="E24" s="116">
        <f t="shared" si="0"/>
        <v>2</v>
      </c>
      <c r="F24" s="117">
        <f t="shared" si="1"/>
        <v>0.3</v>
      </c>
      <c r="G24" s="117">
        <f t="shared" si="2"/>
        <v>0</v>
      </c>
      <c r="H24" s="117">
        <f t="shared" si="3"/>
        <v>0.15</v>
      </c>
      <c r="I24" s="117">
        <f t="shared" si="4"/>
        <v>0</v>
      </c>
      <c r="J24" s="117">
        <f t="shared" si="5"/>
        <v>0</v>
      </c>
      <c r="K24" s="117">
        <f t="shared" si="6"/>
        <v>0</v>
      </c>
      <c r="L24" s="117">
        <f t="shared" si="7"/>
        <v>0.15</v>
      </c>
      <c r="P24" s="149"/>
      <c r="Q24" s="150"/>
      <c r="R24" s="150"/>
      <c r="S24" s="149" t="s">
        <v>484</v>
      </c>
    </row>
    <row r="25" spans="1:19" ht="15" customHeight="1">
      <c r="A25" s="108" t="str">
        <f>'دليل مراحل الملف'!A22</f>
        <v>3.2.2</v>
      </c>
      <c r="B25" s="108" t="str">
        <f>'دليل مراحل الملف'!B22</f>
        <v>مشاركة الفريق</v>
      </c>
      <c r="C25" s="110" t="s">
        <v>1121</v>
      </c>
      <c r="D25" s="108" t="s">
        <v>601</v>
      </c>
      <c r="E25" s="116">
        <f t="shared" si="0"/>
        <v>2</v>
      </c>
      <c r="F25" s="117">
        <f t="shared" si="1"/>
        <v>0.3</v>
      </c>
      <c r="G25" s="117">
        <f t="shared" si="2"/>
        <v>0</v>
      </c>
      <c r="H25" s="117">
        <f t="shared" si="3"/>
        <v>0.15</v>
      </c>
      <c r="I25" s="117">
        <f t="shared" si="4"/>
        <v>0</v>
      </c>
      <c r="J25" s="117">
        <f t="shared" si="5"/>
        <v>0</v>
      </c>
      <c r="K25" s="117">
        <f t="shared" si="6"/>
        <v>0</v>
      </c>
      <c r="L25" s="117">
        <f t="shared" si="7"/>
        <v>0.15</v>
      </c>
      <c r="P25" s="149"/>
      <c r="Q25" s="150"/>
      <c r="R25" s="150"/>
      <c r="S25" s="149" t="s">
        <v>484</v>
      </c>
    </row>
    <row r="26" spans="1:19" ht="15" customHeight="1">
      <c r="A26" s="114">
        <f>'دليل مراحل الملف'!A23</f>
        <v>4</v>
      </c>
      <c r="B26" s="114" t="str">
        <f>'دليل مراحل الملف'!B23</f>
        <v>تقييم الرقابة الداخلية</v>
      </c>
      <c r="C26" s="118" t="s">
        <v>1122</v>
      </c>
      <c r="D26" s="108" t="s">
        <v>1115</v>
      </c>
      <c r="E26" s="116">
        <f t="shared" si="0"/>
        <v>3</v>
      </c>
      <c r="F26" s="117">
        <f t="shared" si="1"/>
        <v>0.5</v>
      </c>
      <c r="G26" s="117">
        <f t="shared" si="2"/>
        <v>0</v>
      </c>
      <c r="H26" s="117">
        <f t="shared" si="3"/>
        <v>0.15</v>
      </c>
      <c r="I26" s="117">
        <f t="shared" si="4"/>
        <v>0.2</v>
      </c>
      <c r="J26" s="117">
        <f t="shared" si="5"/>
        <v>0</v>
      </c>
      <c r="K26" s="117">
        <f t="shared" si="6"/>
        <v>0</v>
      </c>
      <c r="L26" s="117">
        <f t="shared" si="7"/>
        <v>0.15</v>
      </c>
      <c r="P26" s="149" t="s">
        <v>2032</v>
      </c>
      <c r="Q26" s="150" t="s">
        <v>416</v>
      </c>
      <c r="R26" s="150" t="s">
        <v>412</v>
      </c>
      <c r="S26" s="149" t="s">
        <v>432</v>
      </c>
    </row>
    <row r="27" spans="1:19" ht="15" customHeight="1">
      <c r="A27" s="115">
        <f>'دليل مراحل الملف'!A24</f>
        <v>4.0999999999999996</v>
      </c>
      <c r="B27" s="115" t="str">
        <f>'دليل مراحل الملف'!B24</f>
        <v>تقييم التصميم</v>
      </c>
      <c r="C27" s="119" t="s">
        <v>1122</v>
      </c>
      <c r="D27" s="108" t="s">
        <v>1115</v>
      </c>
      <c r="E27" s="116">
        <f t="shared" si="0"/>
        <v>3</v>
      </c>
      <c r="F27" s="117">
        <f t="shared" si="1"/>
        <v>0.5</v>
      </c>
      <c r="G27" s="117">
        <f t="shared" si="2"/>
        <v>0</v>
      </c>
      <c r="H27" s="117">
        <f t="shared" si="3"/>
        <v>0.15</v>
      </c>
      <c r="I27" s="117">
        <f t="shared" si="4"/>
        <v>0.2</v>
      </c>
      <c r="J27" s="117">
        <f t="shared" si="5"/>
        <v>0</v>
      </c>
      <c r="K27" s="117">
        <f t="shared" si="6"/>
        <v>0</v>
      </c>
      <c r="L27" s="117">
        <f t="shared" si="7"/>
        <v>0.15</v>
      </c>
      <c r="P27" s="149" t="s">
        <v>2029</v>
      </c>
      <c r="Q27" s="150"/>
      <c r="R27" s="150"/>
      <c r="S27" s="149" t="s">
        <v>432</v>
      </c>
    </row>
    <row r="28" spans="1:19" ht="15" customHeight="1">
      <c r="A28" s="108" t="str">
        <f>'دليل مراحل الملف'!A25</f>
        <v>4.1.1</v>
      </c>
      <c r="B28" s="108" t="str">
        <f>'دليل مراحل الملف'!B25</f>
        <v>اختبار التنفيذ</v>
      </c>
      <c r="C28" s="110" t="s">
        <v>1123</v>
      </c>
      <c r="D28" s="108" t="s">
        <v>1117</v>
      </c>
      <c r="E28" s="116">
        <f t="shared" si="0"/>
        <v>4</v>
      </c>
      <c r="F28" s="117">
        <f t="shared" si="1"/>
        <v>0.70000000000000007</v>
      </c>
      <c r="G28" s="117">
        <f t="shared" si="2"/>
        <v>0</v>
      </c>
      <c r="H28" s="117">
        <f t="shared" si="3"/>
        <v>0.15</v>
      </c>
      <c r="I28" s="117">
        <f t="shared" si="4"/>
        <v>0.2</v>
      </c>
      <c r="J28" s="117">
        <f t="shared" si="5"/>
        <v>0.2</v>
      </c>
      <c r="K28" s="117">
        <f t="shared" si="6"/>
        <v>0</v>
      </c>
      <c r="L28" s="117">
        <f t="shared" si="7"/>
        <v>0.15</v>
      </c>
      <c r="P28" s="149" t="s">
        <v>2033</v>
      </c>
      <c r="Q28" s="150"/>
      <c r="R28" s="150"/>
      <c r="S28" s="149" t="s">
        <v>2034</v>
      </c>
    </row>
    <row r="29" spans="1:19" ht="15" customHeight="1">
      <c r="A29" s="108" t="str">
        <f>'دليل مراحل الملف'!A26</f>
        <v>4.1.2</v>
      </c>
      <c r="B29" s="108" t="str">
        <f>'دليل مراحل الملف'!B26</f>
        <v>تقييم فعالية الرقابة</v>
      </c>
      <c r="C29" s="110" t="s">
        <v>1122</v>
      </c>
      <c r="D29" s="108" t="s">
        <v>1115</v>
      </c>
      <c r="E29" s="116">
        <f t="shared" si="0"/>
        <v>3</v>
      </c>
      <c r="F29" s="117">
        <f t="shared" si="1"/>
        <v>0.5</v>
      </c>
      <c r="G29" s="117">
        <f t="shared" si="2"/>
        <v>0</v>
      </c>
      <c r="H29" s="117">
        <f t="shared" si="3"/>
        <v>0.15</v>
      </c>
      <c r="I29" s="117">
        <f t="shared" si="4"/>
        <v>0.2</v>
      </c>
      <c r="J29" s="117">
        <f t="shared" si="5"/>
        <v>0</v>
      </c>
      <c r="K29" s="117">
        <f t="shared" si="6"/>
        <v>0</v>
      </c>
      <c r="L29" s="117">
        <f t="shared" si="7"/>
        <v>0.15</v>
      </c>
      <c r="P29" s="149" t="s">
        <v>2029</v>
      </c>
      <c r="Q29" s="150"/>
      <c r="R29" s="150"/>
      <c r="S29" s="149" t="s">
        <v>432</v>
      </c>
    </row>
    <row r="30" spans="1:19" ht="15" customHeight="1">
      <c r="A30" s="108">
        <f>'دليل مراحل الملف'!A27</f>
        <v>4.2</v>
      </c>
      <c r="B30" s="108" t="str">
        <f>'دليل مراحل الملف'!B27</f>
        <v>توثيق النتائج</v>
      </c>
      <c r="C30" s="110" t="s">
        <v>1124</v>
      </c>
      <c r="D30" s="108" t="s">
        <v>612</v>
      </c>
      <c r="E30" s="116">
        <f t="shared" si="0"/>
        <v>2</v>
      </c>
      <c r="F30" s="117">
        <f t="shared" si="1"/>
        <v>0.35</v>
      </c>
      <c r="G30" s="117">
        <f t="shared" si="2"/>
        <v>0</v>
      </c>
      <c r="H30" s="117">
        <f t="shared" si="3"/>
        <v>0</v>
      </c>
      <c r="I30" s="117">
        <f t="shared" si="4"/>
        <v>0.2</v>
      </c>
      <c r="J30" s="117">
        <f t="shared" si="5"/>
        <v>0</v>
      </c>
      <c r="K30" s="117">
        <f t="shared" si="6"/>
        <v>0</v>
      </c>
      <c r="L30" s="117">
        <f t="shared" si="7"/>
        <v>0.15</v>
      </c>
      <c r="P30" s="149" t="s">
        <v>2024</v>
      </c>
      <c r="Q30" s="150"/>
      <c r="R30" s="150"/>
      <c r="S30" s="149" t="s">
        <v>432</v>
      </c>
    </row>
    <row r="31" spans="1:19" ht="15" customHeight="1">
      <c r="A31" s="108" t="str">
        <f>'دليل مراحل الملف'!A28</f>
        <v>4.2.1</v>
      </c>
      <c r="B31" s="108" t="str">
        <f>'دليل مراحل الملف'!B28</f>
        <v>اعتماد النتائج</v>
      </c>
      <c r="C31" s="110" t="s">
        <v>1124</v>
      </c>
      <c r="D31" s="108" t="s">
        <v>612</v>
      </c>
      <c r="E31" s="116">
        <f t="shared" si="0"/>
        <v>2</v>
      </c>
      <c r="F31" s="117">
        <f t="shared" si="1"/>
        <v>0.35</v>
      </c>
      <c r="G31" s="117">
        <f t="shared" si="2"/>
        <v>0</v>
      </c>
      <c r="H31" s="117">
        <f t="shared" si="3"/>
        <v>0</v>
      </c>
      <c r="I31" s="117">
        <f t="shared" si="4"/>
        <v>0.2</v>
      </c>
      <c r="J31" s="117">
        <f t="shared" si="5"/>
        <v>0</v>
      </c>
      <c r="K31" s="117">
        <f t="shared" si="6"/>
        <v>0</v>
      </c>
      <c r="L31" s="117">
        <f t="shared" si="7"/>
        <v>0.15</v>
      </c>
      <c r="P31" s="149" t="s">
        <v>2031</v>
      </c>
      <c r="Q31" s="150"/>
      <c r="R31" s="150"/>
      <c r="S31" s="149" t="s">
        <v>432</v>
      </c>
    </row>
    <row r="32" spans="1:19" ht="15" customHeight="1">
      <c r="A32" s="108" t="str">
        <f>'دليل مراحل الملف'!A29</f>
        <v>4.2.2</v>
      </c>
      <c r="B32" s="108" t="str">
        <f>'دليل مراحل الملف'!B29</f>
        <v>إعداد تقرير الضوابط</v>
      </c>
      <c r="C32" s="110" t="s">
        <v>1125</v>
      </c>
      <c r="D32" s="108" t="s">
        <v>617</v>
      </c>
      <c r="E32" s="116">
        <f t="shared" si="0"/>
        <v>3</v>
      </c>
      <c r="F32" s="117">
        <f t="shared" si="1"/>
        <v>0.55000000000000004</v>
      </c>
      <c r="G32" s="117">
        <f t="shared" si="2"/>
        <v>0</v>
      </c>
      <c r="H32" s="117">
        <f t="shared" si="3"/>
        <v>0</v>
      </c>
      <c r="I32" s="117">
        <f t="shared" si="4"/>
        <v>0.2</v>
      </c>
      <c r="J32" s="117">
        <f t="shared" si="5"/>
        <v>0.2</v>
      </c>
      <c r="K32" s="117">
        <f t="shared" si="6"/>
        <v>0</v>
      </c>
      <c r="L32" s="117">
        <f t="shared" si="7"/>
        <v>0.15</v>
      </c>
      <c r="P32" s="149" t="s">
        <v>2029</v>
      </c>
      <c r="Q32" s="150"/>
      <c r="R32" s="150"/>
      <c r="S32" s="149" t="s">
        <v>2034</v>
      </c>
    </row>
    <row r="33" spans="1:19" ht="15" customHeight="1">
      <c r="A33" s="114">
        <f>'دليل مراحل الملف'!A30</f>
        <v>5</v>
      </c>
      <c r="B33" s="114" t="str">
        <f>'دليل مراحل الملف'!B30</f>
        <v>اختبار المعالجات بالحاسب</v>
      </c>
      <c r="C33" s="118" t="s">
        <v>1125</v>
      </c>
      <c r="D33" s="108" t="s">
        <v>617</v>
      </c>
      <c r="E33" s="116">
        <f t="shared" si="0"/>
        <v>3</v>
      </c>
      <c r="F33" s="117">
        <f t="shared" si="1"/>
        <v>0.55000000000000004</v>
      </c>
      <c r="G33" s="117">
        <f t="shared" si="2"/>
        <v>0</v>
      </c>
      <c r="H33" s="117">
        <f t="shared" si="3"/>
        <v>0</v>
      </c>
      <c r="I33" s="117">
        <f t="shared" si="4"/>
        <v>0.2</v>
      </c>
      <c r="J33" s="117">
        <f t="shared" si="5"/>
        <v>0.2</v>
      </c>
      <c r="K33" s="117">
        <f t="shared" si="6"/>
        <v>0</v>
      </c>
      <c r="L33" s="117">
        <f t="shared" si="7"/>
        <v>0.15</v>
      </c>
      <c r="P33" s="149" t="s">
        <v>2035</v>
      </c>
      <c r="Q33" s="150" t="s">
        <v>431</v>
      </c>
      <c r="R33" s="150" t="s">
        <v>425</v>
      </c>
      <c r="S33" s="149" t="s">
        <v>424</v>
      </c>
    </row>
    <row r="34" spans="1:19" ht="15" customHeight="1">
      <c r="A34" s="115">
        <f>'دليل مراحل الملف'!A31</f>
        <v>5.0999999999999996</v>
      </c>
      <c r="B34" s="115" t="str">
        <f>'دليل مراحل الملف'!B31</f>
        <v>اختبار مدخلات النظام</v>
      </c>
      <c r="C34" s="119" t="s">
        <v>1125</v>
      </c>
      <c r="D34" s="108" t="s">
        <v>617</v>
      </c>
      <c r="E34" s="116">
        <f t="shared" si="0"/>
        <v>3</v>
      </c>
      <c r="F34" s="117">
        <f t="shared" si="1"/>
        <v>0.55000000000000004</v>
      </c>
      <c r="G34" s="117">
        <f t="shared" si="2"/>
        <v>0</v>
      </c>
      <c r="H34" s="117">
        <f t="shared" si="3"/>
        <v>0</v>
      </c>
      <c r="I34" s="117">
        <f t="shared" si="4"/>
        <v>0.2</v>
      </c>
      <c r="J34" s="117">
        <f t="shared" si="5"/>
        <v>0.2</v>
      </c>
      <c r="K34" s="117">
        <f t="shared" si="6"/>
        <v>0</v>
      </c>
      <c r="L34" s="117">
        <f t="shared" si="7"/>
        <v>0.15</v>
      </c>
      <c r="P34" s="149" t="s">
        <v>2036</v>
      </c>
      <c r="Q34" s="150"/>
      <c r="R34" s="150"/>
      <c r="S34" s="149" t="s">
        <v>424</v>
      </c>
    </row>
    <row r="35" spans="1:19" ht="15" customHeight="1">
      <c r="A35" s="108" t="str">
        <f>'دليل مراحل الملف'!A32</f>
        <v>5.1.1</v>
      </c>
      <c r="B35" s="108" t="str">
        <f>'دليل مراحل الملف'!B32</f>
        <v>اختبار مخرجات النظام</v>
      </c>
      <c r="C35" s="110" t="s">
        <v>1125</v>
      </c>
      <c r="D35" s="108" t="s">
        <v>617</v>
      </c>
      <c r="E35" s="116">
        <f t="shared" si="0"/>
        <v>3</v>
      </c>
      <c r="F35" s="117">
        <f t="shared" si="1"/>
        <v>0.55000000000000004</v>
      </c>
      <c r="G35" s="117">
        <f t="shared" si="2"/>
        <v>0</v>
      </c>
      <c r="H35" s="117">
        <f t="shared" si="3"/>
        <v>0</v>
      </c>
      <c r="I35" s="117">
        <f t="shared" si="4"/>
        <v>0.2</v>
      </c>
      <c r="J35" s="117">
        <f t="shared" si="5"/>
        <v>0.2</v>
      </c>
      <c r="K35" s="117">
        <f t="shared" si="6"/>
        <v>0</v>
      </c>
      <c r="L35" s="117">
        <f t="shared" si="7"/>
        <v>0.15</v>
      </c>
      <c r="P35" s="149" t="s">
        <v>2036</v>
      </c>
      <c r="Q35" s="150"/>
      <c r="R35" s="150"/>
      <c r="S35" s="149" t="s">
        <v>424</v>
      </c>
    </row>
    <row r="36" spans="1:19" ht="15" customHeight="1">
      <c r="A36" s="108" t="str">
        <f>'دليل مراحل الملف'!A33</f>
        <v>5.1.2</v>
      </c>
      <c r="B36" s="108" t="str">
        <f>'دليل مراحل الملف'!B33</f>
        <v>اختبار ضوابط الوصول</v>
      </c>
      <c r="C36" s="110" t="s">
        <v>1125</v>
      </c>
      <c r="D36" s="108" t="s">
        <v>617</v>
      </c>
      <c r="E36" s="116">
        <f t="shared" si="0"/>
        <v>3</v>
      </c>
      <c r="F36" s="117">
        <f t="shared" si="1"/>
        <v>0.55000000000000004</v>
      </c>
      <c r="G36" s="117">
        <f t="shared" si="2"/>
        <v>0</v>
      </c>
      <c r="H36" s="117">
        <f t="shared" si="3"/>
        <v>0</v>
      </c>
      <c r="I36" s="117">
        <f t="shared" si="4"/>
        <v>0.2</v>
      </c>
      <c r="J36" s="117">
        <f t="shared" si="5"/>
        <v>0.2</v>
      </c>
      <c r="K36" s="117">
        <f t="shared" si="6"/>
        <v>0</v>
      </c>
      <c r="L36" s="117">
        <f t="shared" si="7"/>
        <v>0.15</v>
      </c>
      <c r="P36" s="149" t="s">
        <v>2037</v>
      </c>
      <c r="Q36" s="150"/>
      <c r="R36" s="150"/>
      <c r="S36" s="149" t="s">
        <v>424</v>
      </c>
    </row>
    <row r="37" spans="1:19" ht="15" customHeight="1">
      <c r="A37" s="108">
        <f>'دليل مراحل الملف'!A34</f>
        <v>5.2</v>
      </c>
      <c r="B37" s="108" t="str">
        <f>'دليل مراحل الملف'!B34</f>
        <v>توثيق نتائج الاختبار</v>
      </c>
      <c r="C37" s="110" t="s">
        <v>1125</v>
      </c>
      <c r="D37" s="108" t="s">
        <v>617</v>
      </c>
      <c r="E37" s="116">
        <f t="shared" ref="E37:E61" si="8">IF(C37="","",LEN(C37)-LEN(SUBSTITUTE(C37,"؛",""))+1)</f>
        <v>3</v>
      </c>
      <c r="F37" s="117">
        <f t="shared" ref="F37:F61" si="9">G37+H37+I37+J37+K37+L37</f>
        <v>0.55000000000000004</v>
      </c>
      <c r="G37" s="117">
        <f t="shared" ref="G37:G61" si="10">_xlfn.LET(_xlpm.s,SUBSTITUTE(TRIM($D37),"،",","), IF(ISNUMBER(SEARCH(",E,", ","&amp;_xlpm.s&amp;",")), 15%, 0))</f>
        <v>0</v>
      </c>
      <c r="H37" s="117">
        <f t="shared" ref="H37:H61" si="11">_xlfn.LET(_xlpm.s,SUBSTITUTE(TRIM($D37),"،",","), IF(ISNUMBER(SEARCH(",P,", ","&amp;_xlpm.s&amp;",")), 15%, 0))</f>
        <v>0</v>
      </c>
      <c r="I37" s="117">
        <f t="shared" ref="I37:I61" si="12">_xlfn.LET(_xlpm.s,SUBSTITUTE(TRIM($D37),"،",","), IF(ISNUMBER(SEARCH(",C,", ","&amp;_xlpm.s&amp;",")), 20%, 0))</f>
        <v>0.2</v>
      </c>
      <c r="J37" s="117">
        <f t="shared" ref="J37:J61" si="13">_xlfn.LET(_xlpm.s,SUBSTITUTE(TRIM($D37),"،",","), IF(ISNUMBER(SEARCH(",A,", ","&amp;_xlpm.s&amp;",")), 20%, 0))</f>
        <v>0.2</v>
      </c>
      <c r="K37" s="117">
        <f t="shared" ref="K37:K61" si="14">_xlfn.LET(_xlpm.s,SUBSTITUTE(TRIM($D37),"،",","), IF(ISNUMBER(SEARCH(",R,", ","&amp;_xlpm.s&amp;",")), 15%, 0))</f>
        <v>0</v>
      </c>
      <c r="L37" s="117">
        <f t="shared" ref="L37:L61" si="15">_xlfn.LET(_xlpm.s,SUBSTITUTE(TRIM($D37),"،",","), IF(ISNUMBER(SEARCH(",D,", ","&amp;_xlpm.s&amp;",")), 15%, 0))</f>
        <v>0.15</v>
      </c>
      <c r="P37" s="149" t="s">
        <v>2024</v>
      </c>
      <c r="Q37" s="150"/>
      <c r="R37" s="150"/>
      <c r="S37" s="149" t="s">
        <v>424</v>
      </c>
    </row>
    <row r="38" spans="1:19" ht="15" customHeight="1">
      <c r="A38" s="108" t="str">
        <f>'دليل مراحل الملف'!A35</f>
        <v>5.2.1</v>
      </c>
      <c r="B38" s="108" t="str">
        <f>'دليل مراحل الملف'!B35</f>
        <v>مراجعة النتائج</v>
      </c>
      <c r="C38" s="110" t="s">
        <v>1125</v>
      </c>
      <c r="D38" s="108" t="s">
        <v>617</v>
      </c>
      <c r="E38" s="116">
        <f t="shared" si="8"/>
        <v>3</v>
      </c>
      <c r="F38" s="117">
        <f t="shared" si="9"/>
        <v>0.55000000000000004</v>
      </c>
      <c r="G38" s="117">
        <f t="shared" si="10"/>
        <v>0</v>
      </c>
      <c r="H38" s="117">
        <f t="shared" si="11"/>
        <v>0</v>
      </c>
      <c r="I38" s="117">
        <f t="shared" si="12"/>
        <v>0.2</v>
      </c>
      <c r="J38" s="117">
        <f t="shared" si="13"/>
        <v>0.2</v>
      </c>
      <c r="K38" s="117">
        <f t="shared" si="14"/>
        <v>0</v>
      </c>
      <c r="L38" s="117">
        <f t="shared" si="15"/>
        <v>0.15</v>
      </c>
      <c r="P38" s="149" t="s">
        <v>2031</v>
      </c>
      <c r="Q38" s="150"/>
      <c r="R38" s="150"/>
      <c r="S38" s="149" t="s">
        <v>424</v>
      </c>
    </row>
    <row r="39" spans="1:19" ht="15" customHeight="1">
      <c r="A39" s="108" t="str">
        <f>'دليل مراحل الملف'!A36</f>
        <v>5.2.2</v>
      </c>
      <c r="B39" s="108" t="str">
        <f>'دليل مراحل الملف'!B36</f>
        <v>تقرير الاختبار</v>
      </c>
      <c r="C39" s="110" t="s">
        <v>1125</v>
      </c>
      <c r="D39" s="108" t="s">
        <v>617</v>
      </c>
      <c r="E39" s="116">
        <f t="shared" si="8"/>
        <v>3</v>
      </c>
      <c r="F39" s="117">
        <f t="shared" si="9"/>
        <v>0.55000000000000004</v>
      </c>
      <c r="G39" s="117">
        <f t="shared" si="10"/>
        <v>0</v>
      </c>
      <c r="H39" s="117">
        <f t="shared" si="11"/>
        <v>0</v>
      </c>
      <c r="I39" s="117">
        <f t="shared" si="12"/>
        <v>0.2</v>
      </c>
      <c r="J39" s="117">
        <f t="shared" si="13"/>
        <v>0.2</v>
      </c>
      <c r="K39" s="117">
        <f t="shared" si="14"/>
        <v>0</v>
      </c>
      <c r="L39" s="117">
        <f t="shared" si="15"/>
        <v>0.15</v>
      </c>
      <c r="P39" s="149" t="s">
        <v>2029</v>
      </c>
      <c r="Q39" s="150"/>
      <c r="R39" s="150"/>
      <c r="S39" s="149" t="s">
        <v>424</v>
      </c>
    </row>
    <row r="40" spans="1:19" ht="15" customHeight="1">
      <c r="A40" s="114">
        <f>'دليل مراحل الملف'!A37</f>
        <v>6</v>
      </c>
      <c r="B40" s="114" t="str">
        <f>'دليل مراحل الملف'!B37</f>
        <v>المراجعة التفصيلية</v>
      </c>
      <c r="C40" s="118" t="s">
        <v>1126</v>
      </c>
      <c r="D40" s="108" t="s">
        <v>1116</v>
      </c>
      <c r="E40" s="116">
        <f t="shared" si="8"/>
        <v>3</v>
      </c>
      <c r="F40" s="117">
        <f t="shared" si="9"/>
        <v>0.55000000000000004</v>
      </c>
      <c r="G40" s="117">
        <f t="shared" si="10"/>
        <v>0</v>
      </c>
      <c r="H40" s="117">
        <f t="shared" si="11"/>
        <v>0</v>
      </c>
      <c r="I40" s="117">
        <f t="shared" si="12"/>
        <v>0.2</v>
      </c>
      <c r="J40" s="117">
        <f t="shared" si="13"/>
        <v>0.2</v>
      </c>
      <c r="K40" s="117">
        <f t="shared" si="14"/>
        <v>0</v>
      </c>
      <c r="L40" s="117">
        <f t="shared" si="15"/>
        <v>0.15</v>
      </c>
      <c r="P40" s="149" t="s">
        <v>2029</v>
      </c>
      <c r="Q40" s="150" t="s">
        <v>416</v>
      </c>
      <c r="R40" s="150" t="s">
        <v>502</v>
      </c>
      <c r="S40" s="149" t="s">
        <v>2038</v>
      </c>
    </row>
    <row r="41" spans="1:19" ht="15" customHeight="1">
      <c r="A41" s="115">
        <f>'دليل مراحل الملف'!A38</f>
        <v>6.1</v>
      </c>
      <c r="B41" s="115" t="str">
        <f>'دليل مراحل الملف'!B38</f>
        <v>تأكيد الأرصدة</v>
      </c>
      <c r="C41" s="119" t="s">
        <v>1126</v>
      </c>
      <c r="D41" s="108" t="s">
        <v>1116</v>
      </c>
      <c r="E41" s="116">
        <f t="shared" si="8"/>
        <v>3</v>
      </c>
      <c r="F41" s="117">
        <f t="shared" si="9"/>
        <v>0.55000000000000004</v>
      </c>
      <c r="G41" s="117">
        <f t="shared" si="10"/>
        <v>0</v>
      </c>
      <c r="H41" s="117">
        <f t="shared" si="11"/>
        <v>0</v>
      </c>
      <c r="I41" s="117">
        <f t="shared" si="12"/>
        <v>0.2</v>
      </c>
      <c r="J41" s="117">
        <f t="shared" si="13"/>
        <v>0.2</v>
      </c>
      <c r="K41" s="117">
        <f t="shared" si="14"/>
        <v>0</v>
      </c>
      <c r="L41" s="117">
        <f t="shared" si="15"/>
        <v>0.15</v>
      </c>
      <c r="P41" s="149"/>
      <c r="Q41" s="150"/>
      <c r="R41" s="150"/>
      <c r="S41" s="149" t="s">
        <v>1140</v>
      </c>
    </row>
    <row r="42" spans="1:19" ht="15" customHeight="1">
      <c r="A42" s="108" t="str">
        <f>'دليل مراحل الملف'!A39</f>
        <v>6.1.1</v>
      </c>
      <c r="B42" s="108" t="str">
        <f>'دليل مراحل الملف'!B39</f>
        <v>تحليل الأعمار</v>
      </c>
      <c r="C42" s="110" t="s">
        <v>1126</v>
      </c>
      <c r="D42" s="108" t="s">
        <v>1116</v>
      </c>
      <c r="E42" s="116">
        <f t="shared" si="8"/>
        <v>3</v>
      </c>
      <c r="F42" s="117">
        <f t="shared" si="9"/>
        <v>0.55000000000000004</v>
      </c>
      <c r="G42" s="117">
        <f t="shared" si="10"/>
        <v>0</v>
      </c>
      <c r="H42" s="117">
        <f t="shared" si="11"/>
        <v>0</v>
      </c>
      <c r="I42" s="117">
        <f t="shared" si="12"/>
        <v>0.2</v>
      </c>
      <c r="J42" s="117">
        <f t="shared" si="13"/>
        <v>0.2</v>
      </c>
      <c r="K42" s="117">
        <f t="shared" si="14"/>
        <v>0</v>
      </c>
      <c r="L42" s="117">
        <f t="shared" si="15"/>
        <v>0.15</v>
      </c>
      <c r="P42" s="149"/>
      <c r="Q42" s="150" t="s">
        <v>416</v>
      </c>
      <c r="R42" s="150"/>
      <c r="S42" s="149" t="s">
        <v>428</v>
      </c>
    </row>
    <row r="43" spans="1:19" ht="15" customHeight="1">
      <c r="A43" s="108" t="str">
        <f>'دليل مراحل الملف'!A40</f>
        <v>6.1.2</v>
      </c>
      <c r="B43" s="108" t="str">
        <f>'دليل مراحل الملف'!B40</f>
        <v>مراجعة المخصصات</v>
      </c>
      <c r="C43" s="110" t="s">
        <v>1126</v>
      </c>
      <c r="D43" s="108" t="s">
        <v>1116</v>
      </c>
      <c r="E43" s="116">
        <f t="shared" si="8"/>
        <v>3</v>
      </c>
      <c r="F43" s="117">
        <f t="shared" si="9"/>
        <v>0.55000000000000004</v>
      </c>
      <c r="G43" s="117">
        <f t="shared" si="10"/>
        <v>0</v>
      </c>
      <c r="H43" s="117">
        <f t="shared" si="11"/>
        <v>0</v>
      </c>
      <c r="I43" s="117">
        <f t="shared" si="12"/>
        <v>0.2</v>
      </c>
      <c r="J43" s="117">
        <f t="shared" si="13"/>
        <v>0.2</v>
      </c>
      <c r="K43" s="117">
        <f t="shared" si="14"/>
        <v>0</v>
      </c>
      <c r="L43" s="117">
        <f t="shared" si="15"/>
        <v>0.15</v>
      </c>
      <c r="P43" s="149"/>
      <c r="Q43" s="150" t="s">
        <v>416</v>
      </c>
      <c r="R43" s="150" t="s">
        <v>1690</v>
      </c>
      <c r="S43" s="149" t="s">
        <v>430</v>
      </c>
    </row>
    <row r="44" spans="1:19" ht="15" customHeight="1">
      <c r="A44" s="108">
        <f>'دليل مراحل الملف'!A41</f>
        <v>6.2</v>
      </c>
      <c r="B44" s="108" t="str">
        <f>'دليل مراحل الملف'!B41</f>
        <v>توثيق نتائج الفحص</v>
      </c>
      <c r="C44" s="110" t="s">
        <v>1126</v>
      </c>
      <c r="D44" s="108" t="s">
        <v>1116</v>
      </c>
      <c r="E44" s="116">
        <f t="shared" si="8"/>
        <v>3</v>
      </c>
      <c r="F44" s="117">
        <f t="shared" si="9"/>
        <v>0.55000000000000004</v>
      </c>
      <c r="G44" s="117">
        <f t="shared" si="10"/>
        <v>0</v>
      </c>
      <c r="H44" s="117">
        <f t="shared" si="11"/>
        <v>0</v>
      </c>
      <c r="I44" s="117">
        <f t="shared" si="12"/>
        <v>0.2</v>
      </c>
      <c r="J44" s="117">
        <f t="shared" si="13"/>
        <v>0.2</v>
      </c>
      <c r="K44" s="117">
        <f t="shared" si="14"/>
        <v>0</v>
      </c>
      <c r="L44" s="117">
        <f t="shared" si="15"/>
        <v>0.15</v>
      </c>
      <c r="P44" s="149" t="s">
        <v>2024</v>
      </c>
      <c r="Q44" s="150"/>
      <c r="R44" s="150"/>
      <c r="S44" s="149" t="s">
        <v>2039</v>
      </c>
    </row>
    <row r="45" spans="1:19" ht="15" customHeight="1">
      <c r="A45" s="108" t="str">
        <f>'دليل مراحل الملف'!A42</f>
        <v>6.2.1</v>
      </c>
      <c r="B45" s="108" t="str">
        <f>'دليل مراحل الملف'!B42</f>
        <v>اعتماد النتائج</v>
      </c>
      <c r="C45" s="110" t="s">
        <v>1126</v>
      </c>
      <c r="D45" s="108" t="s">
        <v>1116</v>
      </c>
      <c r="E45" s="116">
        <f t="shared" si="8"/>
        <v>3</v>
      </c>
      <c r="F45" s="117">
        <f t="shared" si="9"/>
        <v>0.55000000000000004</v>
      </c>
      <c r="G45" s="117">
        <f t="shared" si="10"/>
        <v>0</v>
      </c>
      <c r="H45" s="117">
        <f t="shared" si="11"/>
        <v>0</v>
      </c>
      <c r="I45" s="117">
        <f t="shared" si="12"/>
        <v>0.2</v>
      </c>
      <c r="J45" s="117">
        <f t="shared" si="13"/>
        <v>0.2</v>
      </c>
      <c r="K45" s="117">
        <f t="shared" si="14"/>
        <v>0</v>
      </c>
      <c r="L45" s="117">
        <f t="shared" si="15"/>
        <v>0.15</v>
      </c>
      <c r="P45" s="149" t="s">
        <v>2031</v>
      </c>
      <c r="Q45" s="150"/>
      <c r="R45" s="150"/>
      <c r="S45" s="149" t="s">
        <v>2040</v>
      </c>
    </row>
    <row r="46" spans="1:19" ht="15" customHeight="1">
      <c r="A46" s="108" t="str">
        <f>'دليل مراحل الملف'!A43</f>
        <v>6.2.2</v>
      </c>
      <c r="B46" s="108" t="str">
        <f>'دليل مراحل الملف'!B43</f>
        <v>تقرير المراجعة التفصيلية</v>
      </c>
      <c r="C46" s="110" t="s">
        <v>1127</v>
      </c>
      <c r="D46" s="108" t="s">
        <v>637</v>
      </c>
      <c r="E46" s="116">
        <f t="shared" si="8"/>
        <v>3</v>
      </c>
      <c r="F46" s="117">
        <f t="shared" si="9"/>
        <v>0.5</v>
      </c>
      <c r="G46" s="117">
        <f t="shared" si="10"/>
        <v>0</v>
      </c>
      <c r="H46" s="117">
        <f t="shared" si="11"/>
        <v>0</v>
      </c>
      <c r="I46" s="117">
        <f t="shared" si="12"/>
        <v>0</v>
      </c>
      <c r="J46" s="117">
        <f t="shared" si="13"/>
        <v>0.2</v>
      </c>
      <c r="K46" s="117">
        <f t="shared" si="14"/>
        <v>0.15</v>
      </c>
      <c r="L46" s="117">
        <f t="shared" si="15"/>
        <v>0.15</v>
      </c>
      <c r="P46" s="149"/>
      <c r="Q46" s="150"/>
      <c r="R46" s="150"/>
      <c r="S46" s="149" t="s">
        <v>1141</v>
      </c>
    </row>
    <row r="47" spans="1:19" ht="15" customHeight="1">
      <c r="A47" s="114">
        <f>'دليل مراحل الملف'!A44</f>
        <v>7</v>
      </c>
      <c r="B47" s="114" t="str">
        <f>'دليل مراحل الملف'!B44</f>
        <v>إعداد التقرير</v>
      </c>
      <c r="C47" s="118" t="s">
        <v>1128</v>
      </c>
      <c r="D47" s="108" t="s">
        <v>638</v>
      </c>
      <c r="E47" s="116">
        <f t="shared" si="8"/>
        <v>2</v>
      </c>
      <c r="F47" s="117">
        <f t="shared" si="9"/>
        <v>0.3</v>
      </c>
      <c r="G47" s="117">
        <f t="shared" si="10"/>
        <v>0</v>
      </c>
      <c r="H47" s="117">
        <f t="shared" si="11"/>
        <v>0</v>
      </c>
      <c r="I47" s="117">
        <f t="shared" si="12"/>
        <v>0</v>
      </c>
      <c r="J47" s="117">
        <f t="shared" si="13"/>
        <v>0</v>
      </c>
      <c r="K47" s="117">
        <f t="shared" si="14"/>
        <v>0.15</v>
      </c>
      <c r="L47" s="117">
        <f t="shared" si="15"/>
        <v>0.15</v>
      </c>
      <c r="P47" s="149" t="s">
        <v>2024</v>
      </c>
      <c r="Q47" s="150"/>
      <c r="R47" s="150" t="s">
        <v>425</v>
      </c>
      <c r="S47" s="149" t="s">
        <v>1141</v>
      </c>
    </row>
    <row r="48" spans="1:19" ht="15" customHeight="1">
      <c r="A48" s="115">
        <f>'دليل مراحل الملف'!A45</f>
        <v>7.1</v>
      </c>
      <c r="B48" s="115" t="str">
        <f>'دليل مراحل الملف'!B45</f>
        <v>إعداد المسودة</v>
      </c>
      <c r="C48" s="119" t="s">
        <v>1128</v>
      </c>
      <c r="D48" s="108" t="s">
        <v>638</v>
      </c>
      <c r="E48" s="116">
        <f t="shared" si="8"/>
        <v>2</v>
      </c>
      <c r="F48" s="117">
        <f t="shared" si="9"/>
        <v>0.3</v>
      </c>
      <c r="G48" s="117">
        <f t="shared" si="10"/>
        <v>0</v>
      </c>
      <c r="H48" s="117">
        <f t="shared" si="11"/>
        <v>0</v>
      </c>
      <c r="I48" s="117">
        <f t="shared" si="12"/>
        <v>0</v>
      </c>
      <c r="J48" s="117">
        <f t="shared" si="13"/>
        <v>0</v>
      </c>
      <c r="K48" s="117">
        <f t="shared" si="14"/>
        <v>0.15</v>
      </c>
      <c r="L48" s="117">
        <f t="shared" si="15"/>
        <v>0.15</v>
      </c>
      <c r="P48" s="149"/>
      <c r="Q48" s="150"/>
      <c r="R48" s="150"/>
      <c r="S48" s="149" t="s">
        <v>1142</v>
      </c>
    </row>
    <row r="49" spans="1:19" ht="15" customHeight="1">
      <c r="A49" s="108" t="str">
        <f>'دليل مراحل الملف'!A46</f>
        <v>7.1.1</v>
      </c>
      <c r="B49" s="108" t="str">
        <f>'دليل مراحل الملف'!B46</f>
        <v>مناقشة المسودة</v>
      </c>
      <c r="C49" s="110" t="s">
        <v>1128</v>
      </c>
      <c r="D49" s="108" t="s">
        <v>638</v>
      </c>
      <c r="E49" s="116">
        <f t="shared" si="8"/>
        <v>2</v>
      </c>
      <c r="F49" s="117">
        <f t="shared" si="9"/>
        <v>0.3</v>
      </c>
      <c r="G49" s="117">
        <f t="shared" si="10"/>
        <v>0</v>
      </c>
      <c r="H49" s="117">
        <f t="shared" si="11"/>
        <v>0</v>
      </c>
      <c r="I49" s="117">
        <f t="shared" si="12"/>
        <v>0</v>
      </c>
      <c r="J49" s="117">
        <f t="shared" si="13"/>
        <v>0</v>
      </c>
      <c r="K49" s="117">
        <f t="shared" si="14"/>
        <v>0.15</v>
      </c>
      <c r="L49" s="117">
        <f t="shared" si="15"/>
        <v>0.15</v>
      </c>
      <c r="P49" s="149"/>
      <c r="Q49" s="150"/>
      <c r="R49" s="150"/>
      <c r="S49" s="149" t="s">
        <v>1143</v>
      </c>
    </row>
    <row r="50" spans="1:19" ht="15" customHeight="1">
      <c r="A50" s="108" t="str">
        <f>'دليل مراحل الملف'!A47</f>
        <v>7.1.2</v>
      </c>
      <c r="B50" s="108" t="str">
        <f>'دليل مراحل الملف'!B47</f>
        <v>اعتماد التقرير</v>
      </c>
      <c r="C50" s="110" t="s">
        <v>1128</v>
      </c>
      <c r="D50" s="108" t="s">
        <v>638</v>
      </c>
      <c r="E50" s="116">
        <f t="shared" si="8"/>
        <v>2</v>
      </c>
      <c r="F50" s="117">
        <f t="shared" si="9"/>
        <v>0.3</v>
      </c>
      <c r="G50" s="117">
        <f t="shared" si="10"/>
        <v>0</v>
      </c>
      <c r="H50" s="117">
        <f t="shared" si="11"/>
        <v>0</v>
      </c>
      <c r="I50" s="117">
        <f t="shared" si="12"/>
        <v>0</v>
      </c>
      <c r="J50" s="117">
        <f t="shared" si="13"/>
        <v>0</v>
      </c>
      <c r="K50" s="117">
        <f t="shared" si="14"/>
        <v>0.15</v>
      </c>
      <c r="L50" s="117">
        <f t="shared" si="15"/>
        <v>0.15</v>
      </c>
      <c r="P50" s="149" t="s">
        <v>2031</v>
      </c>
      <c r="Q50" s="150"/>
      <c r="R50" s="150"/>
      <c r="S50" s="149" t="s">
        <v>418</v>
      </c>
    </row>
    <row r="51" spans="1:19" ht="15" customHeight="1">
      <c r="A51" s="108">
        <f>'دليل مراحل الملف'!A48</f>
        <v>7.2</v>
      </c>
      <c r="B51" s="108" t="str">
        <f>'دليل مراحل الملف'!B48</f>
        <v>إصدار التقرير</v>
      </c>
      <c r="C51" s="110" t="s">
        <v>1128</v>
      </c>
      <c r="D51" s="108" t="s">
        <v>638</v>
      </c>
      <c r="E51" s="116">
        <f t="shared" si="8"/>
        <v>2</v>
      </c>
      <c r="F51" s="117">
        <f t="shared" si="9"/>
        <v>0.3</v>
      </c>
      <c r="G51" s="117">
        <f t="shared" si="10"/>
        <v>0</v>
      </c>
      <c r="H51" s="117">
        <f t="shared" si="11"/>
        <v>0</v>
      </c>
      <c r="I51" s="117">
        <f t="shared" si="12"/>
        <v>0</v>
      </c>
      <c r="J51" s="117">
        <f t="shared" si="13"/>
        <v>0</v>
      </c>
      <c r="K51" s="117">
        <f t="shared" si="14"/>
        <v>0.15</v>
      </c>
      <c r="L51" s="117">
        <f t="shared" si="15"/>
        <v>0.15</v>
      </c>
      <c r="P51" s="149"/>
      <c r="Q51" s="150"/>
      <c r="R51" s="150"/>
      <c r="S51" s="149" t="s">
        <v>1144</v>
      </c>
    </row>
    <row r="52" spans="1:19" ht="15" customHeight="1">
      <c r="A52" s="108" t="str">
        <f>'دليل مراحل الملف'!A49</f>
        <v>7.2.1</v>
      </c>
      <c r="B52" s="108" t="str">
        <f>'دليل مراحل الملف'!B49</f>
        <v>إبلاغ الأطراف الخارجية</v>
      </c>
      <c r="C52" s="110" t="s">
        <v>1128</v>
      </c>
      <c r="D52" s="108" t="s">
        <v>638</v>
      </c>
      <c r="E52" s="116">
        <f t="shared" si="8"/>
        <v>2</v>
      </c>
      <c r="F52" s="117">
        <f t="shared" si="9"/>
        <v>0.3</v>
      </c>
      <c r="G52" s="117">
        <f t="shared" si="10"/>
        <v>0</v>
      </c>
      <c r="H52" s="117">
        <f t="shared" si="11"/>
        <v>0</v>
      </c>
      <c r="I52" s="117">
        <f t="shared" si="12"/>
        <v>0</v>
      </c>
      <c r="J52" s="117">
        <f t="shared" si="13"/>
        <v>0</v>
      </c>
      <c r="K52" s="117">
        <f t="shared" si="14"/>
        <v>0.15</v>
      </c>
      <c r="L52" s="117">
        <f t="shared" si="15"/>
        <v>0.15</v>
      </c>
      <c r="P52" s="149" t="s">
        <v>2041</v>
      </c>
      <c r="Q52" s="150"/>
      <c r="R52" s="150"/>
      <c r="S52" s="149" t="s">
        <v>418</v>
      </c>
    </row>
    <row r="53" spans="1:19" ht="15" customHeight="1">
      <c r="A53" s="108" t="str">
        <f>'دليل مراحل الملف'!A50</f>
        <v>7.2.2</v>
      </c>
      <c r="B53" s="108" t="str">
        <f>'دليل مراحل الملف'!B50</f>
        <v>أرشفة التقرير</v>
      </c>
      <c r="C53" s="110" t="s">
        <v>1113</v>
      </c>
      <c r="D53" s="108" t="s">
        <v>562</v>
      </c>
      <c r="E53" s="116">
        <f t="shared" si="8"/>
        <v>1</v>
      </c>
      <c r="F53" s="117">
        <f t="shared" si="9"/>
        <v>0.15</v>
      </c>
      <c r="G53" s="117">
        <f t="shared" si="10"/>
        <v>0</v>
      </c>
      <c r="H53" s="117">
        <f t="shared" si="11"/>
        <v>0</v>
      </c>
      <c r="I53" s="117">
        <f t="shared" si="12"/>
        <v>0</v>
      </c>
      <c r="J53" s="117">
        <f t="shared" si="13"/>
        <v>0</v>
      </c>
      <c r="K53" s="117">
        <f t="shared" si="14"/>
        <v>0</v>
      </c>
      <c r="L53" s="117">
        <f t="shared" si="15"/>
        <v>0.15</v>
      </c>
      <c r="P53" s="149" t="s">
        <v>2024</v>
      </c>
      <c r="Q53" s="150"/>
      <c r="R53" s="150"/>
      <c r="S53" s="149" t="s">
        <v>517</v>
      </c>
    </row>
    <row r="54" spans="1:19" ht="15" customHeight="1">
      <c r="A54" s="114">
        <f>'دليل مراحل الملف'!A51</f>
        <v>8</v>
      </c>
      <c r="B54" s="114" t="str">
        <f>'دليل مراحل الملف'!B51</f>
        <v>الإغلاق والأرشفة</v>
      </c>
      <c r="C54" s="118" t="s">
        <v>1129</v>
      </c>
      <c r="D54" s="108" t="s">
        <v>648</v>
      </c>
      <c r="E54" s="116">
        <f t="shared" si="8"/>
        <v>2</v>
      </c>
      <c r="F54" s="117">
        <f t="shared" si="9"/>
        <v>0.3</v>
      </c>
      <c r="G54" s="117">
        <f t="shared" si="10"/>
        <v>0.15</v>
      </c>
      <c r="H54" s="117">
        <f t="shared" si="11"/>
        <v>0</v>
      </c>
      <c r="I54" s="117">
        <f t="shared" si="12"/>
        <v>0</v>
      </c>
      <c r="J54" s="117">
        <f t="shared" si="13"/>
        <v>0</v>
      </c>
      <c r="K54" s="117">
        <f t="shared" si="14"/>
        <v>0</v>
      </c>
      <c r="L54" s="117">
        <f t="shared" si="15"/>
        <v>0.15</v>
      </c>
      <c r="P54" s="149"/>
      <c r="Q54" s="150"/>
      <c r="R54" s="150"/>
      <c r="S54" s="149"/>
    </row>
    <row r="55" spans="1:19" ht="15" customHeight="1">
      <c r="A55" s="115">
        <f>'دليل مراحل الملف'!A52</f>
        <v>8.1</v>
      </c>
      <c r="B55" s="115" t="str">
        <f>'دليل مراحل الملف'!B52</f>
        <v>مراجعة استكمال الملف</v>
      </c>
      <c r="C55" s="119"/>
      <c r="E55" s="116" t="str">
        <f t="shared" si="8"/>
        <v/>
      </c>
      <c r="F55" s="117">
        <f t="shared" si="9"/>
        <v>0</v>
      </c>
      <c r="G55" s="117">
        <f t="shared" si="10"/>
        <v>0</v>
      </c>
      <c r="H55" s="117">
        <f t="shared" si="11"/>
        <v>0</v>
      </c>
      <c r="I55" s="117">
        <f t="shared" si="12"/>
        <v>0</v>
      </c>
      <c r="J55" s="117">
        <f t="shared" si="13"/>
        <v>0</v>
      </c>
      <c r="K55" s="117">
        <f t="shared" si="14"/>
        <v>0</v>
      </c>
      <c r="L55" s="117">
        <f t="shared" si="15"/>
        <v>0</v>
      </c>
      <c r="P55" s="149"/>
      <c r="Q55" s="150"/>
      <c r="R55" s="150"/>
      <c r="S55" s="149"/>
    </row>
    <row r="56" spans="1:19" ht="15" customHeight="1">
      <c r="A56" s="122"/>
      <c r="B56" s="122"/>
      <c r="C56" s="123"/>
      <c r="E56" s="116" t="str">
        <f t="shared" si="8"/>
        <v/>
      </c>
      <c r="F56" s="117">
        <f t="shared" si="9"/>
        <v>0</v>
      </c>
      <c r="G56" s="117">
        <f t="shared" si="10"/>
        <v>0</v>
      </c>
      <c r="H56" s="117">
        <f t="shared" si="11"/>
        <v>0</v>
      </c>
      <c r="I56" s="117">
        <f t="shared" si="12"/>
        <v>0</v>
      </c>
      <c r="J56" s="117">
        <f t="shared" si="13"/>
        <v>0</v>
      </c>
      <c r="K56" s="117">
        <f t="shared" si="14"/>
        <v>0</v>
      </c>
      <c r="L56" s="117">
        <f t="shared" si="15"/>
        <v>0</v>
      </c>
      <c r="P56" s="149"/>
      <c r="Q56" s="150"/>
      <c r="R56" s="150"/>
      <c r="S56" s="149"/>
    </row>
    <row r="57" spans="1:19" ht="15" customHeight="1">
      <c r="A57" s="122"/>
      <c r="B57" s="122"/>
      <c r="C57" s="123"/>
      <c r="E57" s="116" t="str">
        <f t="shared" si="8"/>
        <v/>
      </c>
      <c r="F57" s="117">
        <f t="shared" si="9"/>
        <v>0</v>
      </c>
      <c r="G57" s="117">
        <f t="shared" si="10"/>
        <v>0</v>
      </c>
      <c r="H57" s="117">
        <f t="shared" si="11"/>
        <v>0</v>
      </c>
      <c r="I57" s="117">
        <f t="shared" si="12"/>
        <v>0</v>
      </c>
      <c r="J57" s="117">
        <f t="shared" si="13"/>
        <v>0</v>
      </c>
      <c r="K57" s="117">
        <f t="shared" si="14"/>
        <v>0</v>
      </c>
      <c r="L57" s="117">
        <f t="shared" si="15"/>
        <v>0</v>
      </c>
      <c r="P57" s="149"/>
      <c r="Q57" s="150"/>
      <c r="R57" s="150"/>
      <c r="S57" s="149"/>
    </row>
    <row r="58" spans="1:19" ht="15" customHeight="1">
      <c r="A58" s="122"/>
      <c r="B58" s="122"/>
      <c r="C58" s="123"/>
      <c r="E58" s="116" t="str">
        <f t="shared" si="8"/>
        <v/>
      </c>
      <c r="F58" s="117">
        <f t="shared" si="9"/>
        <v>0</v>
      </c>
      <c r="G58" s="117">
        <f t="shared" si="10"/>
        <v>0</v>
      </c>
      <c r="H58" s="117">
        <f t="shared" si="11"/>
        <v>0</v>
      </c>
      <c r="I58" s="117">
        <f t="shared" si="12"/>
        <v>0</v>
      </c>
      <c r="J58" s="117">
        <f t="shared" si="13"/>
        <v>0</v>
      </c>
      <c r="K58" s="117">
        <f t="shared" si="14"/>
        <v>0</v>
      </c>
      <c r="L58" s="117">
        <f t="shared" si="15"/>
        <v>0</v>
      </c>
      <c r="P58" s="149"/>
      <c r="Q58" s="150"/>
      <c r="R58" s="150"/>
      <c r="S58" s="149"/>
    </row>
    <row r="59" spans="1:19" ht="15" customHeight="1">
      <c r="A59" s="122"/>
      <c r="B59" s="122"/>
      <c r="C59" s="123"/>
      <c r="E59" s="116" t="str">
        <f t="shared" si="8"/>
        <v/>
      </c>
      <c r="F59" s="117">
        <f t="shared" si="9"/>
        <v>0</v>
      </c>
      <c r="G59" s="117">
        <f t="shared" si="10"/>
        <v>0</v>
      </c>
      <c r="H59" s="117">
        <f t="shared" si="11"/>
        <v>0</v>
      </c>
      <c r="I59" s="117">
        <f t="shared" si="12"/>
        <v>0</v>
      </c>
      <c r="J59" s="117">
        <f t="shared" si="13"/>
        <v>0</v>
      </c>
      <c r="K59" s="117">
        <f t="shared" si="14"/>
        <v>0</v>
      </c>
      <c r="L59" s="117">
        <f t="shared" si="15"/>
        <v>0</v>
      </c>
      <c r="P59" s="149"/>
      <c r="Q59" s="150"/>
      <c r="R59" s="150"/>
      <c r="S59" s="149"/>
    </row>
    <row r="60" spans="1:19" ht="15" customHeight="1">
      <c r="A60" s="122"/>
      <c r="B60" s="122"/>
      <c r="C60" s="123"/>
      <c r="E60" s="116" t="str">
        <f t="shared" si="8"/>
        <v/>
      </c>
      <c r="F60" s="117">
        <f t="shared" si="9"/>
        <v>0</v>
      </c>
      <c r="G60" s="117">
        <f t="shared" si="10"/>
        <v>0</v>
      </c>
      <c r="H60" s="117">
        <f t="shared" si="11"/>
        <v>0</v>
      </c>
      <c r="I60" s="117">
        <f t="shared" si="12"/>
        <v>0</v>
      </c>
      <c r="J60" s="117">
        <f t="shared" si="13"/>
        <v>0</v>
      </c>
      <c r="K60" s="117">
        <f t="shared" si="14"/>
        <v>0</v>
      </c>
      <c r="L60" s="117">
        <f t="shared" si="15"/>
        <v>0</v>
      </c>
      <c r="P60" s="149"/>
      <c r="Q60" s="150"/>
      <c r="R60" s="150"/>
      <c r="S60" s="149"/>
    </row>
    <row r="61" spans="1:19" ht="15" customHeight="1">
      <c r="A61" s="115">
        <f>'دليل مراحل الملف'!A58</f>
        <v>0</v>
      </c>
      <c r="B61" s="115">
        <f>'دليل مراحل الملف'!B58</f>
        <v>0</v>
      </c>
      <c r="C61" s="119"/>
      <c r="E61" s="116" t="str">
        <f t="shared" si="8"/>
        <v/>
      </c>
      <c r="F61" s="117">
        <f t="shared" si="9"/>
        <v>0</v>
      </c>
      <c r="G61" s="117">
        <f t="shared" si="10"/>
        <v>0</v>
      </c>
      <c r="H61" s="117">
        <f t="shared" si="11"/>
        <v>0</v>
      </c>
      <c r="I61" s="117">
        <f t="shared" si="12"/>
        <v>0</v>
      </c>
      <c r="J61" s="117">
        <f t="shared" si="13"/>
        <v>0</v>
      </c>
      <c r="K61" s="117">
        <f t="shared" si="14"/>
        <v>0</v>
      </c>
      <c r="L61" s="117">
        <f t="shared" si="15"/>
        <v>0</v>
      </c>
      <c r="P61" s="133"/>
    </row>
  </sheetData>
  <autoFilter ref="A1:F61" xr:uid="{ABD5B264-DFAE-4918-90B8-1A7B90680838}"/>
  <mergeCells count="9">
    <mergeCell ref="P1:S3"/>
    <mergeCell ref="O1:O4"/>
    <mergeCell ref="N1:N4"/>
    <mergeCell ref="G2:L2"/>
    <mergeCell ref="C1:C4"/>
    <mergeCell ref="F1:F4"/>
    <mergeCell ref="E1:E4"/>
    <mergeCell ref="D1:D4"/>
    <mergeCell ref="M1:M4"/>
  </mergeCells>
  <pageMargins left="0.7" right="0.7" top="0.75" bottom="0.75" header="0.3" footer="0.3"/>
  <pageSetup paperSize="9" scale="4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D134-CC50-4B2F-BB20-8E37F6CCE6B4}">
  <dimension ref="A2:M56"/>
  <sheetViews>
    <sheetView rightToLeft="1" view="pageBreakPreview" zoomScale="112" zoomScaleSheetLayoutView="112" workbookViewId="0">
      <pane xSplit="12" ySplit="9" topLeftCell="M17" activePane="bottomRight" state="frozen"/>
      <selection pane="topRight" activeCell="M1" sqref="M1"/>
      <selection pane="bottomLeft" activeCell="A10" sqref="A10"/>
      <selection pane="bottomRight" activeCell="C21" sqref="C21"/>
    </sheetView>
  </sheetViews>
  <sheetFormatPr defaultRowHeight="15.75" outlineLevelRow="1"/>
  <cols>
    <col min="1" max="1" width="33.625" style="154" bestFit="1" customWidth="1"/>
    <col min="2" max="12" width="15.625" style="154" customWidth="1"/>
    <col min="13" max="16384" width="9" style="154"/>
  </cols>
  <sheetData>
    <row r="2" spans="1:13" ht="36">
      <c r="A2" s="152" t="s">
        <v>2047</v>
      </c>
      <c r="B2" s="153" t="s">
        <v>3570</v>
      </c>
      <c r="C2" s="153" t="s">
        <v>3502</v>
      </c>
      <c r="D2" s="153" t="s">
        <v>3503</v>
      </c>
      <c r="E2" s="153" t="s">
        <v>3504</v>
      </c>
      <c r="F2" s="153" t="s">
        <v>2050</v>
      </c>
      <c r="G2" s="153" t="s">
        <v>2051</v>
      </c>
      <c r="H2" s="153" t="s">
        <v>2052</v>
      </c>
      <c r="I2" s="153" t="s">
        <v>1097</v>
      </c>
      <c r="J2" s="153" t="s">
        <v>2053</v>
      </c>
      <c r="K2" s="153" t="s">
        <v>3522</v>
      </c>
      <c r="L2" s="153" t="s">
        <v>2054</v>
      </c>
      <c r="M2" s="154" t="s">
        <v>3513</v>
      </c>
    </row>
    <row r="3" spans="1:13" ht="54">
      <c r="A3" s="152"/>
      <c r="B3" s="153" t="s">
        <v>3571</v>
      </c>
      <c r="C3" s="153" t="s">
        <v>3514</v>
      </c>
      <c r="D3" s="153" t="s">
        <v>3515</v>
      </c>
      <c r="E3" s="153" t="s">
        <v>3516</v>
      </c>
      <c r="F3" s="153" t="s">
        <v>3517</v>
      </c>
      <c r="G3" s="153" t="s">
        <v>3518</v>
      </c>
      <c r="H3" s="153" t="s">
        <v>3523</v>
      </c>
      <c r="I3" s="153" t="s">
        <v>3519</v>
      </c>
      <c r="J3" s="153" t="s">
        <v>3520</v>
      </c>
      <c r="K3" s="153" t="s">
        <v>3525</v>
      </c>
      <c r="L3" s="153" t="s">
        <v>3521</v>
      </c>
    </row>
    <row r="4" spans="1:13" ht="18">
      <c r="A4" s="152"/>
      <c r="B4" s="153" t="s">
        <v>3572</v>
      </c>
      <c r="C4" s="153" t="s">
        <v>3505</v>
      </c>
      <c r="D4" s="153" t="s">
        <v>3506</v>
      </c>
      <c r="E4" s="153" t="s">
        <v>3507</v>
      </c>
      <c r="F4" s="153" t="s">
        <v>3508</v>
      </c>
      <c r="G4" s="153" t="s">
        <v>3509</v>
      </c>
      <c r="H4" s="153" t="s">
        <v>3524</v>
      </c>
      <c r="I4" s="153" t="s">
        <v>3510</v>
      </c>
      <c r="J4" s="153" t="s">
        <v>3511</v>
      </c>
      <c r="K4" s="153" t="s">
        <v>3526</v>
      </c>
      <c r="L4" s="153" t="s">
        <v>3512</v>
      </c>
    </row>
    <row r="5" spans="1:13" ht="33.75" hidden="1" outlineLevel="1">
      <c r="A5" s="152"/>
      <c r="B5" s="324" t="s">
        <v>3527</v>
      </c>
      <c r="C5" s="325" t="s">
        <v>3530</v>
      </c>
      <c r="D5" s="325" t="s">
        <v>3531</v>
      </c>
      <c r="E5" s="325" t="s">
        <v>3532</v>
      </c>
      <c r="F5" s="325" t="s">
        <v>3533</v>
      </c>
      <c r="G5" s="325" t="s">
        <v>3534</v>
      </c>
      <c r="H5" s="325" t="s">
        <v>3535</v>
      </c>
      <c r="I5" s="325" t="s">
        <v>3536</v>
      </c>
      <c r="J5" s="325" t="s">
        <v>3537</v>
      </c>
      <c r="K5" s="325" t="s">
        <v>3538</v>
      </c>
      <c r="L5" s="325" t="s">
        <v>3539</v>
      </c>
    </row>
    <row r="6" spans="1:13" ht="68.25" hidden="1" outlineLevel="1" thickBot="1">
      <c r="A6" s="152"/>
      <c r="B6" s="324" t="s">
        <v>3528</v>
      </c>
      <c r="C6" s="325" t="s">
        <v>3540</v>
      </c>
      <c r="D6" s="325" t="s">
        <v>3541</v>
      </c>
      <c r="E6" s="325" t="s">
        <v>3542</v>
      </c>
      <c r="F6" s="325" t="s">
        <v>3543</v>
      </c>
      <c r="G6" s="325" t="s">
        <v>3544</v>
      </c>
      <c r="H6" s="325" t="s">
        <v>3545</v>
      </c>
      <c r="I6" s="325" t="s">
        <v>3546</v>
      </c>
      <c r="J6" s="325" t="s">
        <v>3547</v>
      </c>
      <c r="K6" s="325" t="s">
        <v>3548</v>
      </c>
      <c r="L6" s="325" t="s">
        <v>3549</v>
      </c>
    </row>
    <row r="7" spans="1:13" ht="72.75" hidden="1" outlineLevel="1" thickBot="1">
      <c r="A7" s="152"/>
      <c r="B7" s="137" t="s">
        <v>3579</v>
      </c>
      <c r="C7" s="327" t="s">
        <v>3580</v>
      </c>
      <c r="D7" s="327" t="s">
        <v>3607</v>
      </c>
      <c r="E7" s="327" t="s">
        <v>3608</v>
      </c>
      <c r="F7" s="327" t="s">
        <v>3583</v>
      </c>
      <c r="G7" s="327" t="s">
        <v>3609</v>
      </c>
      <c r="H7" s="327" t="s">
        <v>3610</v>
      </c>
      <c r="I7" s="327" t="s">
        <v>3611</v>
      </c>
      <c r="J7" s="327" t="s">
        <v>3612</v>
      </c>
      <c r="K7" s="327" t="s">
        <v>3613</v>
      </c>
      <c r="L7" s="327" t="s">
        <v>3614</v>
      </c>
    </row>
    <row r="8" spans="1:13" ht="33.75" hidden="1" outlineLevel="1">
      <c r="A8" s="152"/>
      <c r="B8" s="324" t="s">
        <v>529</v>
      </c>
      <c r="C8" s="325" t="s">
        <v>3550</v>
      </c>
      <c r="D8" s="325" t="s">
        <v>3551</v>
      </c>
      <c r="E8" s="325" t="s">
        <v>3552</v>
      </c>
      <c r="F8" s="325" t="s">
        <v>3553</v>
      </c>
      <c r="G8" s="325" t="s">
        <v>3554</v>
      </c>
      <c r="H8" s="325" t="s">
        <v>3555</v>
      </c>
      <c r="I8" s="325" t="s">
        <v>3556</v>
      </c>
      <c r="J8" s="325" t="s">
        <v>3557</v>
      </c>
      <c r="K8" s="325" t="s">
        <v>3558</v>
      </c>
      <c r="L8" s="325" t="s">
        <v>3559</v>
      </c>
    </row>
    <row r="9" spans="1:13" ht="22.5" hidden="1" outlineLevel="1">
      <c r="A9" s="152" t="s">
        <v>3573</v>
      </c>
      <c r="B9" s="324" t="s">
        <v>3529</v>
      </c>
      <c r="C9" s="325" t="s">
        <v>3560</v>
      </c>
      <c r="D9" s="325" t="s">
        <v>3561</v>
      </c>
      <c r="E9" s="325" t="s">
        <v>3562</v>
      </c>
      <c r="F9" s="325" t="s">
        <v>3563</v>
      </c>
      <c r="G9" s="325" t="s">
        <v>3564</v>
      </c>
      <c r="H9" s="325" t="s">
        <v>3565</v>
      </c>
      <c r="I9" s="325" t="s">
        <v>3566</v>
      </c>
      <c r="J9" s="325" t="s">
        <v>3567</v>
      </c>
      <c r="K9" s="325" t="s">
        <v>3568</v>
      </c>
      <c r="L9" s="325" t="s">
        <v>3569</v>
      </c>
    </row>
    <row r="10" spans="1:13" collapsed="1">
      <c r="A10" s="127" t="s">
        <v>3575</v>
      </c>
      <c r="B10" s="328"/>
      <c r="C10" s="127" t="s">
        <v>2102</v>
      </c>
      <c r="D10" s="127" t="s">
        <v>2102</v>
      </c>
      <c r="E10" s="127" t="s">
        <v>2102</v>
      </c>
      <c r="F10" s="127" t="s">
        <v>2102</v>
      </c>
      <c r="G10" s="127" t="s">
        <v>2102</v>
      </c>
      <c r="H10" s="127" t="s">
        <v>2102</v>
      </c>
      <c r="I10" s="127" t="s">
        <v>2102</v>
      </c>
      <c r="J10" s="127" t="s">
        <v>2103</v>
      </c>
      <c r="K10" s="127"/>
      <c r="L10" s="127" t="s">
        <v>2104</v>
      </c>
    </row>
    <row r="11" spans="1:13">
      <c r="A11" s="127" t="s">
        <v>3574</v>
      </c>
      <c r="B11" s="328"/>
      <c r="C11" s="127"/>
      <c r="D11" s="127"/>
      <c r="E11" s="127"/>
      <c r="F11" s="127"/>
      <c r="G11" s="127"/>
      <c r="H11" s="127"/>
      <c r="I11" s="127"/>
      <c r="J11" s="127"/>
      <c r="K11" s="127"/>
      <c r="L11" s="127"/>
    </row>
    <row r="12" spans="1:13" ht="18">
      <c r="A12" s="334" t="s">
        <v>3576</v>
      </c>
      <c r="B12" s="328"/>
      <c r="C12" s="127"/>
      <c r="D12" s="127"/>
      <c r="E12" s="127"/>
      <c r="F12" s="127"/>
      <c r="G12" s="127"/>
      <c r="H12" s="127"/>
      <c r="I12" s="127"/>
      <c r="J12" s="127"/>
      <c r="K12" s="127"/>
      <c r="L12" s="127"/>
    </row>
    <row r="13" spans="1:13">
      <c r="A13" s="329" t="s">
        <v>3586</v>
      </c>
      <c r="B13" s="328"/>
      <c r="C13" s="127"/>
      <c r="D13" s="127"/>
      <c r="E13" s="127"/>
      <c r="F13" s="127"/>
      <c r="G13" s="127"/>
      <c r="H13" s="127"/>
      <c r="I13" s="127"/>
      <c r="J13" s="127"/>
      <c r="K13" s="127"/>
      <c r="L13" s="127"/>
    </row>
    <row r="14" spans="1:13" ht="31.5" customHeight="1">
      <c r="A14" s="329" t="s">
        <v>3587</v>
      </c>
      <c r="B14" s="127" t="str">
        <f t="shared" ref="B14" si="0">B3</f>
        <v>ترجمة اسم الإدارة</v>
      </c>
      <c r="C14" s="127" t="str">
        <f>C2</f>
        <v xml:space="preserve">سكرتارية </v>
      </c>
      <c r="D14" s="127" t="str">
        <f t="shared" ref="D14:L14" si="1">D2</f>
        <v xml:space="preserve">مدير المراجعة </v>
      </c>
      <c r="E14" s="127" t="str">
        <f t="shared" si="1"/>
        <v xml:space="preserve">المدقق الفني </v>
      </c>
      <c r="F14" s="127" t="str">
        <f t="shared" si="1"/>
        <v>المدقق الميداني</v>
      </c>
      <c r="G14" s="127" t="str">
        <f t="shared" si="1"/>
        <v>مساعد المدقق الفني</v>
      </c>
      <c r="H14" s="127" t="str">
        <f t="shared" si="1"/>
        <v>ضابط اتصال الشركة</v>
      </c>
      <c r="I14" s="127" t="str">
        <f t="shared" si="1"/>
        <v>ضبط الجودة</v>
      </c>
      <c r="J14" s="127" t="str">
        <f t="shared" si="1"/>
        <v>الشريك الإداري</v>
      </c>
      <c r="K14" s="127" t="str">
        <f t="shared" si="1"/>
        <v>مواقع ذات علاقة</v>
      </c>
      <c r="L14" s="127" t="str">
        <f t="shared" si="1"/>
        <v>الأرشيف</v>
      </c>
    </row>
    <row r="15" spans="1:13">
      <c r="A15" s="329" t="s">
        <v>3588</v>
      </c>
      <c r="B15" s="328"/>
      <c r="C15" s="127" t="s">
        <v>3584</v>
      </c>
      <c r="D15" s="127" t="s">
        <v>3584</v>
      </c>
      <c r="E15" s="127" t="s">
        <v>3584</v>
      </c>
      <c r="F15" s="127" t="s">
        <v>3584</v>
      </c>
      <c r="G15" s="127" t="s">
        <v>3584</v>
      </c>
      <c r="H15" s="127" t="s">
        <v>3584</v>
      </c>
      <c r="I15" s="127" t="s">
        <v>3584</v>
      </c>
      <c r="J15" s="127" t="s">
        <v>3584</v>
      </c>
      <c r="K15" s="127" t="s">
        <v>3584</v>
      </c>
      <c r="L15" s="127" t="s">
        <v>3584</v>
      </c>
    </row>
    <row r="16" spans="1:13">
      <c r="A16" s="329" t="s">
        <v>3589</v>
      </c>
      <c r="B16" s="328"/>
      <c r="C16" s="127" t="s">
        <v>3584</v>
      </c>
      <c r="D16" s="127" t="s">
        <v>3584</v>
      </c>
      <c r="E16" s="127" t="s">
        <v>3584</v>
      </c>
      <c r="F16" s="127" t="s">
        <v>3584</v>
      </c>
      <c r="G16" s="127" t="s">
        <v>3584</v>
      </c>
      <c r="H16" s="127" t="s">
        <v>3584</v>
      </c>
      <c r="I16" s="127" t="s">
        <v>3584</v>
      </c>
      <c r="J16" s="127" t="s">
        <v>3584</v>
      </c>
      <c r="K16" s="127" t="s">
        <v>3584</v>
      </c>
      <c r="L16" s="127" t="s">
        <v>3584</v>
      </c>
    </row>
    <row r="17" spans="1:12" ht="22.5">
      <c r="A17" s="329" t="s">
        <v>3590</v>
      </c>
      <c r="B17" s="328"/>
      <c r="C17" s="127" t="s">
        <v>3585</v>
      </c>
      <c r="D17" s="127" t="s">
        <v>3585</v>
      </c>
      <c r="E17" s="127" t="s">
        <v>3585</v>
      </c>
      <c r="F17" s="127" t="s">
        <v>3585</v>
      </c>
      <c r="G17" s="127" t="s">
        <v>3585</v>
      </c>
      <c r="H17" s="127" t="s">
        <v>3585</v>
      </c>
      <c r="I17" s="127" t="s">
        <v>3585</v>
      </c>
      <c r="J17" s="127" t="s">
        <v>3585</v>
      </c>
      <c r="K17" s="127" t="s">
        <v>3585</v>
      </c>
      <c r="L17" s="127" t="s">
        <v>3585</v>
      </c>
    </row>
    <row r="18" spans="1:12" ht="22.5">
      <c r="A18" s="329" t="s">
        <v>3591</v>
      </c>
      <c r="B18" s="328"/>
      <c r="C18" s="127" t="s">
        <v>3615</v>
      </c>
      <c r="D18" s="127"/>
      <c r="E18" s="127"/>
      <c r="F18" s="127"/>
      <c r="G18" s="127"/>
      <c r="H18" s="127"/>
      <c r="I18" s="127"/>
      <c r="J18" s="127"/>
      <c r="K18" s="127"/>
      <c r="L18" s="127"/>
    </row>
    <row r="19" spans="1:12" ht="22.5">
      <c r="A19" s="329" t="s">
        <v>3592</v>
      </c>
      <c r="B19" s="127" t="s">
        <v>3616</v>
      </c>
      <c r="C19" s="127" t="str">
        <f>_xlfn.CONCAT(D2,"و ",E2)</f>
        <v xml:space="preserve">مدير المراجعة و المدقق الفني </v>
      </c>
      <c r="D19" s="127" t="str">
        <f>J2</f>
        <v>الشريك الإداري</v>
      </c>
      <c r="E19" s="127" t="str">
        <f>D2</f>
        <v xml:space="preserve">مدير المراجعة </v>
      </c>
      <c r="F19" s="127" t="str">
        <f>E2</f>
        <v xml:space="preserve">المدقق الفني </v>
      </c>
      <c r="G19" s="127" t="str">
        <f>E2</f>
        <v xml:space="preserve">المدقق الفني </v>
      </c>
      <c r="H19" s="127" t="str">
        <f>_xlfn.CONCAT(C2,"و ",E2)</f>
        <v xml:space="preserve">سكرتارية و المدقق الفني </v>
      </c>
      <c r="I19" s="127" t="str">
        <f>J2</f>
        <v>الشريك الإداري</v>
      </c>
      <c r="J19" s="127" t="str">
        <f>J2</f>
        <v>الشريك الإداري</v>
      </c>
      <c r="K19" s="127"/>
      <c r="L19" s="127"/>
    </row>
    <row r="20" spans="1:12">
      <c r="A20" s="329" t="s">
        <v>3593</v>
      </c>
      <c r="B20" s="127" t="s">
        <v>3584</v>
      </c>
      <c r="C20" s="127" t="s">
        <v>3584</v>
      </c>
      <c r="D20" s="127" t="s">
        <v>3584</v>
      </c>
      <c r="E20" s="127" t="s">
        <v>3584</v>
      </c>
      <c r="F20" s="127" t="s">
        <v>3584</v>
      </c>
      <c r="G20" s="127" t="s">
        <v>3584</v>
      </c>
      <c r="H20" s="127" t="s">
        <v>3584</v>
      </c>
      <c r="I20" s="127" t="s">
        <v>3584</v>
      </c>
      <c r="J20" s="127" t="s">
        <v>3584</v>
      </c>
      <c r="K20" s="127" t="s">
        <v>3584</v>
      </c>
      <c r="L20" s="127" t="s">
        <v>3584</v>
      </c>
    </row>
    <row r="21" spans="1:12" ht="18">
      <c r="A21" s="334" t="s">
        <v>3577</v>
      </c>
      <c r="B21" s="328"/>
      <c r="C21" s="127"/>
      <c r="D21" s="127"/>
      <c r="E21" s="127"/>
      <c r="F21" s="127"/>
      <c r="G21" s="127"/>
      <c r="H21" s="127"/>
      <c r="I21" s="127"/>
      <c r="J21" s="127"/>
      <c r="K21" s="127"/>
      <c r="L21" s="127"/>
    </row>
    <row r="22" spans="1:12" ht="33.75">
      <c r="A22" s="329" t="s">
        <v>3594</v>
      </c>
      <c r="B22" s="328" t="s">
        <v>3617</v>
      </c>
      <c r="C22" s="328" t="s">
        <v>3617</v>
      </c>
      <c r="D22" s="328" t="s">
        <v>3617</v>
      </c>
      <c r="E22" s="328" t="s">
        <v>3617</v>
      </c>
      <c r="F22" s="328" t="s">
        <v>3617</v>
      </c>
      <c r="G22" s="328" t="s">
        <v>3617</v>
      </c>
      <c r="H22" s="328" t="s">
        <v>3617</v>
      </c>
      <c r="I22" s="328" t="s">
        <v>3617</v>
      </c>
      <c r="J22" s="328" t="s">
        <v>3617</v>
      </c>
      <c r="K22" s="328" t="s">
        <v>3617</v>
      </c>
      <c r="L22" s="328" t="s">
        <v>3617</v>
      </c>
    </row>
    <row r="23" spans="1:12" ht="22.5">
      <c r="A23" s="329" t="s">
        <v>3595</v>
      </c>
      <c r="B23" s="328" t="s">
        <v>3618</v>
      </c>
      <c r="C23" s="328" t="s">
        <v>3618</v>
      </c>
      <c r="D23" s="328" t="s">
        <v>3618</v>
      </c>
      <c r="E23" s="328" t="s">
        <v>3618</v>
      </c>
      <c r="F23" s="328" t="s">
        <v>3618</v>
      </c>
      <c r="G23" s="328" t="s">
        <v>3618</v>
      </c>
      <c r="H23" s="328" t="s">
        <v>3618</v>
      </c>
      <c r="I23" s="328" t="s">
        <v>3618</v>
      </c>
      <c r="J23" s="328" t="s">
        <v>3618</v>
      </c>
      <c r="K23" s="328" t="s">
        <v>3618</v>
      </c>
      <c r="L23" s="328" t="s">
        <v>3618</v>
      </c>
    </row>
    <row r="24" spans="1:12">
      <c r="A24" s="329" t="s">
        <v>3596</v>
      </c>
      <c r="B24" s="328" t="s">
        <v>3619</v>
      </c>
      <c r="C24" s="328" t="s">
        <v>3619</v>
      </c>
      <c r="D24" s="328" t="s">
        <v>3619</v>
      </c>
      <c r="E24" s="328" t="s">
        <v>3619</v>
      </c>
      <c r="F24" s="328" t="s">
        <v>3619</v>
      </c>
      <c r="G24" s="328" t="s">
        <v>3619</v>
      </c>
      <c r="H24" s="328" t="s">
        <v>3619</v>
      </c>
      <c r="I24" s="328" t="s">
        <v>3619</v>
      </c>
      <c r="J24" s="328" t="s">
        <v>3619</v>
      </c>
      <c r="K24" s="328" t="s">
        <v>3619</v>
      </c>
      <c r="L24" s="328" t="s">
        <v>3619</v>
      </c>
    </row>
    <row r="25" spans="1:12">
      <c r="A25" s="329" t="s">
        <v>3597</v>
      </c>
      <c r="B25" s="127" t="s">
        <v>3584</v>
      </c>
      <c r="C25" s="127" t="s">
        <v>3584</v>
      </c>
      <c r="D25" s="127" t="s">
        <v>3584</v>
      </c>
      <c r="E25" s="127" t="s">
        <v>3584</v>
      </c>
      <c r="F25" s="127" t="s">
        <v>3584</v>
      </c>
      <c r="G25" s="127" t="s">
        <v>3584</v>
      </c>
      <c r="H25" s="127" t="s">
        <v>3584</v>
      </c>
      <c r="I25" s="127" t="s">
        <v>3584</v>
      </c>
      <c r="J25" s="127" t="s">
        <v>3584</v>
      </c>
      <c r="K25" s="127" t="s">
        <v>3584</v>
      </c>
      <c r="L25" s="127" t="s">
        <v>3584</v>
      </c>
    </row>
    <row r="26" spans="1:12">
      <c r="A26" s="329" t="s">
        <v>3598</v>
      </c>
      <c r="B26" s="328" t="s">
        <v>3584</v>
      </c>
      <c r="C26" s="328" t="s">
        <v>3584</v>
      </c>
      <c r="D26" s="328" t="s">
        <v>3584</v>
      </c>
      <c r="E26" s="328" t="s">
        <v>3584</v>
      </c>
      <c r="F26" s="328" t="s">
        <v>3584</v>
      </c>
      <c r="G26" s="328" t="s">
        <v>3584</v>
      </c>
      <c r="H26" s="328" t="s">
        <v>3584</v>
      </c>
      <c r="I26" s="328" t="s">
        <v>3584</v>
      </c>
      <c r="J26" s="328" t="s">
        <v>3584</v>
      </c>
      <c r="K26" s="328" t="s">
        <v>3584</v>
      </c>
      <c r="L26" s="328" t="s">
        <v>3584</v>
      </c>
    </row>
    <row r="27" spans="1:12">
      <c r="A27" s="329" t="s">
        <v>3599</v>
      </c>
      <c r="B27" s="328" t="s">
        <v>3584</v>
      </c>
      <c r="C27" s="328" t="s">
        <v>3584</v>
      </c>
      <c r="D27" s="328" t="s">
        <v>3584</v>
      </c>
      <c r="E27" s="328" t="s">
        <v>3584</v>
      </c>
      <c r="F27" s="328" t="s">
        <v>3584</v>
      </c>
      <c r="G27" s="328" t="s">
        <v>3584</v>
      </c>
      <c r="H27" s="328" t="s">
        <v>3584</v>
      </c>
      <c r="I27" s="328" t="s">
        <v>3584</v>
      </c>
      <c r="J27" s="328" t="s">
        <v>3584</v>
      </c>
      <c r="K27" s="328" t="s">
        <v>3584</v>
      </c>
      <c r="L27" s="328" t="s">
        <v>3584</v>
      </c>
    </row>
    <row r="28" spans="1:12">
      <c r="A28" s="329" t="s">
        <v>3600</v>
      </c>
      <c r="B28" s="328" t="s">
        <v>3584</v>
      </c>
      <c r="C28" s="328" t="s">
        <v>3584</v>
      </c>
      <c r="D28" s="328" t="s">
        <v>3584</v>
      </c>
      <c r="E28" s="328" t="s">
        <v>3584</v>
      </c>
      <c r="F28" s="328" t="s">
        <v>3584</v>
      </c>
      <c r="G28" s="328" t="s">
        <v>3584</v>
      </c>
      <c r="H28" s="328" t="s">
        <v>3584</v>
      </c>
      <c r="I28" s="328" t="s">
        <v>3584</v>
      </c>
      <c r="J28" s="328" t="s">
        <v>3584</v>
      </c>
      <c r="K28" s="328" t="s">
        <v>3584</v>
      </c>
      <c r="L28" s="328" t="s">
        <v>3584</v>
      </c>
    </row>
    <row r="29" spans="1:12" ht="18">
      <c r="A29" s="334" t="s">
        <v>3578</v>
      </c>
      <c r="B29" s="328"/>
      <c r="C29" s="127"/>
      <c r="D29" s="127"/>
      <c r="E29" s="127"/>
      <c r="F29" s="127"/>
      <c r="G29" s="127"/>
      <c r="H29" s="127"/>
      <c r="I29" s="127"/>
      <c r="J29" s="127"/>
      <c r="K29" s="127"/>
      <c r="L29" s="127"/>
    </row>
    <row r="30" spans="1:12">
      <c r="A30" s="329" t="s">
        <v>3601</v>
      </c>
      <c r="B30" s="328" t="s">
        <v>3584</v>
      </c>
      <c r="C30" s="328" t="s">
        <v>3584</v>
      </c>
      <c r="D30" s="328" t="s">
        <v>3584</v>
      </c>
      <c r="E30" s="328" t="s">
        <v>3584</v>
      </c>
      <c r="F30" s="328" t="s">
        <v>3584</v>
      </c>
      <c r="G30" s="328" t="s">
        <v>3584</v>
      </c>
      <c r="H30" s="328" t="s">
        <v>3584</v>
      </c>
      <c r="I30" s="328" t="s">
        <v>3584</v>
      </c>
      <c r="J30" s="328" t="s">
        <v>3584</v>
      </c>
      <c r="K30" s="328" t="s">
        <v>3584</v>
      </c>
      <c r="L30" s="328" t="s">
        <v>3584</v>
      </c>
    </row>
    <row r="31" spans="1:12" ht="22.5">
      <c r="A31" s="329" t="s">
        <v>3602</v>
      </c>
      <c r="B31" s="328" t="s">
        <v>3620</v>
      </c>
      <c r="C31" s="328" t="s">
        <v>3620</v>
      </c>
      <c r="D31" s="328" t="s">
        <v>3620</v>
      </c>
      <c r="E31" s="328" t="s">
        <v>3620</v>
      </c>
      <c r="F31" s="328" t="s">
        <v>3620</v>
      </c>
      <c r="G31" s="328" t="s">
        <v>3620</v>
      </c>
      <c r="H31" s="328" t="s">
        <v>3620</v>
      </c>
      <c r="I31" s="328" t="s">
        <v>3620</v>
      </c>
      <c r="J31" s="328" t="s">
        <v>3620</v>
      </c>
      <c r="K31" s="328" t="s">
        <v>3620</v>
      </c>
      <c r="L31" s="328" t="s">
        <v>3620</v>
      </c>
    </row>
    <row r="32" spans="1:12" ht="22.5">
      <c r="A32" s="330" t="s">
        <v>3603</v>
      </c>
      <c r="B32" s="328" t="s">
        <v>3620</v>
      </c>
      <c r="C32" s="328" t="s">
        <v>3620</v>
      </c>
      <c r="D32" s="328" t="s">
        <v>3620</v>
      </c>
      <c r="E32" s="328" t="s">
        <v>3620</v>
      </c>
      <c r="F32" s="328" t="s">
        <v>3620</v>
      </c>
      <c r="G32" s="328" t="s">
        <v>3620</v>
      </c>
      <c r="H32" s="328" t="s">
        <v>3620</v>
      </c>
      <c r="I32" s="328" t="s">
        <v>3620</v>
      </c>
      <c r="J32" s="328" t="s">
        <v>3620</v>
      </c>
      <c r="K32" s="328" t="s">
        <v>3620</v>
      </c>
      <c r="L32" s="328" t="s">
        <v>3620</v>
      </c>
    </row>
    <row r="33" spans="1:12" ht="18">
      <c r="A33" s="334" t="s">
        <v>3581</v>
      </c>
      <c r="B33" s="328"/>
      <c r="C33" s="127"/>
      <c r="D33" s="127"/>
      <c r="E33" s="127"/>
      <c r="F33" s="127"/>
      <c r="G33" s="127"/>
      <c r="H33" s="127"/>
      <c r="I33" s="127"/>
      <c r="J33" s="127"/>
      <c r="K33" s="127"/>
      <c r="L33" s="127"/>
    </row>
    <row r="34" spans="1:12" ht="45">
      <c r="A34" s="127" t="s">
        <v>3582</v>
      </c>
      <c r="B34" s="328"/>
      <c r="C34" s="127" t="s">
        <v>312</v>
      </c>
      <c r="D34" s="127" t="s">
        <v>3621</v>
      </c>
      <c r="E34" s="127" t="s">
        <v>3622</v>
      </c>
      <c r="F34" s="127" t="s">
        <v>3622</v>
      </c>
      <c r="G34" s="127" t="s">
        <v>3622</v>
      </c>
      <c r="H34" s="127" t="s">
        <v>3622</v>
      </c>
      <c r="I34" s="127" t="s">
        <v>3622</v>
      </c>
      <c r="J34" s="127" t="s">
        <v>3622</v>
      </c>
      <c r="K34" s="127" t="s">
        <v>3622</v>
      </c>
      <c r="L34" s="127" t="s">
        <v>3622</v>
      </c>
    </row>
    <row r="35" spans="1:12">
      <c r="A35" s="127" t="s">
        <v>2057</v>
      </c>
      <c r="B35" s="328"/>
      <c r="C35" s="127" t="s">
        <v>2058</v>
      </c>
      <c r="D35" s="127" t="s">
        <v>2059</v>
      </c>
      <c r="E35" s="127" t="s">
        <v>2055</v>
      </c>
      <c r="F35" s="127" t="s">
        <v>2056</v>
      </c>
      <c r="G35" s="127" t="s">
        <v>2056</v>
      </c>
      <c r="H35" s="127" t="s">
        <v>2060</v>
      </c>
      <c r="I35" s="127" t="s">
        <v>2055</v>
      </c>
      <c r="J35" s="127" t="s">
        <v>2055</v>
      </c>
      <c r="K35" s="127"/>
      <c r="L35" s="127" t="s">
        <v>2056</v>
      </c>
    </row>
    <row r="36" spans="1:12" ht="22.5">
      <c r="A36" s="127" t="s">
        <v>2062</v>
      </c>
      <c r="B36" s="328"/>
      <c r="C36" s="127" t="s">
        <v>2106</v>
      </c>
      <c r="D36" s="127" t="s">
        <v>2106</v>
      </c>
      <c r="E36" s="127" t="s">
        <v>2107</v>
      </c>
      <c r="F36" s="127" t="s">
        <v>2107</v>
      </c>
      <c r="G36" s="127" t="s">
        <v>2107</v>
      </c>
      <c r="H36" s="127" t="s">
        <v>2107</v>
      </c>
      <c r="I36" s="127" t="s">
        <v>2107</v>
      </c>
      <c r="J36" s="127" t="s">
        <v>2106</v>
      </c>
      <c r="K36" s="127"/>
      <c r="L36" s="127" t="s">
        <v>2056</v>
      </c>
    </row>
    <row r="37" spans="1:12">
      <c r="A37" s="127" t="s">
        <v>2063</v>
      </c>
      <c r="B37" s="328"/>
      <c r="C37" s="127" t="s">
        <v>2056</v>
      </c>
      <c r="D37" s="127" t="s">
        <v>2058</v>
      </c>
      <c r="E37" s="127" t="s">
        <v>2064</v>
      </c>
      <c r="F37" s="127" t="s">
        <v>2055</v>
      </c>
      <c r="G37" s="127" t="s">
        <v>2055</v>
      </c>
      <c r="H37" s="127" t="s">
        <v>2056</v>
      </c>
      <c r="I37" s="127" t="s">
        <v>2055</v>
      </c>
      <c r="J37" s="127" t="s">
        <v>2055</v>
      </c>
      <c r="K37" s="127"/>
      <c r="L37" s="127" t="s">
        <v>2056</v>
      </c>
    </row>
    <row r="38" spans="1:12">
      <c r="A38" s="127" t="s">
        <v>2096</v>
      </c>
      <c r="B38" s="328"/>
      <c r="C38" s="127" t="s">
        <v>2055</v>
      </c>
      <c r="D38" s="127" t="s">
        <v>2065</v>
      </c>
      <c r="E38" s="127" t="s">
        <v>2066</v>
      </c>
      <c r="F38" s="127" t="s">
        <v>2055</v>
      </c>
      <c r="G38" s="127" t="s">
        <v>2055</v>
      </c>
      <c r="H38" s="127" t="s">
        <v>2055</v>
      </c>
      <c r="I38" s="127" t="s">
        <v>2055</v>
      </c>
      <c r="J38" s="127" t="s">
        <v>2055</v>
      </c>
      <c r="K38" s="127"/>
      <c r="L38" s="127" t="s">
        <v>2056</v>
      </c>
    </row>
    <row r="39" spans="1:12">
      <c r="A39" s="127" t="s">
        <v>2097</v>
      </c>
      <c r="B39" s="328"/>
      <c r="C39" s="127" t="s">
        <v>2055</v>
      </c>
      <c r="D39" s="127" t="s">
        <v>2067</v>
      </c>
      <c r="E39" s="127" t="s">
        <v>2068</v>
      </c>
      <c r="F39" s="127" t="s">
        <v>2069</v>
      </c>
      <c r="G39" s="127" t="s">
        <v>2070</v>
      </c>
      <c r="H39" s="127" t="s">
        <v>2071</v>
      </c>
      <c r="I39" s="127" t="s">
        <v>2072</v>
      </c>
      <c r="J39" s="127" t="s">
        <v>2055</v>
      </c>
      <c r="K39" s="127"/>
      <c r="L39" s="127" t="s">
        <v>2056</v>
      </c>
    </row>
    <row r="40" spans="1:12">
      <c r="A40" s="127" t="s">
        <v>2098</v>
      </c>
      <c r="B40" s="328"/>
      <c r="C40" s="127" t="s">
        <v>2056</v>
      </c>
      <c r="D40" s="127" t="s">
        <v>2055</v>
      </c>
      <c r="E40" s="127" t="s">
        <v>2058</v>
      </c>
      <c r="F40" s="127" t="s">
        <v>2073</v>
      </c>
      <c r="G40" s="127" t="s">
        <v>2074</v>
      </c>
      <c r="H40" s="127" t="s">
        <v>2075</v>
      </c>
      <c r="I40" s="127" t="s">
        <v>2076</v>
      </c>
      <c r="J40" s="127" t="s">
        <v>2055</v>
      </c>
      <c r="K40" s="127"/>
      <c r="L40" s="127" t="s">
        <v>2056</v>
      </c>
    </row>
    <row r="41" spans="1:12">
      <c r="A41" s="127" t="s">
        <v>2099</v>
      </c>
      <c r="B41" s="328"/>
      <c r="C41" s="127" t="s">
        <v>2056</v>
      </c>
      <c r="D41" s="127" t="s">
        <v>2055</v>
      </c>
      <c r="E41" s="127" t="s">
        <v>2064</v>
      </c>
      <c r="F41" s="127" t="s">
        <v>2056</v>
      </c>
      <c r="G41" s="127" t="s">
        <v>2056</v>
      </c>
      <c r="H41" s="127" t="s">
        <v>2055</v>
      </c>
      <c r="I41" s="127" t="s">
        <v>2077</v>
      </c>
      <c r="J41" s="127" t="s">
        <v>2078</v>
      </c>
      <c r="K41" s="127"/>
      <c r="L41" s="127" t="s">
        <v>2056</v>
      </c>
    </row>
    <row r="42" spans="1:12">
      <c r="A42" s="127" t="s">
        <v>2100</v>
      </c>
      <c r="B42" s="328"/>
      <c r="C42" s="127" t="s">
        <v>2056</v>
      </c>
      <c r="D42" s="127" t="s">
        <v>2055</v>
      </c>
      <c r="E42" s="127" t="s">
        <v>2055</v>
      </c>
      <c r="F42" s="127" t="s">
        <v>2055</v>
      </c>
      <c r="G42" s="127" t="s">
        <v>2055</v>
      </c>
      <c r="H42" s="127" t="s">
        <v>2056</v>
      </c>
      <c r="I42" s="127" t="s">
        <v>2058</v>
      </c>
      <c r="J42" s="127" t="s">
        <v>2055</v>
      </c>
      <c r="K42" s="127"/>
      <c r="L42" s="127" t="s">
        <v>2056</v>
      </c>
    </row>
    <row r="43" spans="1:12">
      <c r="A43" s="127" t="s">
        <v>2079</v>
      </c>
      <c r="B43" s="328"/>
      <c r="C43" s="127" t="s">
        <v>2056</v>
      </c>
      <c r="D43" s="127" t="s">
        <v>2058</v>
      </c>
      <c r="E43" s="127" t="s">
        <v>2055</v>
      </c>
      <c r="F43" s="127" t="s">
        <v>2056</v>
      </c>
      <c r="G43" s="127" t="s">
        <v>2056</v>
      </c>
      <c r="H43" s="127" t="s">
        <v>2055</v>
      </c>
      <c r="I43" s="127" t="s">
        <v>2055</v>
      </c>
      <c r="J43" s="127" t="s">
        <v>2055</v>
      </c>
      <c r="K43" s="127"/>
      <c r="L43" s="127" t="s">
        <v>2056</v>
      </c>
    </row>
    <row r="44" spans="1:12">
      <c r="A44" s="127" t="s">
        <v>2080</v>
      </c>
      <c r="B44" s="328"/>
      <c r="C44" s="127" t="s">
        <v>2056</v>
      </c>
      <c r="D44" s="127" t="s">
        <v>2081</v>
      </c>
      <c r="E44" s="127" t="s">
        <v>2081</v>
      </c>
      <c r="F44" s="127" t="s">
        <v>2055</v>
      </c>
      <c r="G44" s="127" t="s">
        <v>2055</v>
      </c>
      <c r="H44" s="127" t="s">
        <v>2082</v>
      </c>
      <c r="I44" s="127" t="s">
        <v>2083</v>
      </c>
      <c r="J44" s="127" t="s">
        <v>2058</v>
      </c>
      <c r="K44" s="127"/>
      <c r="L44" s="127" t="s">
        <v>2056</v>
      </c>
    </row>
    <row r="45" spans="1:12">
      <c r="A45" s="127" t="s">
        <v>2084</v>
      </c>
      <c r="B45" s="328"/>
      <c r="C45" s="127" t="s">
        <v>2085</v>
      </c>
      <c r="D45" s="127" t="s">
        <v>774</v>
      </c>
      <c r="E45" s="127" t="s">
        <v>774</v>
      </c>
      <c r="F45" s="127" t="s">
        <v>2056</v>
      </c>
      <c r="G45" s="127" t="s">
        <v>2056</v>
      </c>
      <c r="H45" s="127" t="s">
        <v>2086</v>
      </c>
      <c r="I45" s="127" t="s">
        <v>774</v>
      </c>
      <c r="J45" s="127" t="s">
        <v>2087</v>
      </c>
      <c r="K45" s="127"/>
      <c r="L45" s="127" t="s">
        <v>2056</v>
      </c>
    </row>
    <row r="46" spans="1:12">
      <c r="A46" s="127" t="s">
        <v>2088</v>
      </c>
      <c r="B46" s="328"/>
      <c r="C46" s="127" t="s">
        <v>2056</v>
      </c>
      <c r="D46" s="127" t="s">
        <v>2058</v>
      </c>
      <c r="E46" s="127" t="s">
        <v>2061</v>
      </c>
      <c r="F46" s="127" t="s">
        <v>2061</v>
      </c>
      <c r="G46" s="127" t="s">
        <v>2061</v>
      </c>
      <c r="H46" s="127" t="s">
        <v>2056</v>
      </c>
      <c r="I46" s="127" t="s">
        <v>2089</v>
      </c>
      <c r="J46" s="127" t="s">
        <v>2058</v>
      </c>
      <c r="K46" s="127"/>
      <c r="L46" s="127" t="s">
        <v>2056</v>
      </c>
    </row>
    <row r="47" spans="1:12">
      <c r="A47" s="127" t="s">
        <v>2090</v>
      </c>
      <c r="B47" s="328"/>
      <c r="C47" s="127" t="s">
        <v>2056</v>
      </c>
      <c r="D47" s="127" t="s">
        <v>2056</v>
      </c>
      <c r="E47" s="127" t="s">
        <v>2056</v>
      </c>
      <c r="F47" s="127" t="s">
        <v>2056</v>
      </c>
      <c r="G47" s="127" t="s">
        <v>2056</v>
      </c>
      <c r="H47" s="127" t="s">
        <v>2056</v>
      </c>
      <c r="I47" s="127" t="s">
        <v>2056</v>
      </c>
      <c r="J47" s="127" t="s">
        <v>2058</v>
      </c>
      <c r="K47" s="127"/>
      <c r="L47" s="127" t="s">
        <v>2056</v>
      </c>
    </row>
    <row r="48" spans="1:12">
      <c r="A48" s="127" t="s">
        <v>2091</v>
      </c>
      <c r="B48" s="328"/>
      <c r="C48" s="127" t="s">
        <v>2056</v>
      </c>
      <c r="D48" s="127" t="s">
        <v>2056</v>
      </c>
      <c r="E48" s="127" t="s">
        <v>2056</v>
      </c>
      <c r="F48" s="127" t="s">
        <v>2056</v>
      </c>
      <c r="G48" s="127" t="s">
        <v>2056</v>
      </c>
      <c r="H48" s="127" t="s">
        <v>2056</v>
      </c>
      <c r="I48" s="127" t="s">
        <v>2055</v>
      </c>
      <c r="J48" s="127" t="s">
        <v>2055</v>
      </c>
      <c r="K48" s="127"/>
      <c r="L48" s="127" t="s">
        <v>2058</v>
      </c>
    </row>
    <row r="49" spans="1:12">
      <c r="A49" s="127" t="s">
        <v>2092</v>
      </c>
      <c r="B49" s="328"/>
      <c r="C49" s="127" t="s">
        <v>2056</v>
      </c>
      <c r="D49" s="127" t="s">
        <v>2093</v>
      </c>
      <c r="E49" s="127" t="s">
        <v>2094</v>
      </c>
      <c r="F49" s="127" t="s">
        <v>2094</v>
      </c>
      <c r="G49" s="127" t="s">
        <v>2094</v>
      </c>
      <c r="H49" s="127" t="s">
        <v>2095</v>
      </c>
      <c r="I49" s="127" t="s">
        <v>2058</v>
      </c>
      <c r="J49" s="127" t="s">
        <v>2058</v>
      </c>
      <c r="K49" s="127"/>
      <c r="L49" s="127" t="s">
        <v>2058</v>
      </c>
    </row>
    <row r="50" spans="1:12">
      <c r="A50" s="331" t="s">
        <v>2101</v>
      </c>
      <c r="B50" s="328"/>
      <c r="C50" s="332"/>
      <c r="D50" s="332"/>
      <c r="E50" s="332"/>
      <c r="F50" s="332"/>
      <c r="G50" s="332"/>
      <c r="H50" s="332"/>
      <c r="I50" s="332"/>
      <c r="J50" s="332"/>
      <c r="K50" s="332"/>
      <c r="L50" s="332"/>
    </row>
    <row r="51" spans="1:12">
      <c r="A51" s="333"/>
      <c r="B51" s="328"/>
      <c r="C51" s="332"/>
      <c r="D51" s="332"/>
      <c r="E51" s="332"/>
      <c r="F51" s="332"/>
      <c r="G51" s="332"/>
      <c r="H51" s="332"/>
      <c r="I51" s="332"/>
      <c r="J51" s="332"/>
      <c r="K51" s="332"/>
      <c r="L51" s="332"/>
    </row>
    <row r="52" spans="1:12">
      <c r="A52" s="540" t="s">
        <v>3604</v>
      </c>
      <c r="B52" s="540"/>
      <c r="C52" s="541"/>
      <c r="D52" s="541"/>
      <c r="E52" s="541"/>
      <c r="F52" s="541"/>
      <c r="G52" s="541"/>
      <c r="H52" s="541"/>
      <c r="I52" s="541"/>
      <c r="J52" s="541"/>
      <c r="K52" s="541"/>
      <c r="L52" s="541"/>
    </row>
    <row r="53" spans="1:12">
      <c r="A53" s="332" t="s">
        <v>2105</v>
      </c>
      <c r="B53" s="332"/>
      <c r="C53" s="332"/>
      <c r="D53" s="332"/>
      <c r="E53" s="332"/>
      <c r="F53" s="332"/>
      <c r="G53" s="332"/>
      <c r="H53" s="332"/>
      <c r="I53" s="332"/>
      <c r="J53" s="332"/>
      <c r="K53" s="332"/>
      <c r="L53" s="332"/>
    </row>
    <row r="54" spans="1:12">
      <c r="A54" s="540" t="s">
        <v>3605</v>
      </c>
      <c r="B54" s="540"/>
      <c r="C54" s="541"/>
      <c r="D54" s="541"/>
      <c r="E54" s="541"/>
      <c r="F54" s="541"/>
      <c r="G54" s="541"/>
      <c r="H54" s="541"/>
      <c r="I54" s="541"/>
      <c r="J54" s="541"/>
      <c r="K54" s="541"/>
      <c r="L54" s="541"/>
    </row>
    <row r="55" spans="1:12">
      <c r="A55" s="333"/>
      <c r="B55" s="333"/>
      <c r="C55" s="332"/>
      <c r="D55" s="332"/>
      <c r="E55" s="332"/>
      <c r="F55" s="332"/>
      <c r="G55" s="332"/>
      <c r="H55" s="332"/>
      <c r="I55" s="332"/>
      <c r="J55" s="332"/>
      <c r="K55" s="332"/>
      <c r="L55" s="332"/>
    </row>
    <row r="56" spans="1:12">
      <c r="A56" s="540" t="s">
        <v>3606</v>
      </c>
      <c r="B56" s="540"/>
      <c r="C56" s="541"/>
      <c r="D56" s="541"/>
      <c r="E56" s="541"/>
      <c r="F56" s="541"/>
      <c r="G56" s="541"/>
      <c r="H56" s="541"/>
      <c r="I56" s="541"/>
      <c r="J56" s="541"/>
      <c r="K56" s="541"/>
      <c r="L56" s="541"/>
    </row>
  </sheetData>
  <mergeCells count="3">
    <mergeCell ref="A52:L52"/>
    <mergeCell ref="A54:L54"/>
    <mergeCell ref="A56:L5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BF44-1551-4AD9-95F9-9B964EA53325}">
  <dimension ref="A1:N36"/>
  <sheetViews>
    <sheetView rightToLeft="1" view="pageBreakPreview" topLeftCell="C10" zoomScale="106" zoomScaleSheetLayoutView="106" workbookViewId="0">
      <selection activeCell="J3" sqref="J3:J36"/>
    </sheetView>
  </sheetViews>
  <sheetFormatPr defaultRowHeight="15"/>
  <cols>
    <col min="1" max="1" width="9" style="322"/>
    <col min="2" max="3" width="20.625" style="322" customWidth="1"/>
    <col min="4" max="4" width="13.625" style="322" customWidth="1"/>
    <col min="5" max="5" width="20.625" style="322" customWidth="1"/>
    <col min="6" max="6" width="38.5" style="322" customWidth="1"/>
    <col min="7" max="7" width="9.625" style="322" customWidth="1"/>
    <col min="8" max="8" width="14" style="322" customWidth="1"/>
    <col min="9" max="9" width="26.125" style="322" customWidth="1"/>
    <col min="10" max="12" width="9.625" style="322" customWidth="1"/>
    <col min="13" max="13" width="12.75" style="322" customWidth="1"/>
    <col min="14" max="14" width="11.375" style="322" customWidth="1"/>
    <col min="15" max="16384" width="9" style="322"/>
  </cols>
  <sheetData>
    <row r="1" spans="1:14">
      <c r="C1" s="542" t="s">
        <v>3822</v>
      </c>
      <c r="D1" s="543"/>
      <c r="E1" s="543"/>
      <c r="F1" s="543"/>
      <c r="G1" s="543"/>
      <c r="H1" s="543"/>
      <c r="I1" s="543"/>
      <c r="J1" s="543"/>
      <c r="K1" s="543"/>
      <c r="L1" s="543"/>
      <c r="M1" s="543"/>
      <c r="N1" s="543"/>
    </row>
    <row r="2" spans="1:14" s="29" customFormat="1" ht="54">
      <c r="A2" s="326" t="s">
        <v>2245</v>
      </c>
      <c r="B2" s="326" t="s">
        <v>2247</v>
      </c>
      <c r="C2" s="326" t="s">
        <v>3258</v>
      </c>
      <c r="D2" s="326" t="s">
        <v>3334</v>
      </c>
      <c r="E2" s="326" t="s">
        <v>3259</v>
      </c>
      <c r="F2" s="326" t="s">
        <v>3260</v>
      </c>
      <c r="G2" s="326" t="s">
        <v>3443</v>
      </c>
      <c r="H2" s="326" t="s">
        <v>3444</v>
      </c>
      <c r="I2" s="326" t="s">
        <v>3445</v>
      </c>
      <c r="J2" s="339" t="s">
        <v>3813</v>
      </c>
      <c r="K2" s="326" t="s">
        <v>3446</v>
      </c>
      <c r="L2" s="326" t="s">
        <v>3447</v>
      </c>
      <c r="M2" s="339" t="s">
        <v>3812</v>
      </c>
      <c r="N2" s="339" t="s">
        <v>3814</v>
      </c>
    </row>
    <row r="3" spans="1:14">
      <c r="A3" s="322" t="s">
        <v>3261</v>
      </c>
      <c r="B3" s="322" t="s">
        <v>3262</v>
      </c>
      <c r="C3" s="322" t="s">
        <v>3263</v>
      </c>
      <c r="D3" s="322" t="s">
        <v>3335</v>
      </c>
      <c r="E3" s="322" t="s">
        <v>3264</v>
      </c>
      <c r="F3" s="322" t="s">
        <v>3265</v>
      </c>
      <c r="G3" s="322" t="s">
        <v>3448</v>
      </c>
      <c r="H3" s="341" t="s">
        <v>3449</v>
      </c>
      <c r="I3" s="322" t="s">
        <v>3810</v>
      </c>
      <c r="J3" s="322">
        <v>0</v>
      </c>
      <c r="K3" s="322">
        <v>3</v>
      </c>
      <c r="L3" s="322">
        <v>1</v>
      </c>
      <c r="M3" s="322">
        <f>J3*L3*K3</f>
        <v>0</v>
      </c>
      <c r="N3" s="338" t="s">
        <v>3815</v>
      </c>
    </row>
    <row r="4" spans="1:14">
      <c r="A4" s="322" t="s">
        <v>3266</v>
      </c>
      <c r="B4" s="322" t="s">
        <v>971</v>
      </c>
      <c r="C4" s="322" t="s">
        <v>3267</v>
      </c>
      <c r="D4" s="322" t="s">
        <v>3335</v>
      </c>
      <c r="E4" s="322" t="s">
        <v>3268</v>
      </c>
      <c r="F4" s="322" t="s">
        <v>3269</v>
      </c>
      <c r="G4" s="322" t="s">
        <v>3450</v>
      </c>
      <c r="H4" s="340" t="s">
        <v>3451</v>
      </c>
      <c r="I4" s="322" t="s">
        <v>3810</v>
      </c>
      <c r="J4" s="322">
        <v>2</v>
      </c>
      <c r="K4" s="322">
        <v>3</v>
      </c>
      <c r="L4" s="322">
        <v>1</v>
      </c>
      <c r="M4" s="322">
        <f t="shared" ref="M4:M36" si="0">J4*L4*K4</f>
        <v>6</v>
      </c>
      <c r="N4" s="338" t="s">
        <v>3815</v>
      </c>
    </row>
    <row r="5" spans="1:14">
      <c r="A5" s="322" t="s">
        <v>3270</v>
      </c>
      <c r="B5" s="322" t="s">
        <v>3271</v>
      </c>
      <c r="C5" s="322" t="s">
        <v>3272</v>
      </c>
      <c r="D5" s="322" t="s">
        <v>3335</v>
      </c>
      <c r="E5" s="322" t="s">
        <v>3273</v>
      </c>
      <c r="F5" s="322" t="s">
        <v>3274</v>
      </c>
      <c r="G5" s="322" t="s">
        <v>3452</v>
      </c>
      <c r="H5" s="347" t="s">
        <v>3453</v>
      </c>
      <c r="I5" s="322" t="s">
        <v>3454</v>
      </c>
      <c r="J5" s="322">
        <v>5</v>
      </c>
      <c r="K5" s="322">
        <v>3</v>
      </c>
      <c r="L5" s="322">
        <v>3</v>
      </c>
      <c r="M5" s="322">
        <f t="shared" si="0"/>
        <v>45</v>
      </c>
      <c r="N5" s="338" t="s">
        <v>3816</v>
      </c>
    </row>
    <row r="6" spans="1:14">
      <c r="A6" s="322" t="s">
        <v>3275</v>
      </c>
      <c r="B6" s="322" t="s">
        <v>3276</v>
      </c>
      <c r="C6" s="322" t="s">
        <v>3277</v>
      </c>
      <c r="D6" s="322" t="s">
        <v>3336</v>
      </c>
      <c r="E6" s="322" t="s">
        <v>3278</v>
      </c>
      <c r="F6" s="322" t="s">
        <v>3279</v>
      </c>
      <c r="G6" s="322" t="s">
        <v>3455</v>
      </c>
      <c r="H6" s="349" t="s">
        <v>3456</v>
      </c>
      <c r="I6" s="322" t="s">
        <v>3810</v>
      </c>
      <c r="J6" s="322">
        <v>1</v>
      </c>
      <c r="K6" s="322">
        <v>3</v>
      </c>
      <c r="L6" s="322">
        <v>2</v>
      </c>
      <c r="M6" s="322">
        <f t="shared" si="0"/>
        <v>6</v>
      </c>
      <c r="N6" s="338" t="s">
        <v>3815</v>
      </c>
    </row>
    <row r="7" spans="1:14">
      <c r="A7" s="322" t="s">
        <v>3280</v>
      </c>
      <c r="B7" s="322" t="s">
        <v>3281</v>
      </c>
      <c r="C7" s="322" t="s">
        <v>3282</v>
      </c>
      <c r="D7" s="322" t="s">
        <v>3336</v>
      </c>
      <c r="E7" s="322" t="s">
        <v>3337</v>
      </c>
      <c r="F7" s="322" t="s">
        <v>3283</v>
      </c>
      <c r="G7" s="322" t="s">
        <v>3457</v>
      </c>
      <c r="H7" s="340" t="s">
        <v>3451</v>
      </c>
      <c r="I7" s="322" t="s">
        <v>3810</v>
      </c>
      <c r="J7" s="322">
        <v>3</v>
      </c>
      <c r="K7" s="322">
        <v>3</v>
      </c>
      <c r="L7" s="322">
        <v>2</v>
      </c>
      <c r="M7" s="322">
        <f t="shared" si="0"/>
        <v>18</v>
      </c>
      <c r="N7" s="338" t="s">
        <v>3817</v>
      </c>
    </row>
    <row r="8" spans="1:14">
      <c r="A8" s="322" t="s">
        <v>3284</v>
      </c>
      <c r="B8" s="322" t="s">
        <v>780</v>
      </c>
      <c r="C8" s="322" t="s">
        <v>3285</v>
      </c>
      <c r="D8" s="322" t="s">
        <v>3336</v>
      </c>
      <c r="E8" s="322" t="s">
        <v>3286</v>
      </c>
      <c r="F8" s="322" t="s">
        <v>3287</v>
      </c>
      <c r="G8" s="322" t="s">
        <v>3458</v>
      </c>
      <c r="H8" s="340" t="s">
        <v>3451</v>
      </c>
      <c r="I8" s="322" t="s">
        <v>3459</v>
      </c>
      <c r="J8" s="322">
        <v>4</v>
      </c>
      <c r="K8" s="322">
        <v>3</v>
      </c>
      <c r="L8" s="322">
        <v>2</v>
      </c>
      <c r="M8" s="322">
        <f t="shared" si="0"/>
        <v>24</v>
      </c>
      <c r="N8" s="338" t="s">
        <v>3817</v>
      </c>
    </row>
    <row r="9" spans="1:14">
      <c r="A9" s="322" t="s">
        <v>3288</v>
      </c>
      <c r="B9" s="322" t="s">
        <v>3289</v>
      </c>
      <c r="C9" s="322" t="s">
        <v>3290</v>
      </c>
      <c r="D9" s="322" t="s">
        <v>3335</v>
      </c>
      <c r="E9" s="322" t="s">
        <v>3338</v>
      </c>
      <c r="F9" s="322" t="s">
        <v>3291</v>
      </c>
      <c r="G9" s="322" t="s">
        <v>3460</v>
      </c>
      <c r="H9" s="343" t="s">
        <v>3811</v>
      </c>
      <c r="I9" s="322" t="s">
        <v>3810</v>
      </c>
      <c r="J9" s="322">
        <v>3</v>
      </c>
      <c r="K9" s="322">
        <v>3</v>
      </c>
      <c r="L9" s="322">
        <v>2</v>
      </c>
      <c r="M9" s="322">
        <f t="shared" si="0"/>
        <v>18</v>
      </c>
      <c r="N9" s="338" t="s">
        <v>3817</v>
      </c>
    </row>
    <row r="10" spans="1:14">
      <c r="A10" s="322" t="s">
        <v>3292</v>
      </c>
      <c r="B10" s="322" t="s">
        <v>3293</v>
      </c>
      <c r="C10" s="322" t="s">
        <v>3294</v>
      </c>
      <c r="D10" s="322" t="s">
        <v>3339</v>
      </c>
      <c r="E10" s="322" t="s">
        <v>3295</v>
      </c>
      <c r="F10" s="322" t="s">
        <v>3296</v>
      </c>
      <c r="G10" s="322" t="s">
        <v>3461</v>
      </c>
      <c r="H10" s="343" t="s">
        <v>3811</v>
      </c>
      <c r="I10" s="322" t="s">
        <v>3462</v>
      </c>
      <c r="J10" s="322">
        <v>3</v>
      </c>
      <c r="K10" s="322">
        <v>3</v>
      </c>
      <c r="L10" s="322">
        <v>2</v>
      </c>
      <c r="M10" s="322">
        <f t="shared" si="0"/>
        <v>18</v>
      </c>
      <c r="N10" s="338" t="s">
        <v>3817</v>
      </c>
    </row>
    <row r="11" spans="1:14">
      <c r="A11" s="322" t="s">
        <v>3297</v>
      </c>
      <c r="B11" s="322" t="s">
        <v>3298</v>
      </c>
      <c r="C11" s="322" t="s">
        <v>3299</v>
      </c>
      <c r="D11" s="322" t="s">
        <v>3336</v>
      </c>
      <c r="E11" s="322" t="s">
        <v>3300</v>
      </c>
      <c r="F11" s="322" t="s">
        <v>3301</v>
      </c>
      <c r="G11" s="322" t="s">
        <v>3463</v>
      </c>
      <c r="H11" s="350" t="s">
        <v>3464</v>
      </c>
      <c r="I11" s="322" t="s">
        <v>3465</v>
      </c>
      <c r="J11" s="322">
        <v>3</v>
      </c>
      <c r="K11" s="322">
        <v>3</v>
      </c>
      <c r="L11" s="322">
        <v>2</v>
      </c>
      <c r="M11" s="322">
        <f t="shared" si="0"/>
        <v>18</v>
      </c>
      <c r="N11" s="338" t="s">
        <v>3817</v>
      </c>
    </row>
    <row r="12" spans="1:14">
      <c r="A12" s="322" t="s">
        <v>3302</v>
      </c>
      <c r="B12" s="322" t="s">
        <v>3303</v>
      </c>
      <c r="C12" s="322" t="s">
        <v>3304</v>
      </c>
      <c r="D12" s="322" t="s">
        <v>3335</v>
      </c>
      <c r="E12" s="322" t="s">
        <v>3305</v>
      </c>
      <c r="F12" s="322" t="s">
        <v>3306</v>
      </c>
      <c r="G12" s="322" t="s">
        <v>3466</v>
      </c>
      <c r="H12" s="343" t="s">
        <v>3811</v>
      </c>
      <c r="I12" s="322" t="s">
        <v>3810</v>
      </c>
      <c r="J12" s="322">
        <v>3</v>
      </c>
      <c r="K12" s="322">
        <v>3</v>
      </c>
      <c r="L12" s="322">
        <v>2</v>
      </c>
      <c r="M12" s="322">
        <f t="shared" si="0"/>
        <v>18</v>
      </c>
      <c r="N12" s="338" t="s">
        <v>3817</v>
      </c>
    </row>
    <row r="13" spans="1:14">
      <c r="A13" s="322" t="s">
        <v>3307</v>
      </c>
      <c r="B13" s="322" t="s">
        <v>3308</v>
      </c>
      <c r="C13" s="322" t="s">
        <v>3340</v>
      </c>
      <c r="D13" s="322" t="s">
        <v>3341</v>
      </c>
      <c r="E13" s="322" t="s">
        <v>3309</v>
      </c>
      <c r="F13" s="322" t="s">
        <v>3310</v>
      </c>
      <c r="G13" s="322" t="s">
        <v>3448</v>
      </c>
      <c r="H13" s="343" t="s">
        <v>3811</v>
      </c>
      <c r="I13" s="322" t="s">
        <v>3467</v>
      </c>
      <c r="J13" s="322">
        <v>4</v>
      </c>
      <c r="K13" s="322">
        <v>3</v>
      </c>
      <c r="L13" s="322">
        <v>2</v>
      </c>
      <c r="M13" s="322">
        <f t="shared" si="0"/>
        <v>24</v>
      </c>
      <c r="N13" s="338" t="s">
        <v>3817</v>
      </c>
    </row>
    <row r="14" spans="1:14">
      <c r="A14" s="322" t="s">
        <v>3311</v>
      </c>
      <c r="B14" s="322" t="s">
        <v>3312</v>
      </c>
      <c r="C14" s="322" t="s">
        <v>3342</v>
      </c>
      <c r="D14" s="322" t="s">
        <v>3341</v>
      </c>
      <c r="E14" s="322" t="s">
        <v>3313</v>
      </c>
      <c r="F14" s="322" t="s">
        <v>3314</v>
      </c>
      <c r="G14" s="322" t="s">
        <v>3460</v>
      </c>
      <c r="H14" s="343" t="s">
        <v>3811</v>
      </c>
      <c r="I14" s="322" t="s">
        <v>3468</v>
      </c>
      <c r="J14" s="322">
        <v>4</v>
      </c>
      <c r="K14" s="322">
        <v>3</v>
      </c>
      <c r="L14" s="322">
        <v>2</v>
      </c>
      <c r="M14" s="322">
        <f t="shared" si="0"/>
        <v>24</v>
      </c>
      <c r="N14" s="338" t="s">
        <v>3817</v>
      </c>
    </row>
    <row r="15" spans="1:14">
      <c r="A15" s="322" t="s">
        <v>3315</v>
      </c>
      <c r="B15" s="322" t="s">
        <v>3316</v>
      </c>
      <c r="C15" s="322" t="s">
        <v>3343</v>
      </c>
      <c r="D15" s="322" t="s">
        <v>3341</v>
      </c>
      <c r="E15" s="322" t="s">
        <v>3317</v>
      </c>
      <c r="F15" s="322" t="s">
        <v>3318</v>
      </c>
      <c r="G15" s="322" t="s">
        <v>3460</v>
      </c>
      <c r="H15" s="343" t="s">
        <v>3811</v>
      </c>
      <c r="I15" s="322" t="s">
        <v>3469</v>
      </c>
      <c r="J15" s="322">
        <v>3</v>
      </c>
      <c r="K15" s="322">
        <v>3</v>
      </c>
      <c r="L15" s="322">
        <v>2</v>
      </c>
      <c r="M15" s="322">
        <f t="shared" si="0"/>
        <v>18</v>
      </c>
      <c r="N15" s="338" t="s">
        <v>3817</v>
      </c>
    </row>
    <row r="16" spans="1:14">
      <c r="A16" s="322" t="s">
        <v>3319</v>
      </c>
      <c r="B16" s="322" t="s">
        <v>3320</v>
      </c>
      <c r="C16" s="322" t="s">
        <v>3321</v>
      </c>
      <c r="D16" s="322" t="s">
        <v>3341</v>
      </c>
      <c r="E16" s="322" t="s">
        <v>3322</v>
      </c>
      <c r="F16" s="322" t="s">
        <v>3323</v>
      </c>
      <c r="G16" s="322" t="s">
        <v>3448</v>
      </c>
      <c r="H16" s="343" t="s">
        <v>3811</v>
      </c>
      <c r="I16" s="322" t="s">
        <v>3470</v>
      </c>
      <c r="J16" s="322">
        <v>3</v>
      </c>
      <c r="K16" s="322">
        <v>3</v>
      </c>
      <c r="L16" s="322">
        <v>2</v>
      </c>
      <c r="M16" s="322">
        <f t="shared" si="0"/>
        <v>18</v>
      </c>
      <c r="N16" s="338" t="s">
        <v>3817</v>
      </c>
    </row>
    <row r="17" spans="1:14">
      <c r="A17" s="322" t="s">
        <v>3324</v>
      </c>
      <c r="B17" s="322" t="s">
        <v>3325</v>
      </c>
      <c r="C17" s="322" t="s">
        <v>3326</v>
      </c>
      <c r="D17" s="322" t="s">
        <v>3341</v>
      </c>
      <c r="E17" s="322" t="s">
        <v>3327</v>
      </c>
      <c r="F17" s="322" t="s">
        <v>3328</v>
      </c>
      <c r="G17" s="322" t="s">
        <v>3460</v>
      </c>
      <c r="H17" s="343" t="s">
        <v>3811</v>
      </c>
      <c r="I17" s="322" t="s">
        <v>3471</v>
      </c>
      <c r="J17" s="322">
        <v>3</v>
      </c>
      <c r="K17" s="322">
        <v>3</v>
      </c>
      <c r="L17" s="322">
        <v>2</v>
      </c>
      <c r="M17" s="322">
        <f t="shared" si="0"/>
        <v>18</v>
      </c>
      <c r="N17" s="338" t="s">
        <v>3817</v>
      </c>
    </row>
    <row r="18" spans="1:14">
      <c r="A18" s="322" t="s">
        <v>3329</v>
      </c>
      <c r="B18" s="322" t="s">
        <v>3330</v>
      </c>
      <c r="C18" s="322" t="s">
        <v>3331</v>
      </c>
      <c r="D18" s="322" t="s">
        <v>3341</v>
      </c>
      <c r="E18" s="322" t="s">
        <v>3332</v>
      </c>
      <c r="F18" s="322" t="s">
        <v>3333</v>
      </c>
      <c r="G18" s="322" t="s">
        <v>3460</v>
      </c>
      <c r="H18" s="343" t="s">
        <v>3811</v>
      </c>
      <c r="I18" s="322" t="s">
        <v>3472</v>
      </c>
      <c r="J18" s="322">
        <v>3</v>
      </c>
      <c r="K18" s="322">
        <v>3</v>
      </c>
      <c r="L18" s="322">
        <v>2</v>
      </c>
      <c r="M18" s="322">
        <f t="shared" si="0"/>
        <v>18</v>
      </c>
      <c r="N18" s="338" t="s">
        <v>3817</v>
      </c>
    </row>
    <row r="19" spans="1:14">
      <c r="A19" s="322" t="s">
        <v>3344</v>
      </c>
      <c r="B19" s="322" t="s">
        <v>3345</v>
      </c>
      <c r="C19" s="322" t="s">
        <v>3346</v>
      </c>
      <c r="D19" s="322" t="s">
        <v>3335</v>
      </c>
      <c r="E19" s="322" t="s">
        <v>3347</v>
      </c>
      <c r="F19" s="322" t="s">
        <v>3348</v>
      </c>
      <c r="G19" s="322" t="s">
        <v>3448</v>
      </c>
      <c r="H19" s="346" t="s">
        <v>3473</v>
      </c>
      <c r="I19" s="322" t="s">
        <v>3474</v>
      </c>
      <c r="J19" s="322">
        <v>5</v>
      </c>
      <c r="K19" s="322">
        <v>3</v>
      </c>
      <c r="L19" s="322">
        <v>3</v>
      </c>
      <c r="M19" s="322">
        <f t="shared" si="0"/>
        <v>45</v>
      </c>
      <c r="N19" s="338" t="s">
        <v>3816</v>
      </c>
    </row>
    <row r="20" spans="1:14">
      <c r="A20" s="322" t="s">
        <v>3349</v>
      </c>
      <c r="B20" s="322" t="s">
        <v>3350</v>
      </c>
      <c r="C20" s="322" t="s">
        <v>3351</v>
      </c>
      <c r="D20" s="322" t="s">
        <v>3335</v>
      </c>
      <c r="E20" s="322" t="s">
        <v>3347</v>
      </c>
      <c r="F20" s="322" t="s">
        <v>3352</v>
      </c>
      <c r="G20" s="322" t="s">
        <v>3450</v>
      </c>
      <c r="H20" s="340" t="s">
        <v>3451</v>
      </c>
      <c r="I20" s="322" t="s">
        <v>3475</v>
      </c>
      <c r="J20" s="322">
        <v>3</v>
      </c>
      <c r="K20" s="322">
        <v>3</v>
      </c>
      <c r="L20" s="322">
        <v>2</v>
      </c>
      <c r="M20" s="322">
        <f t="shared" si="0"/>
        <v>18</v>
      </c>
      <c r="N20" s="338" t="s">
        <v>3817</v>
      </c>
    </row>
    <row r="21" spans="1:14">
      <c r="A21" s="322" t="s">
        <v>3353</v>
      </c>
      <c r="B21" s="322" t="s">
        <v>3354</v>
      </c>
      <c r="C21" s="322" t="s">
        <v>3355</v>
      </c>
      <c r="D21" s="322" t="s">
        <v>3335</v>
      </c>
      <c r="E21" s="322" t="s">
        <v>3356</v>
      </c>
      <c r="F21" s="322" t="s">
        <v>3357</v>
      </c>
      <c r="G21" s="322" t="s">
        <v>3466</v>
      </c>
      <c r="H21" s="343" t="s">
        <v>3811</v>
      </c>
      <c r="I21" s="322" t="s">
        <v>3475</v>
      </c>
      <c r="J21" s="322">
        <v>3</v>
      </c>
      <c r="K21" s="322">
        <v>3</v>
      </c>
      <c r="L21" s="322">
        <v>2</v>
      </c>
      <c r="M21" s="322">
        <f t="shared" si="0"/>
        <v>18</v>
      </c>
      <c r="N21" s="338" t="s">
        <v>3817</v>
      </c>
    </row>
    <row r="22" spans="1:14">
      <c r="A22" s="322" t="s">
        <v>3358</v>
      </c>
      <c r="B22" s="322" t="s">
        <v>3359</v>
      </c>
      <c r="C22" s="322" t="s">
        <v>3360</v>
      </c>
      <c r="D22" s="322" t="s">
        <v>3361</v>
      </c>
      <c r="E22" s="322" t="s">
        <v>3362</v>
      </c>
      <c r="F22" s="322" t="s">
        <v>3363</v>
      </c>
      <c r="G22" s="322" t="s">
        <v>3476</v>
      </c>
      <c r="H22" s="345" t="s">
        <v>3477</v>
      </c>
      <c r="I22" s="322" t="s">
        <v>3478</v>
      </c>
      <c r="J22" s="322">
        <v>5</v>
      </c>
      <c r="K22" s="322">
        <v>4</v>
      </c>
      <c r="L22" s="322">
        <v>3</v>
      </c>
      <c r="M22" s="322">
        <f t="shared" si="0"/>
        <v>60</v>
      </c>
      <c r="N22" s="338" t="s">
        <v>3818</v>
      </c>
    </row>
    <row r="23" spans="1:14">
      <c r="A23" s="322" t="s">
        <v>3364</v>
      </c>
      <c r="B23" s="322" t="s">
        <v>3365</v>
      </c>
      <c r="C23" s="322" t="s">
        <v>3366</v>
      </c>
      <c r="D23" s="322" t="s">
        <v>3367</v>
      </c>
      <c r="E23" s="322" t="s">
        <v>3368</v>
      </c>
      <c r="F23" s="322" t="s">
        <v>3369</v>
      </c>
      <c r="G23" s="322" t="s">
        <v>3479</v>
      </c>
      <c r="H23" s="344" t="s">
        <v>3480</v>
      </c>
      <c r="I23" s="322" t="s">
        <v>3481</v>
      </c>
      <c r="J23" s="322">
        <v>3</v>
      </c>
      <c r="K23" s="322">
        <v>3</v>
      </c>
      <c r="L23" s="322">
        <v>2</v>
      </c>
      <c r="M23" s="322">
        <f t="shared" si="0"/>
        <v>18</v>
      </c>
      <c r="N23" s="338" t="s">
        <v>3817</v>
      </c>
    </row>
    <row r="24" spans="1:14">
      <c r="A24" s="322" t="s">
        <v>3370</v>
      </c>
      <c r="B24" s="322" t="s">
        <v>3371</v>
      </c>
      <c r="C24" s="322" t="s">
        <v>3372</v>
      </c>
      <c r="D24" s="322" t="s">
        <v>3361</v>
      </c>
      <c r="E24" s="322" t="s">
        <v>3373</v>
      </c>
      <c r="F24" s="322" t="s">
        <v>3374</v>
      </c>
      <c r="G24" s="322" t="s">
        <v>3458</v>
      </c>
      <c r="H24" s="348" t="s">
        <v>3482</v>
      </c>
      <c r="I24" s="322" t="s">
        <v>3483</v>
      </c>
      <c r="J24" s="322">
        <v>4</v>
      </c>
      <c r="K24" s="322">
        <v>3</v>
      </c>
      <c r="L24" s="322">
        <v>2</v>
      </c>
      <c r="M24" s="322">
        <f t="shared" si="0"/>
        <v>24</v>
      </c>
      <c r="N24" s="338" t="s">
        <v>3817</v>
      </c>
    </row>
    <row r="25" spans="1:14">
      <c r="A25" s="322" t="s">
        <v>3375</v>
      </c>
      <c r="B25" s="322" t="s">
        <v>3376</v>
      </c>
      <c r="C25" s="322" t="s">
        <v>3377</v>
      </c>
      <c r="D25" s="322" t="s">
        <v>3367</v>
      </c>
      <c r="E25" s="322" t="s">
        <v>3378</v>
      </c>
      <c r="F25" s="322" t="s">
        <v>3379</v>
      </c>
      <c r="G25" s="322" t="s">
        <v>3484</v>
      </c>
      <c r="H25" s="348" t="s">
        <v>3482</v>
      </c>
      <c r="I25" s="322" t="s">
        <v>3485</v>
      </c>
      <c r="J25" s="322">
        <v>3</v>
      </c>
      <c r="K25" s="322">
        <v>3</v>
      </c>
      <c r="L25" s="322">
        <v>2</v>
      </c>
      <c r="M25" s="322">
        <f t="shared" si="0"/>
        <v>18</v>
      </c>
      <c r="N25" s="338" t="s">
        <v>3817</v>
      </c>
    </row>
    <row r="26" spans="1:14">
      <c r="A26" s="322" t="s">
        <v>3380</v>
      </c>
      <c r="B26" s="322" t="s">
        <v>3381</v>
      </c>
      <c r="C26" s="322" t="s">
        <v>3382</v>
      </c>
      <c r="D26" s="322" t="s">
        <v>3367</v>
      </c>
      <c r="E26" s="322" t="s">
        <v>3383</v>
      </c>
      <c r="F26" s="322" t="s">
        <v>3384</v>
      </c>
      <c r="G26" s="322" t="s">
        <v>3486</v>
      </c>
      <c r="H26" s="343" t="s">
        <v>3811</v>
      </c>
      <c r="I26" s="322" t="s">
        <v>3487</v>
      </c>
      <c r="J26" s="322">
        <v>3</v>
      </c>
      <c r="K26" s="322">
        <v>3</v>
      </c>
      <c r="L26" s="322">
        <v>2</v>
      </c>
      <c r="M26" s="322">
        <f t="shared" si="0"/>
        <v>18</v>
      </c>
      <c r="N26" s="338" t="s">
        <v>3817</v>
      </c>
    </row>
    <row r="27" spans="1:14">
      <c r="A27" s="322" t="s">
        <v>3385</v>
      </c>
      <c r="B27" s="322" t="s">
        <v>3386</v>
      </c>
      <c r="C27" s="322" t="s">
        <v>3387</v>
      </c>
      <c r="D27" s="322" t="s">
        <v>3388</v>
      </c>
      <c r="E27" s="322" t="s">
        <v>3389</v>
      </c>
      <c r="F27" s="322" t="s">
        <v>3390</v>
      </c>
      <c r="G27" s="322" t="s">
        <v>3450</v>
      </c>
      <c r="H27" s="343" t="s">
        <v>3811</v>
      </c>
      <c r="I27" s="322" t="s">
        <v>3810</v>
      </c>
      <c r="J27" s="322">
        <v>3</v>
      </c>
      <c r="K27" s="322">
        <v>3</v>
      </c>
      <c r="L27" s="322">
        <v>2</v>
      </c>
      <c r="M27" s="322">
        <f t="shared" si="0"/>
        <v>18</v>
      </c>
      <c r="N27" s="338" t="s">
        <v>3817</v>
      </c>
    </row>
    <row r="28" spans="1:14">
      <c r="A28" s="322" t="s">
        <v>3391</v>
      </c>
      <c r="B28" s="322" t="s">
        <v>3392</v>
      </c>
      <c r="C28" s="322" t="s">
        <v>3393</v>
      </c>
      <c r="D28" s="322" t="s">
        <v>3341</v>
      </c>
      <c r="E28" s="322" t="s">
        <v>3394</v>
      </c>
      <c r="F28" s="322" t="s">
        <v>3395</v>
      </c>
      <c r="G28" s="322" t="s">
        <v>3463</v>
      </c>
      <c r="H28" s="343" t="s">
        <v>3811</v>
      </c>
      <c r="I28" s="322" t="s">
        <v>3465</v>
      </c>
      <c r="J28" s="322">
        <v>3</v>
      </c>
      <c r="K28" s="322">
        <v>3</v>
      </c>
      <c r="L28" s="322">
        <v>2</v>
      </c>
      <c r="M28" s="322">
        <f t="shared" si="0"/>
        <v>18</v>
      </c>
      <c r="N28" s="338" t="s">
        <v>3817</v>
      </c>
    </row>
    <row r="29" spans="1:14">
      <c r="A29" s="322" t="s">
        <v>3396</v>
      </c>
      <c r="B29" s="322" t="s">
        <v>3397</v>
      </c>
      <c r="C29" s="322" t="s">
        <v>3398</v>
      </c>
      <c r="D29" s="322" t="s">
        <v>3335</v>
      </c>
      <c r="E29" s="322" t="s">
        <v>3399</v>
      </c>
      <c r="F29" s="322" t="s">
        <v>3400</v>
      </c>
      <c r="G29" s="322" t="s">
        <v>3488</v>
      </c>
      <c r="H29" s="343" t="s">
        <v>3811</v>
      </c>
      <c r="I29" s="322" t="s">
        <v>3489</v>
      </c>
      <c r="J29" s="322">
        <v>3</v>
      </c>
      <c r="K29" s="322">
        <v>3</v>
      </c>
      <c r="L29" s="322">
        <v>2</v>
      </c>
      <c r="M29" s="322">
        <f t="shared" si="0"/>
        <v>18</v>
      </c>
      <c r="N29" s="338" t="s">
        <v>3817</v>
      </c>
    </row>
    <row r="30" spans="1:14">
      <c r="A30" s="322" t="s">
        <v>3401</v>
      </c>
      <c r="B30" s="322" t="s">
        <v>3402</v>
      </c>
      <c r="C30" s="322" t="s">
        <v>3403</v>
      </c>
      <c r="D30" s="322" t="s">
        <v>3404</v>
      </c>
      <c r="E30" s="322" t="s">
        <v>3405</v>
      </c>
      <c r="F30" s="322" t="s">
        <v>3406</v>
      </c>
      <c r="G30" s="322" t="s">
        <v>3490</v>
      </c>
      <c r="H30" s="342" t="s">
        <v>3491</v>
      </c>
      <c r="I30" s="322" t="s">
        <v>3492</v>
      </c>
      <c r="J30" s="322">
        <v>3</v>
      </c>
      <c r="K30" s="322">
        <v>3</v>
      </c>
      <c r="L30" s="322">
        <v>2</v>
      </c>
      <c r="M30" s="322">
        <f t="shared" si="0"/>
        <v>18</v>
      </c>
      <c r="N30" s="338" t="s">
        <v>3817</v>
      </c>
    </row>
    <row r="31" spans="1:14">
      <c r="A31" s="322" t="s">
        <v>3407</v>
      </c>
      <c r="B31" s="322" t="s">
        <v>3408</v>
      </c>
      <c r="C31" s="322" t="s">
        <v>3409</v>
      </c>
      <c r="D31" s="322" t="s">
        <v>3410</v>
      </c>
      <c r="E31" s="322" t="s">
        <v>3411</v>
      </c>
      <c r="F31" s="322" t="s">
        <v>3412</v>
      </c>
      <c r="G31" s="322" t="s">
        <v>3460</v>
      </c>
      <c r="H31" s="343" t="s">
        <v>3811</v>
      </c>
      <c r="I31" s="322" t="s">
        <v>3493</v>
      </c>
      <c r="J31" s="322">
        <v>4</v>
      </c>
      <c r="K31" s="322">
        <v>3</v>
      </c>
      <c r="L31" s="322">
        <v>2</v>
      </c>
      <c r="M31" s="322">
        <f t="shared" si="0"/>
        <v>24</v>
      </c>
      <c r="N31" s="338" t="s">
        <v>3817</v>
      </c>
    </row>
    <row r="32" spans="1:14">
      <c r="A32" s="322" t="s">
        <v>3413</v>
      </c>
      <c r="B32" s="322" t="s">
        <v>3414</v>
      </c>
      <c r="C32" s="322" t="s">
        <v>3415</v>
      </c>
      <c r="D32" s="322" t="s">
        <v>3416</v>
      </c>
      <c r="E32" s="322" t="s">
        <v>3417</v>
      </c>
      <c r="F32" s="322" t="s">
        <v>3418</v>
      </c>
      <c r="G32" s="322" t="s">
        <v>3494</v>
      </c>
      <c r="H32" s="340" t="s">
        <v>3451</v>
      </c>
      <c r="I32" s="322" t="s">
        <v>518</v>
      </c>
      <c r="J32" s="322">
        <v>4</v>
      </c>
      <c r="K32" s="322">
        <v>3</v>
      </c>
      <c r="L32" s="322">
        <v>2</v>
      </c>
      <c r="M32" s="322">
        <f t="shared" si="0"/>
        <v>24</v>
      </c>
      <c r="N32" s="338" t="s">
        <v>3817</v>
      </c>
    </row>
    <row r="33" spans="1:14">
      <c r="A33" s="322" t="s">
        <v>3419</v>
      </c>
      <c r="B33" s="322" t="s">
        <v>3420</v>
      </c>
      <c r="C33" s="322" t="s">
        <v>3421</v>
      </c>
      <c r="D33" s="322" t="s">
        <v>3335</v>
      </c>
      <c r="E33" s="322" t="s">
        <v>3422</v>
      </c>
      <c r="F33" s="322" t="s">
        <v>3423</v>
      </c>
      <c r="G33" s="322" t="s">
        <v>3495</v>
      </c>
      <c r="H33" s="343" t="s">
        <v>3811</v>
      </c>
      <c r="I33" s="322" t="s">
        <v>3496</v>
      </c>
      <c r="J33" s="322">
        <v>3</v>
      </c>
      <c r="K33" s="322">
        <v>3</v>
      </c>
      <c r="L33" s="322">
        <v>2</v>
      </c>
      <c r="M33" s="322">
        <f t="shared" si="0"/>
        <v>18</v>
      </c>
      <c r="N33" s="338" t="s">
        <v>3817</v>
      </c>
    </row>
    <row r="34" spans="1:14">
      <c r="A34" s="322" t="s">
        <v>3424</v>
      </c>
      <c r="B34" s="322" t="s">
        <v>3425</v>
      </c>
      <c r="C34" s="322" t="s">
        <v>3426</v>
      </c>
      <c r="D34" s="322" t="s">
        <v>3339</v>
      </c>
      <c r="E34" s="322" t="s">
        <v>3427</v>
      </c>
      <c r="F34" s="322" t="s">
        <v>3428</v>
      </c>
      <c r="G34" s="322" t="s">
        <v>3461</v>
      </c>
      <c r="H34" s="343" t="s">
        <v>3811</v>
      </c>
      <c r="I34" s="322" t="s">
        <v>3465</v>
      </c>
      <c r="J34" s="322">
        <v>3</v>
      </c>
      <c r="K34" s="322">
        <v>3</v>
      </c>
      <c r="L34" s="322">
        <v>2</v>
      </c>
      <c r="M34" s="322">
        <f t="shared" si="0"/>
        <v>18</v>
      </c>
      <c r="N34" s="338" t="s">
        <v>3817</v>
      </c>
    </row>
    <row r="35" spans="1:14">
      <c r="A35" s="322" t="s">
        <v>3429</v>
      </c>
      <c r="B35" s="322" t="s">
        <v>3430</v>
      </c>
      <c r="C35" s="322" t="s">
        <v>3431</v>
      </c>
      <c r="D35" s="322" t="s">
        <v>3388</v>
      </c>
      <c r="E35" s="322" t="s">
        <v>3432</v>
      </c>
      <c r="F35" s="322" t="s">
        <v>3433</v>
      </c>
      <c r="G35" s="322" t="s">
        <v>3497</v>
      </c>
      <c r="H35" s="343" t="s">
        <v>3811</v>
      </c>
      <c r="I35" s="322" t="s">
        <v>3498</v>
      </c>
      <c r="J35" s="322">
        <v>3</v>
      </c>
      <c r="K35" s="322">
        <v>3</v>
      </c>
      <c r="L35" s="322">
        <v>2</v>
      </c>
      <c r="M35" s="322">
        <f t="shared" si="0"/>
        <v>18</v>
      </c>
      <c r="N35" s="338" t="s">
        <v>3817</v>
      </c>
    </row>
    <row r="36" spans="1:14">
      <c r="A36" s="322" t="s">
        <v>3434</v>
      </c>
      <c r="B36" s="322" t="s">
        <v>3435</v>
      </c>
      <c r="C36" s="322" t="s">
        <v>3436</v>
      </c>
      <c r="D36" s="322" t="s">
        <v>3367</v>
      </c>
      <c r="E36" s="322" t="s">
        <v>3437</v>
      </c>
      <c r="F36" s="322" t="s">
        <v>3438</v>
      </c>
      <c r="G36" s="322" t="s">
        <v>3499</v>
      </c>
      <c r="H36" s="343" t="s">
        <v>3811</v>
      </c>
      <c r="I36" s="322" t="s">
        <v>3810</v>
      </c>
      <c r="J36" s="322">
        <v>3</v>
      </c>
      <c r="K36" s="322">
        <v>3</v>
      </c>
      <c r="L36" s="322">
        <v>2</v>
      </c>
      <c r="M36" s="322">
        <f t="shared" si="0"/>
        <v>18</v>
      </c>
      <c r="N36" s="338" t="s">
        <v>3817</v>
      </c>
    </row>
  </sheetData>
  <autoFilter ref="A2:M36" xr:uid="{88BCBF44-1551-4AD9-95F9-9B964EA53325}"/>
  <mergeCells count="1">
    <mergeCell ref="C1:N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B804-0849-4D8B-A9BE-DF53325D5358}">
  <dimension ref="A1"/>
  <sheetViews>
    <sheetView rightToLeft="1" view="pageBreakPreview" zoomScale="60" workbookViewId="0">
      <selection activeCell="M38" sqref="M38"/>
    </sheetView>
  </sheetViews>
  <sheetFormatPr defaultRowHeight="14.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ع1-ن18</vt:lpstr>
      <vt:lpstr>Sheet6</vt:lpstr>
      <vt:lpstr>Sheet2</vt:lpstr>
      <vt:lpstr>برنامج الملاك</vt:lpstr>
      <vt:lpstr>برنامج المشترك</vt:lpstr>
      <vt:lpstr>دليل الحسابات</vt:lpstr>
      <vt:lpstr>دليل المراجعة</vt:lpstr>
      <vt:lpstr>دليل مراحل الملف</vt:lpstr>
      <vt:lpstr>دليل اهداف المراجعة</vt:lpstr>
      <vt:lpstr>المستخدمين</vt:lpstr>
      <vt:lpstr>فهرس علامات المراجعه</vt:lpstr>
      <vt:lpstr>الفروع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Osman</dc:creator>
  <cp:lastModifiedBy>khalil Osman</cp:lastModifiedBy>
  <cp:lastPrinted>2025-09-16T07:23:31Z</cp:lastPrinted>
  <dcterms:created xsi:type="dcterms:W3CDTF">2025-07-31T23:20:34Z</dcterms:created>
  <dcterms:modified xsi:type="dcterms:W3CDTF">2025-09-29T22:31:55Z</dcterms:modified>
</cp:coreProperties>
</file>